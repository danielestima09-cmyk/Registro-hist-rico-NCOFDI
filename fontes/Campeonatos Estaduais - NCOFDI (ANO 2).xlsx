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ocumentos\"/>
    </mc:Choice>
  </mc:AlternateContent>
  <xr:revisionPtr revIDLastSave="0" documentId="8_{C41DADD0-BCA6-4536-B959-E8C457E2E37B}" xr6:coauthVersionLast="47" xr6:coauthVersionMax="47" xr10:uidLastSave="{00000000-0000-0000-0000-000000000000}"/>
  <bookViews>
    <workbookView xWindow="-108" yWindow="-108" windowWidth="23256" windowHeight="13176" firstSheet="2" activeTab="2" xr2:uid="{3739BBA1-CC2E-43CF-89B5-430FDF428F22}"/>
  </bookViews>
  <sheets>
    <sheet name="AC" sheetId="1" r:id="rId1"/>
    <sheet name="AL" sheetId="2" r:id="rId2"/>
    <sheet name="AM" sheetId="3" r:id="rId3"/>
    <sheet name="AP" sheetId="4" r:id="rId4"/>
    <sheet name="BA" sheetId="5" r:id="rId5"/>
    <sheet name="CE" sheetId="6" r:id="rId6"/>
    <sheet name="DF" sheetId="7" r:id="rId7"/>
    <sheet name="ES" sheetId="8" r:id="rId8"/>
    <sheet name="GO" sheetId="9" r:id="rId9"/>
    <sheet name="MA" sheetId="10" r:id="rId10"/>
    <sheet name="MG" sheetId="11" r:id="rId11"/>
    <sheet name="MS" sheetId="12" r:id="rId12"/>
    <sheet name="MT" sheetId="13" r:id="rId13"/>
    <sheet name="PA" sheetId="14" r:id="rId14"/>
    <sheet name="PB" sheetId="15" r:id="rId15"/>
    <sheet name="PE" sheetId="16" r:id="rId16"/>
    <sheet name="PI" sheetId="17" r:id="rId17"/>
    <sheet name="PR" sheetId="18" r:id="rId18"/>
    <sheet name="RJ" sheetId="19" r:id="rId19"/>
    <sheet name="RN" sheetId="20" r:id="rId20"/>
    <sheet name="RO" sheetId="21" r:id="rId21"/>
    <sheet name="RR" sheetId="22" r:id="rId22"/>
    <sheet name="RS" sheetId="23" r:id="rId23"/>
    <sheet name="SC" sheetId="24" r:id="rId24"/>
    <sheet name="SE" sheetId="25" r:id="rId25"/>
    <sheet name="SP" sheetId="26" r:id="rId26"/>
    <sheet name="TO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27" l="1"/>
  <c r="N7" i="27"/>
  <c r="N6" i="27"/>
  <c r="N5" i="27"/>
  <c r="N4" i="27"/>
  <c r="N17" i="27"/>
  <c r="N16" i="27"/>
  <c r="N15" i="27"/>
  <c r="N14" i="27"/>
  <c r="N13" i="27"/>
  <c r="N12" i="27"/>
  <c r="R23" i="27"/>
  <c r="P23" i="27"/>
  <c r="N23" i="27"/>
  <c r="L23" i="27"/>
  <c r="R22" i="27"/>
  <c r="P22" i="27"/>
  <c r="N22" i="27"/>
  <c r="L22" i="27"/>
  <c r="R21" i="27"/>
  <c r="P21" i="27"/>
  <c r="N21" i="27"/>
  <c r="L21" i="27"/>
  <c r="R20" i="27"/>
  <c r="P20" i="27"/>
  <c r="N20" i="27"/>
  <c r="L20" i="27"/>
  <c r="U17" i="27"/>
  <c r="R17" i="27"/>
  <c r="U16" i="27"/>
  <c r="R16" i="27"/>
  <c r="U15" i="27"/>
  <c r="R15" i="27"/>
  <c r="U14" i="27"/>
  <c r="R14" i="27"/>
  <c r="U13" i="27"/>
  <c r="R13" i="27"/>
  <c r="U12" i="27"/>
  <c r="R12" i="27"/>
  <c r="U8" i="27"/>
  <c r="R8" i="27"/>
  <c r="U7" i="27"/>
  <c r="R7" i="27"/>
  <c r="U6" i="27"/>
  <c r="R6" i="27"/>
  <c r="U5" i="27"/>
  <c r="R5" i="27"/>
  <c r="U4" i="27"/>
  <c r="R4" i="27"/>
  <c r="C10" i="27"/>
  <c r="C9" i="27"/>
  <c r="C8" i="27"/>
  <c r="C7" i="27"/>
  <c r="C6" i="27"/>
  <c r="C5" i="27"/>
  <c r="C4" i="27"/>
  <c r="C3" i="27"/>
  <c r="G14" i="27"/>
  <c r="E14" i="27"/>
  <c r="E13" i="27"/>
  <c r="G13" i="27"/>
  <c r="A13" i="27"/>
  <c r="J10" i="27"/>
  <c r="G10" i="27"/>
  <c r="J9" i="27"/>
  <c r="G9" i="27"/>
  <c r="J8" i="27"/>
  <c r="G8" i="27"/>
  <c r="J7" i="27"/>
  <c r="G7" i="27"/>
  <c r="J6" i="27"/>
  <c r="G6" i="27"/>
  <c r="J5" i="27"/>
  <c r="G5" i="27"/>
  <c r="J4" i="27"/>
  <c r="G4" i="27"/>
  <c r="J3" i="27"/>
  <c r="G3" i="27"/>
  <c r="BM28" i="26"/>
  <c r="BJ28" i="26"/>
  <c r="BF28" i="26"/>
  <c r="BM27" i="26"/>
  <c r="BJ27" i="26"/>
  <c r="BF27" i="26"/>
  <c r="BM26" i="26"/>
  <c r="BJ26" i="26"/>
  <c r="BF26" i="26"/>
  <c r="BM25" i="26"/>
  <c r="BJ25" i="26"/>
  <c r="BF25" i="26"/>
  <c r="BM21" i="26"/>
  <c r="BJ21" i="26"/>
  <c r="BF21" i="26"/>
  <c r="BM20" i="26"/>
  <c r="BJ20" i="26"/>
  <c r="BF20" i="26"/>
  <c r="BM19" i="26"/>
  <c r="BJ19" i="26"/>
  <c r="BF19" i="26"/>
  <c r="BM18" i="26"/>
  <c r="BJ18" i="26"/>
  <c r="BF18" i="26"/>
  <c r="BM14" i="26"/>
  <c r="BJ14" i="26"/>
  <c r="BF14" i="26"/>
  <c r="BM13" i="26"/>
  <c r="BJ13" i="26"/>
  <c r="BF13" i="26"/>
  <c r="BM12" i="26"/>
  <c r="BJ12" i="26"/>
  <c r="BF12" i="26"/>
  <c r="BM11" i="26"/>
  <c r="BJ11" i="26"/>
  <c r="BF11" i="26"/>
  <c r="BM7" i="26"/>
  <c r="BJ7" i="26"/>
  <c r="BF7" i="26"/>
  <c r="BM6" i="26"/>
  <c r="BJ6" i="26"/>
  <c r="BF6" i="26"/>
  <c r="BM5" i="26"/>
  <c r="BJ5" i="26"/>
  <c r="BF5" i="26"/>
  <c r="BM4" i="26"/>
  <c r="BJ4" i="26"/>
  <c r="BF4" i="26"/>
  <c r="BB67" i="26"/>
  <c r="AY67" i="26"/>
  <c r="AU67" i="26"/>
  <c r="BB66" i="26"/>
  <c r="AY66" i="26"/>
  <c r="AU66" i="26"/>
  <c r="BB65" i="26"/>
  <c r="AY65" i="26"/>
  <c r="AU65" i="26"/>
  <c r="BB64" i="26"/>
  <c r="AY64" i="26"/>
  <c r="AU64" i="26"/>
  <c r="BB60" i="26"/>
  <c r="AY60" i="26"/>
  <c r="AU60" i="26"/>
  <c r="BB59" i="26"/>
  <c r="AY59" i="26"/>
  <c r="AU59" i="26"/>
  <c r="BB58" i="26"/>
  <c r="AY58" i="26"/>
  <c r="AU58" i="26"/>
  <c r="BB57" i="26"/>
  <c r="AY57" i="26"/>
  <c r="AU57" i="26"/>
  <c r="BB53" i="26"/>
  <c r="AY53" i="26"/>
  <c r="AU53" i="26"/>
  <c r="BB52" i="26"/>
  <c r="AY52" i="26"/>
  <c r="AU52" i="26"/>
  <c r="BB51" i="26"/>
  <c r="AY51" i="26"/>
  <c r="AU51" i="26"/>
  <c r="BB50" i="26"/>
  <c r="AY50" i="26"/>
  <c r="AU50" i="26"/>
  <c r="BB46" i="26"/>
  <c r="AY46" i="26"/>
  <c r="AU46" i="26"/>
  <c r="BB45" i="26"/>
  <c r="AY45" i="26"/>
  <c r="AU45" i="26"/>
  <c r="BB44" i="26"/>
  <c r="AY44" i="26"/>
  <c r="AU44" i="26"/>
  <c r="BB43" i="26"/>
  <c r="AY43" i="26"/>
  <c r="AU43" i="26"/>
  <c r="BB38" i="26"/>
  <c r="AY38" i="26"/>
  <c r="AU38" i="26"/>
  <c r="BB37" i="26"/>
  <c r="AY37" i="26"/>
  <c r="AU37" i="26"/>
  <c r="BB36" i="26"/>
  <c r="AY36" i="26"/>
  <c r="AU36" i="26"/>
  <c r="BB35" i="26"/>
  <c r="AY35" i="26"/>
  <c r="AU35" i="26"/>
  <c r="BB34" i="26"/>
  <c r="AY34" i="26"/>
  <c r="AU34" i="26"/>
  <c r="BB33" i="26"/>
  <c r="AY33" i="26"/>
  <c r="AU33" i="26"/>
  <c r="BB29" i="26"/>
  <c r="AY29" i="26"/>
  <c r="AU29" i="26"/>
  <c r="BB28" i="26"/>
  <c r="AY28" i="26"/>
  <c r="AU28" i="26"/>
  <c r="BB27" i="26"/>
  <c r="AY27" i="26"/>
  <c r="AU27" i="26"/>
  <c r="BB26" i="26"/>
  <c r="AY26" i="26"/>
  <c r="AU26" i="26"/>
  <c r="BB25" i="26"/>
  <c r="AY25" i="26"/>
  <c r="AU25" i="26"/>
  <c r="BB24" i="26"/>
  <c r="AY24" i="26"/>
  <c r="AU24" i="26"/>
  <c r="BB20" i="26"/>
  <c r="AY20" i="26"/>
  <c r="AU20" i="26"/>
  <c r="BB19" i="26"/>
  <c r="AY19" i="26"/>
  <c r="AU19" i="26"/>
  <c r="BB18" i="26"/>
  <c r="AY18" i="26"/>
  <c r="AU18" i="26"/>
  <c r="BB17" i="26"/>
  <c r="AY17" i="26"/>
  <c r="AU17" i="26"/>
  <c r="BB16" i="26"/>
  <c r="AY16" i="26"/>
  <c r="AU16" i="26"/>
  <c r="BB15" i="26"/>
  <c r="AY15" i="26"/>
  <c r="AU15" i="26"/>
  <c r="BB14" i="26"/>
  <c r="AY14" i="26"/>
  <c r="AU14" i="26"/>
  <c r="BB10" i="26"/>
  <c r="AY10" i="26"/>
  <c r="AU10" i="26"/>
  <c r="BB9" i="26"/>
  <c r="AY9" i="26"/>
  <c r="AU9" i="26"/>
  <c r="BB8" i="26"/>
  <c r="AY8" i="26"/>
  <c r="AU8" i="26"/>
  <c r="BB7" i="26"/>
  <c r="AY7" i="26"/>
  <c r="AU7" i="26"/>
  <c r="BB6" i="26"/>
  <c r="AY6" i="26"/>
  <c r="AU6" i="26"/>
  <c r="BB5" i="26"/>
  <c r="AY5" i="26"/>
  <c r="AU5" i="26"/>
  <c r="BB4" i="26"/>
  <c r="AY4" i="26"/>
  <c r="AU4" i="26"/>
  <c r="AN24" i="26"/>
  <c r="AL24" i="26"/>
  <c r="AJ24" i="26"/>
  <c r="AH24" i="26"/>
  <c r="AN23" i="26"/>
  <c r="AL23" i="26"/>
  <c r="AJ23" i="26"/>
  <c r="AH23" i="26"/>
  <c r="AN22" i="26"/>
  <c r="AL22" i="26"/>
  <c r="AJ22" i="26"/>
  <c r="AH22" i="26"/>
  <c r="AN21" i="26"/>
  <c r="AL21" i="26"/>
  <c r="AJ21" i="26"/>
  <c r="AH21" i="26"/>
  <c r="AQ18" i="26"/>
  <c r="AN18" i="26"/>
  <c r="AJ18" i="26"/>
  <c r="AQ17" i="26"/>
  <c r="AN17" i="26"/>
  <c r="AJ17" i="26"/>
  <c r="AQ16" i="26"/>
  <c r="AN16" i="26"/>
  <c r="AJ16" i="26"/>
  <c r="AQ15" i="26"/>
  <c r="AN15" i="26"/>
  <c r="AJ15" i="26"/>
  <c r="AQ14" i="26"/>
  <c r="AN14" i="26"/>
  <c r="AJ14" i="26"/>
  <c r="AQ13" i="26"/>
  <c r="AN13" i="26"/>
  <c r="AJ13" i="26"/>
  <c r="AQ12" i="26"/>
  <c r="AN12" i="26"/>
  <c r="AJ12" i="26"/>
  <c r="AQ11" i="26"/>
  <c r="AN11" i="26"/>
  <c r="AJ11" i="26"/>
  <c r="AQ10" i="26"/>
  <c r="AN10" i="26"/>
  <c r="AJ10" i="26"/>
  <c r="AQ9" i="26"/>
  <c r="AN9" i="26"/>
  <c r="AJ9" i="26"/>
  <c r="AQ8" i="26"/>
  <c r="AN8" i="26"/>
  <c r="AJ8" i="26"/>
  <c r="AQ7" i="26"/>
  <c r="AN7" i="26"/>
  <c r="AJ7" i="26"/>
  <c r="AQ6" i="26"/>
  <c r="AN6" i="26"/>
  <c r="AJ6" i="26"/>
  <c r="AQ5" i="26"/>
  <c r="AN5" i="26"/>
  <c r="AJ5" i="26"/>
  <c r="AQ4" i="26"/>
  <c r="AN4" i="26"/>
  <c r="AJ4" i="26"/>
  <c r="AQ3" i="26"/>
  <c r="AN3" i="26"/>
  <c r="AJ3" i="26"/>
  <c r="Y18" i="26"/>
  <c r="Y17" i="26"/>
  <c r="Y16" i="26"/>
  <c r="Y15" i="26"/>
  <c r="Y14" i="26"/>
  <c r="Y13" i="26"/>
  <c r="Y12" i="26"/>
  <c r="Y11" i="26"/>
  <c r="Y10" i="26"/>
  <c r="Y9" i="26"/>
  <c r="Y8" i="26"/>
  <c r="Y7" i="26"/>
  <c r="Y6" i="26"/>
  <c r="Y5" i="26"/>
  <c r="Y4" i="26"/>
  <c r="Y3" i="26"/>
  <c r="AC24" i="26"/>
  <c r="AA24" i="26"/>
  <c r="Y24" i="26"/>
  <c r="W24" i="26"/>
  <c r="AC23" i="26"/>
  <c r="AA23" i="26"/>
  <c r="Y23" i="26"/>
  <c r="W23" i="26"/>
  <c r="AC22" i="26"/>
  <c r="AA22" i="26"/>
  <c r="Y22" i="26"/>
  <c r="W22" i="26"/>
  <c r="AC21" i="26"/>
  <c r="AA21" i="26"/>
  <c r="Y21" i="26"/>
  <c r="W21" i="26"/>
  <c r="AF18" i="26"/>
  <c r="AC18" i="26"/>
  <c r="AF17" i="26"/>
  <c r="AC17" i="26"/>
  <c r="AF16" i="26"/>
  <c r="AC16" i="26"/>
  <c r="AF15" i="26"/>
  <c r="AC15" i="26"/>
  <c r="AF14" i="26"/>
  <c r="AC14" i="26"/>
  <c r="AF13" i="26"/>
  <c r="AC13" i="26"/>
  <c r="AF12" i="26"/>
  <c r="AC12" i="26"/>
  <c r="AF11" i="26"/>
  <c r="AC11" i="26"/>
  <c r="AF10" i="26"/>
  <c r="AC10" i="26"/>
  <c r="AF9" i="26"/>
  <c r="AC9" i="26"/>
  <c r="AF8" i="26"/>
  <c r="AC8" i="26"/>
  <c r="AF7" i="26"/>
  <c r="AC7" i="26"/>
  <c r="AF6" i="26"/>
  <c r="AC6" i="26"/>
  <c r="AF5" i="26"/>
  <c r="AC5" i="26"/>
  <c r="AF4" i="26"/>
  <c r="AC4" i="26"/>
  <c r="AF3" i="26"/>
  <c r="AC3" i="26"/>
  <c r="N33" i="26"/>
  <c r="N32" i="26"/>
  <c r="N31" i="26"/>
  <c r="N30" i="26"/>
  <c r="N26" i="26"/>
  <c r="N25" i="26"/>
  <c r="N24" i="26"/>
  <c r="N23" i="26"/>
  <c r="U33" i="26"/>
  <c r="R33" i="26"/>
  <c r="U32" i="26"/>
  <c r="R32" i="26"/>
  <c r="U31" i="26"/>
  <c r="R31" i="26"/>
  <c r="U30" i="26"/>
  <c r="R30" i="26"/>
  <c r="U26" i="26"/>
  <c r="R26" i="26"/>
  <c r="U25" i="26"/>
  <c r="R25" i="26"/>
  <c r="U24" i="26"/>
  <c r="R24" i="26"/>
  <c r="U23" i="26"/>
  <c r="R23" i="26"/>
  <c r="U18" i="26"/>
  <c r="R18" i="26"/>
  <c r="N18" i="26"/>
  <c r="U17" i="26"/>
  <c r="R17" i="26"/>
  <c r="N17" i="26"/>
  <c r="U16" i="26"/>
  <c r="R16" i="26"/>
  <c r="N16" i="26"/>
  <c r="U15" i="26"/>
  <c r="R15" i="26"/>
  <c r="N15" i="26"/>
  <c r="U14" i="26"/>
  <c r="R14" i="26"/>
  <c r="N14" i="26"/>
  <c r="U13" i="26"/>
  <c r="R13" i="26"/>
  <c r="N13" i="26"/>
  <c r="U12" i="26"/>
  <c r="R12" i="26"/>
  <c r="N12" i="26"/>
  <c r="U11" i="26"/>
  <c r="R11" i="26"/>
  <c r="N11" i="26"/>
  <c r="U10" i="26"/>
  <c r="R10" i="26"/>
  <c r="N10" i="26"/>
  <c r="U9" i="26"/>
  <c r="R9" i="26"/>
  <c r="N9" i="26"/>
  <c r="U8" i="26"/>
  <c r="R8" i="26"/>
  <c r="N8" i="26"/>
  <c r="U7" i="26"/>
  <c r="R7" i="26"/>
  <c r="N7" i="26"/>
  <c r="U6" i="26"/>
  <c r="R6" i="26"/>
  <c r="N6" i="26"/>
  <c r="U5" i="26"/>
  <c r="R5" i="26"/>
  <c r="N5" i="26"/>
  <c r="U4" i="26"/>
  <c r="R4" i="26"/>
  <c r="N4" i="26"/>
  <c r="U3" i="26"/>
  <c r="R3" i="26"/>
  <c r="N3" i="26"/>
  <c r="C11" i="26"/>
  <c r="C8" i="26"/>
  <c r="C14" i="26"/>
  <c r="C18" i="26"/>
  <c r="C16" i="26"/>
  <c r="C6" i="26"/>
  <c r="C12" i="26"/>
  <c r="C17" i="26"/>
  <c r="C3" i="26"/>
  <c r="C7" i="26"/>
  <c r="C5" i="26"/>
  <c r="C13" i="26"/>
  <c r="C4" i="26"/>
  <c r="C10" i="26"/>
  <c r="C9" i="26"/>
  <c r="C15" i="26"/>
  <c r="C24" i="26"/>
  <c r="A24" i="26"/>
  <c r="C23" i="26"/>
  <c r="A23" i="26"/>
  <c r="C22" i="26"/>
  <c r="A22" i="26"/>
  <c r="C21" i="26"/>
  <c r="A21" i="26"/>
  <c r="J6" i="26"/>
  <c r="G6" i="26"/>
  <c r="J16" i="26"/>
  <c r="G16" i="26"/>
  <c r="J18" i="26"/>
  <c r="G18" i="26"/>
  <c r="J14" i="26"/>
  <c r="G14" i="26"/>
  <c r="J8" i="26"/>
  <c r="G8" i="26"/>
  <c r="J11" i="26"/>
  <c r="G11" i="26"/>
  <c r="J12" i="26"/>
  <c r="G12" i="26"/>
  <c r="J17" i="26"/>
  <c r="G17" i="26"/>
  <c r="J3" i="26"/>
  <c r="G3" i="26"/>
  <c r="J7" i="26"/>
  <c r="G7" i="26"/>
  <c r="J5" i="26"/>
  <c r="G5" i="26"/>
  <c r="J13" i="26"/>
  <c r="G13" i="26"/>
  <c r="J4" i="26"/>
  <c r="G4" i="26"/>
  <c r="J10" i="26"/>
  <c r="G10" i="26"/>
  <c r="J9" i="26"/>
  <c r="G9" i="26"/>
  <c r="J15" i="26"/>
  <c r="G15" i="26"/>
  <c r="AJ14" i="25"/>
  <c r="AJ13" i="25"/>
  <c r="AJ12" i="25"/>
  <c r="AJ11" i="25"/>
  <c r="AJ7" i="25"/>
  <c r="AJ6" i="25"/>
  <c r="AJ5" i="25"/>
  <c r="AJ4" i="25"/>
  <c r="AJ18" i="25"/>
  <c r="AH18" i="25"/>
  <c r="AJ17" i="25"/>
  <c r="AH17" i="25"/>
  <c r="AQ14" i="25"/>
  <c r="AN14" i="25"/>
  <c r="AQ13" i="25"/>
  <c r="AN13" i="25"/>
  <c r="AQ12" i="25"/>
  <c r="AN12" i="25"/>
  <c r="AQ11" i="25"/>
  <c r="AN11" i="25"/>
  <c r="AQ7" i="25"/>
  <c r="AN7" i="25"/>
  <c r="AQ6" i="25"/>
  <c r="AN6" i="25"/>
  <c r="AQ5" i="25"/>
  <c r="AN5" i="25"/>
  <c r="AQ4" i="25"/>
  <c r="AN4" i="25"/>
  <c r="AF14" i="25"/>
  <c r="AC14" i="25"/>
  <c r="Y14" i="25"/>
  <c r="AF13" i="25"/>
  <c r="AC13" i="25"/>
  <c r="Y13" i="25"/>
  <c r="AF12" i="25"/>
  <c r="AC12" i="25"/>
  <c r="Y12" i="25"/>
  <c r="AF11" i="25"/>
  <c r="AC11" i="25"/>
  <c r="Y11" i="25"/>
  <c r="AF10" i="25"/>
  <c r="AC10" i="25"/>
  <c r="Y10" i="25"/>
  <c r="AF9" i="25"/>
  <c r="AC9" i="25"/>
  <c r="Y9" i="25"/>
  <c r="AF8" i="25"/>
  <c r="AC8" i="25"/>
  <c r="Y8" i="25"/>
  <c r="AF7" i="25"/>
  <c r="AC7" i="25"/>
  <c r="Y7" i="25"/>
  <c r="AF6" i="25"/>
  <c r="AC6" i="25"/>
  <c r="Y6" i="25"/>
  <c r="AF5" i="25"/>
  <c r="AC5" i="25"/>
  <c r="Y5" i="25"/>
  <c r="AF4" i="25"/>
  <c r="AC4" i="25"/>
  <c r="Y4" i="25"/>
  <c r="AF3" i="25"/>
  <c r="AC3" i="25"/>
  <c r="Y3" i="25"/>
  <c r="N13" i="25"/>
  <c r="N14" i="25"/>
  <c r="N12" i="25"/>
  <c r="N11" i="25"/>
  <c r="N10" i="25"/>
  <c r="N9" i="25"/>
  <c r="N8" i="25"/>
  <c r="N7" i="25"/>
  <c r="N6" i="25"/>
  <c r="N5" i="25"/>
  <c r="N4" i="25"/>
  <c r="N3" i="25"/>
  <c r="U14" i="25"/>
  <c r="R14" i="25"/>
  <c r="U13" i="25"/>
  <c r="R13" i="25"/>
  <c r="U12" i="25"/>
  <c r="R12" i="25"/>
  <c r="U11" i="25"/>
  <c r="R11" i="25"/>
  <c r="U10" i="25"/>
  <c r="R10" i="25"/>
  <c r="U9" i="25"/>
  <c r="R9" i="25"/>
  <c r="U8" i="25"/>
  <c r="R8" i="25"/>
  <c r="U7" i="25"/>
  <c r="R7" i="25"/>
  <c r="U6" i="25"/>
  <c r="R6" i="25"/>
  <c r="U5" i="25"/>
  <c r="R5" i="25"/>
  <c r="U4" i="25"/>
  <c r="R4" i="25"/>
  <c r="U3" i="25"/>
  <c r="R3" i="25"/>
  <c r="C12" i="25"/>
  <c r="C11" i="25"/>
  <c r="C10" i="25"/>
  <c r="C9" i="25"/>
  <c r="C8" i="25"/>
  <c r="C7" i="25"/>
  <c r="C6" i="25"/>
  <c r="C5" i="25"/>
  <c r="C4" i="25"/>
  <c r="C3" i="25"/>
  <c r="E20" i="25"/>
  <c r="C20" i="25"/>
  <c r="C17" i="25"/>
  <c r="A17" i="25"/>
  <c r="C16" i="25"/>
  <c r="A16" i="25"/>
  <c r="C15" i="25"/>
  <c r="A15" i="25"/>
  <c r="J12" i="25"/>
  <c r="G12" i="25"/>
  <c r="J11" i="25"/>
  <c r="G11" i="25"/>
  <c r="J10" i="25"/>
  <c r="G10" i="25"/>
  <c r="J9" i="25"/>
  <c r="G9" i="25"/>
  <c r="J8" i="25"/>
  <c r="G8" i="25"/>
  <c r="J7" i="25"/>
  <c r="G7" i="25"/>
  <c r="J6" i="25"/>
  <c r="G6" i="25"/>
  <c r="J5" i="25"/>
  <c r="G5" i="25"/>
  <c r="J4" i="25"/>
  <c r="G4" i="25"/>
  <c r="J3" i="25"/>
  <c r="G3" i="25"/>
  <c r="AQ21" i="24"/>
  <c r="AN21" i="24"/>
  <c r="AJ21" i="24"/>
  <c r="AQ20" i="24"/>
  <c r="AN20" i="24"/>
  <c r="AJ20" i="24"/>
  <c r="AQ19" i="24"/>
  <c r="AN19" i="24"/>
  <c r="AJ19" i="24"/>
  <c r="AQ18" i="24"/>
  <c r="AN18" i="24"/>
  <c r="AJ18" i="24"/>
  <c r="AQ14" i="24"/>
  <c r="AN14" i="24"/>
  <c r="AJ14" i="24"/>
  <c r="AQ13" i="24"/>
  <c r="AN13" i="24"/>
  <c r="AJ13" i="24"/>
  <c r="AQ12" i="24"/>
  <c r="AN12" i="24"/>
  <c r="AJ12" i="24"/>
  <c r="AQ11" i="24"/>
  <c r="AN11" i="24"/>
  <c r="AJ11" i="24"/>
  <c r="AJ7" i="24"/>
  <c r="AJ6" i="24"/>
  <c r="AJ5" i="24"/>
  <c r="AJ4" i="24"/>
  <c r="AQ7" i="24"/>
  <c r="AN7" i="24"/>
  <c r="AQ6" i="24"/>
  <c r="AN6" i="24"/>
  <c r="AQ5" i="24"/>
  <c r="AN5" i="24"/>
  <c r="AQ4" i="24"/>
  <c r="AN4" i="24"/>
  <c r="AC9" i="24"/>
  <c r="AA9" i="24"/>
  <c r="Y9" i="24"/>
  <c r="W9" i="24"/>
  <c r="AF6" i="24"/>
  <c r="AC6" i="24"/>
  <c r="Y6" i="24"/>
  <c r="Y5" i="24"/>
  <c r="Y4" i="24"/>
  <c r="Y3" i="24"/>
  <c r="AF5" i="24"/>
  <c r="AC5" i="24"/>
  <c r="AF4" i="24"/>
  <c r="AC4" i="24"/>
  <c r="AF3" i="24"/>
  <c r="AC3" i="24"/>
  <c r="R16" i="24"/>
  <c r="R17" i="24"/>
  <c r="P17" i="24"/>
  <c r="P16" i="24"/>
  <c r="N16" i="24"/>
  <c r="N17" i="24"/>
  <c r="L17" i="24"/>
  <c r="L16" i="24"/>
  <c r="N13" i="24"/>
  <c r="N12" i="24"/>
  <c r="N11" i="24"/>
  <c r="N10" i="24"/>
  <c r="N9" i="24"/>
  <c r="N8" i="24"/>
  <c r="N7" i="24"/>
  <c r="N6" i="24"/>
  <c r="N5" i="24"/>
  <c r="N4" i="24"/>
  <c r="N3" i="24"/>
  <c r="U13" i="24"/>
  <c r="R13" i="24"/>
  <c r="U12" i="24"/>
  <c r="R12" i="24"/>
  <c r="U11" i="24"/>
  <c r="R11" i="24"/>
  <c r="U10" i="24"/>
  <c r="R10" i="24"/>
  <c r="U9" i="24"/>
  <c r="R9" i="24"/>
  <c r="U8" i="24"/>
  <c r="R8" i="24"/>
  <c r="U7" i="24"/>
  <c r="R7" i="24"/>
  <c r="U6" i="24"/>
  <c r="R6" i="24"/>
  <c r="U5" i="24"/>
  <c r="R5" i="24"/>
  <c r="U4" i="24"/>
  <c r="R4" i="24"/>
  <c r="U3" i="24"/>
  <c r="R3" i="24"/>
  <c r="C16" i="24"/>
  <c r="A16" i="24"/>
  <c r="C15" i="24"/>
  <c r="A15" i="24"/>
  <c r="J12" i="24"/>
  <c r="G12" i="24"/>
  <c r="C12" i="24"/>
  <c r="J11" i="24"/>
  <c r="G11" i="24"/>
  <c r="C11" i="24"/>
  <c r="J10" i="24"/>
  <c r="G10" i="24"/>
  <c r="C10" i="24"/>
  <c r="J9" i="24"/>
  <c r="G9" i="24"/>
  <c r="C9" i="24"/>
  <c r="J8" i="24"/>
  <c r="G8" i="24"/>
  <c r="C8" i="24"/>
  <c r="J7" i="24"/>
  <c r="G7" i="24"/>
  <c r="C7" i="24"/>
  <c r="J6" i="24"/>
  <c r="G6" i="24"/>
  <c r="C6" i="24"/>
  <c r="J5" i="24"/>
  <c r="G5" i="24"/>
  <c r="C5" i="24"/>
  <c r="J4" i="24"/>
  <c r="G4" i="24"/>
  <c r="C4" i="24"/>
  <c r="J3" i="24"/>
  <c r="G3" i="24"/>
  <c r="C3" i="24"/>
  <c r="AL19" i="23"/>
  <c r="AL20" i="23"/>
  <c r="AJ20" i="23"/>
  <c r="AJ19" i="23"/>
  <c r="AN15" i="23"/>
  <c r="AN16" i="23"/>
  <c r="AL16" i="23"/>
  <c r="AL15" i="23"/>
  <c r="AJ15" i="23"/>
  <c r="AJ16" i="23"/>
  <c r="AH16" i="23"/>
  <c r="AH15" i="23"/>
  <c r="AJ3" i="23"/>
  <c r="AN3" i="23"/>
  <c r="AQ3" i="23"/>
  <c r="AJ4" i="23"/>
  <c r="AN4" i="23"/>
  <c r="AQ4" i="23"/>
  <c r="AJ5" i="23"/>
  <c r="AN5" i="23"/>
  <c r="AQ5" i="23"/>
  <c r="AJ6" i="23"/>
  <c r="AN6" i="23"/>
  <c r="AQ6" i="23"/>
  <c r="AJ7" i="23"/>
  <c r="AN7" i="23"/>
  <c r="AQ7" i="23"/>
  <c r="AJ8" i="23"/>
  <c r="AN8" i="23"/>
  <c r="AQ8" i="23"/>
  <c r="AJ9" i="23"/>
  <c r="AN9" i="23"/>
  <c r="AQ9" i="23"/>
  <c r="AJ10" i="23"/>
  <c r="AN10" i="23"/>
  <c r="AQ10" i="23"/>
  <c r="AJ11" i="23"/>
  <c r="AN11" i="23"/>
  <c r="AQ11" i="23"/>
  <c r="AJ12" i="23"/>
  <c r="AN12" i="23"/>
  <c r="AQ12" i="23"/>
  <c r="Y15" i="23"/>
  <c r="Y14" i="23"/>
  <c r="Y13" i="23"/>
  <c r="Y12" i="23"/>
  <c r="Y8" i="23"/>
  <c r="Y7" i="23"/>
  <c r="Y6" i="23"/>
  <c r="Y5" i="23"/>
  <c r="Y4" i="23"/>
  <c r="AC19" i="23"/>
  <c r="AA19" i="23"/>
  <c r="Y19" i="23"/>
  <c r="W19" i="23"/>
  <c r="AC18" i="23"/>
  <c r="AA18" i="23"/>
  <c r="Y18" i="23"/>
  <c r="W18" i="23"/>
  <c r="AF15" i="23"/>
  <c r="AC15" i="23"/>
  <c r="AF14" i="23"/>
  <c r="AC14" i="23"/>
  <c r="AF13" i="23"/>
  <c r="AC13" i="23"/>
  <c r="AF12" i="23"/>
  <c r="AC12" i="23"/>
  <c r="AF8" i="23"/>
  <c r="AC8" i="23"/>
  <c r="AF7" i="23"/>
  <c r="AC7" i="23"/>
  <c r="AF6" i="23"/>
  <c r="AC6" i="23"/>
  <c r="AF5" i="23"/>
  <c r="AC5" i="23"/>
  <c r="AF4" i="23"/>
  <c r="AC4" i="23"/>
  <c r="N9" i="23"/>
  <c r="N10" i="23"/>
  <c r="N11" i="23"/>
  <c r="N12" i="23"/>
  <c r="N13" i="23"/>
  <c r="N14" i="23"/>
  <c r="N15" i="23"/>
  <c r="N16" i="23"/>
  <c r="N17" i="23"/>
  <c r="N18" i="23"/>
  <c r="N8" i="23"/>
  <c r="N7" i="23"/>
  <c r="N6" i="23"/>
  <c r="N5" i="23"/>
  <c r="N4" i="23"/>
  <c r="N3" i="23"/>
  <c r="R24" i="23"/>
  <c r="P24" i="23"/>
  <c r="N24" i="23"/>
  <c r="L24" i="23"/>
  <c r="R23" i="23"/>
  <c r="P23" i="23"/>
  <c r="N23" i="23"/>
  <c r="L23" i="23"/>
  <c r="R22" i="23"/>
  <c r="P22" i="23"/>
  <c r="N22" i="23"/>
  <c r="L22" i="23"/>
  <c r="R21" i="23"/>
  <c r="P21" i="23"/>
  <c r="N21" i="23"/>
  <c r="L21" i="23"/>
  <c r="U18" i="23"/>
  <c r="R18" i="23"/>
  <c r="U17" i="23"/>
  <c r="R17" i="23"/>
  <c r="U16" i="23"/>
  <c r="R16" i="23"/>
  <c r="U15" i="23"/>
  <c r="R15" i="23"/>
  <c r="U14" i="23"/>
  <c r="R14" i="23"/>
  <c r="U13" i="23"/>
  <c r="R13" i="23"/>
  <c r="U12" i="23"/>
  <c r="R12" i="23"/>
  <c r="U11" i="23"/>
  <c r="R11" i="23"/>
  <c r="U10" i="23"/>
  <c r="R10" i="23"/>
  <c r="U9" i="23"/>
  <c r="R9" i="23"/>
  <c r="U8" i="23"/>
  <c r="R8" i="23"/>
  <c r="U7" i="23"/>
  <c r="R7" i="23"/>
  <c r="U6" i="23"/>
  <c r="R6" i="23"/>
  <c r="U5" i="23"/>
  <c r="R5" i="23"/>
  <c r="U4" i="23"/>
  <c r="R4" i="23"/>
  <c r="U3" i="23"/>
  <c r="R3" i="23"/>
  <c r="C17" i="23"/>
  <c r="C14" i="23"/>
  <c r="C13" i="23"/>
  <c r="C18" i="23"/>
  <c r="C16" i="23"/>
  <c r="C15" i="23"/>
  <c r="C9" i="23"/>
  <c r="C4" i="23"/>
  <c r="C6" i="23"/>
  <c r="C5" i="23"/>
  <c r="C7" i="23"/>
  <c r="C8" i="23"/>
  <c r="C46" i="23"/>
  <c r="C45" i="23"/>
  <c r="C44" i="23"/>
  <c r="C43" i="23"/>
  <c r="J46" i="23"/>
  <c r="G46" i="23"/>
  <c r="J45" i="23"/>
  <c r="G45" i="23"/>
  <c r="J44" i="23"/>
  <c r="G44" i="23"/>
  <c r="J43" i="23"/>
  <c r="G43" i="23"/>
  <c r="C24" i="23"/>
  <c r="A24" i="23"/>
  <c r="C23" i="23"/>
  <c r="A23" i="23"/>
  <c r="C22" i="23"/>
  <c r="A22" i="23"/>
  <c r="C21" i="23"/>
  <c r="A21" i="23"/>
  <c r="J17" i="23"/>
  <c r="G17" i="23"/>
  <c r="J14" i="23"/>
  <c r="G14" i="23"/>
  <c r="J13" i="23"/>
  <c r="G13" i="23"/>
  <c r="J18" i="23"/>
  <c r="G18" i="23"/>
  <c r="J16" i="23"/>
  <c r="G16" i="23"/>
  <c r="J15" i="23"/>
  <c r="G15" i="23"/>
  <c r="J4" i="23"/>
  <c r="G4" i="23"/>
  <c r="J9" i="23"/>
  <c r="G9" i="23"/>
  <c r="J6" i="23"/>
  <c r="G6" i="23"/>
  <c r="J5" i="23"/>
  <c r="G5" i="23"/>
  <c r="J7" i="23"/>
  <c r="G7" i="23"/>
  <c r="J8" i="23"/>
  <c r="G8" i="23"/>
  <c r="N9" i="22"/>
  <c r="L9" i="22"/>
  <c r="U6" i="22"/>
  <c r="R6" i="22"/>
  <c r="N6" i="22"/>
  <c r="U5" i="22"/>
  <c r="R5" i="22"/>
  <c r="N5" i="22"/>
  <c r="U4" i="22"/>
  <c r="R4" i="22"/>
  <c r="N4" i="22"/>
  <c r="U3" i="22"/>
  <c r="R3" i="22"/>
  <c r="N3" i="22"/>
  <c r="C16" i="22"/>
  <c r="A16" i="22"/>
  <c r="C15" i="22"/>
  <c r="A15" i="22"/>
  <c r="J12" i="22"/>
  <c r="G12" i="22"/>
  <c r="C12" i="22"/>
  <c r="J11" i="22"/>
  <c r="G11" i="22"/>
  <c r="C11" i="22"/>
  <c r="J10" i="22"/>
  <c r="G10" i="22"/>
  <c r="C10" i="22"/>
  <c r="J9" i="22"/>
  <c r="G9" i="22"/>
  <c r="C9" i="22"/>
  <c r="J8" i="22"/>
  <c r="G8" i="22"/>
  <c r="C8" i="22"/>
  <c r="J7" i="22"/>
  <c r="G7" i="22"/>
  <c r="C7" i="22"/>
  <c r="J6" i="22"/>
  <c r="G6" i="22"/>
  <c r="C6" i="22"/>
  <c r="J5" i="22"/>
  <c r="G5" i="22"/>
  <c r="C5" i="22"/>
  <c r="J4" i="22"/>
  <c r="G4" i="22"/>
  <c r="C4" i="22"/>
  <c r="J3" i="22"/>
  <c r="G3" i="22"/>
  <c r="C3" i="22"/>
  <c r="C9" i="21"/>
  <c r="C8" i="21"/>
  <c r="C7" i="21"/>
  <c r="C6" i="21"/>
  <c r="C5" i="21"/>
  <c r="C4" i="21"/>
  <c r="C3" i="21"/>
  <c r="G13" i="21"/>
  <c r="E13" i="21"/>
  <c r="C13" i="21"/>
  <c r="A13" i="21"/>
  <c r="G12" i="21"/>
  <c r="E12" i="21"/>
  <c r="C12" i="21"/>
  <c r="A12" i="21"/>
  <c r="J9" i="21"/>
  <c r="G9" i="21"/>
  <c r="J8" i="21"/>
  <c r="G8" i="21"/>
  <c r="J7" i="21"/>
  <c r="G7" i="21"/>
  <c r="J6" i="21"/>
  <c r="G6" i="21"/>
  <c r="J5" i="21"/>
  <c r="G5" i="21"/>
  <c r="J4" i="21"/>
  <c r="G4" i="21"/>
  <c r="J3" i="21"/>
  <c r="G3" i="21"/>
  <c r="N16" i="20"/>
  <c r="N15" i="20"/>
  <c r="N14" i="20"/>
  <c r="N13" i="20"/>
  <c r="N9" i="20"/>
  <c r="N8" i="20"/>
  <c r="N7" i="20"/>
  <c r="N6" i="20"/>
  <c r="N5" i="20"/>
  <c r="N4" i="20"/>
  <c r="N3" i="20"/>
  <c r="U16" i="20"/>
  <c r="R16" i="20"/>
  <c r="U15" i="20"/>
  <c r="R15" i="20"/>
  <c r="U14" i="20"/>
  <c r="R14" i="20"/>
  <c r="U13" i="20"/>
  <c r="R13" i="20"/>
  <c r="U9" i="20"/>
  <c r="R9" i="20"/>
  <c r="U8" i="20"/>
  <c r="R8" i="20"/>
  <c r="U7" i="20"/>
  <c r="R7" i="20"/>
  <c r="U6" i="20"/>
  <c r="R6" i="20"/>
  <c r="U5" i="20"/>
  <c r="R5" i="20"/>
  <c r="U4" i="20"/>
  <c r="R4" i="20"/>
  <c r="U3" i="20"/>
  <c r="R3" i="20"/>
  <c r="C10" i="20"/>
  <c r="C9" i="20"/>
  <c r="C8" i="20"/>
  <c r="C7" i="20"/>
  <c r="C6" i="20"/>
  <c r="C5" i="20"/>
  <c r="C4" i="20"/>
  <c r="C3" i="20"/>
  <c r="E18" i="20"/>
  <c r="C18" i="20"/>
  <c r="E17" i="20"/>
  <c r="C17" i="20"/>
  <c r="G14" i="20"/>
  <c r="E14" i="20"/>
  <c r="C14" i="20"/>
  <c r="A14" i="20"/>
  <c r="G13" i="20"/>
  <c r="E13" i="20"/>
  <c r="C13" i="20"/>
  <c r="A13" i="20"/>
  <c r="J10" i="20"/>
  <c r="G10" i="20"/>
  <c r="J9" i="20"/>
  <c r="G9" i="20"/>
  <c r="J8" i="20"/>
  <c r="G8" i="20"/>
  <c r="J7" i="20"/>
  <c r="G7" i="20"/>
  <c r="J6" i="20"/>
  <c r="G6" i="20"/>
  <c r="J5" i="20"/>
  <c r="G5" i="20"/>
  <c r="J4" i="20"/>
  <c r="G4" i="20"/>
  <c r="J3" i="20"/>
  <c r="G3" i="20"/>
  <c r="AY33" i="19"/>
  <c r="AY34" i="19"/>
  <c r="AW34" i="19"/>
  <c r="AW33" i="19"/>
  <c r="AU33" i="19"/>
  <c r="AU34" i="19"/>
  <c r="AS34" i="19"/>
  <c r="AS33" i="19"/>
  <c r="AY31" i="19"/>
  <c r="AY32" i="19"/>
  <c r="AW32" i="19"/>
  <c r="AW31" i="19"/>
  <c r="AU31" i="19"/>
  <c r="AU32" i="19"/>
  <c r="AS32" i="19"/>
  <c r="AS31" i="19"/>
  <c r="BB22" i="19"/>
  <c r="AY22" i="19"/>
  <c r="AU22" i="19"/>
  <c r="BB23" i="19"/>
  <c r="AY23" i="19"/>
  <c r="AU23" i="19"/>
  <c r="BB25" i="19"/>
  <c r="AY25" i="19"/>
  <c r="AU25" i="19"/>
  <c r="BB18" i="19"/>
  <c r="AY18" i="19"/>
  <c r="AU18" i="19"/>
  <c r="BB27" i="19"/>
  <c r="AY27" i="19"/>
  <c r="AU27" i="19"/>
  <c r="BB28" i="19"/>
  <c r="AY28" i="19"/>
  <c r="AU28" i="19"/>
  <c r="BB19" i="19"/>
  <c r="AY19" i="19"/>
  <c r="AU19" i="19"/>
  <c r="BB21" i="19"/>
  <c r="AY21" i="19"/>
  <c r="AU21" i="19"/>
  <c r="BB20" i="19"/>
  <c r="AY20" i="19"/>
  <c r="AU20" i="19"/>
  <c r="BB26" i="19"/>
  <c r="AY26" i="19"/>
  <c r="AU26" i="19"/>
  <c r="BB24" i="19"/>
  <c r="AY24" i="19"/>
  <c r="AU24" i="19"/>
  <c r="AU12" i="19"/>
  <c r="AY12" i="19"/>
  <c r="BB12" i="19"/>
  <c r="BB14" i="19"/>
  <c r="AY14" i="19"/>
  <c r="AU14" i="19"/>
  <c r="BB4" i="19"/>
  <c r="AY4" i="19"/>
  <c r="AU4" i="19"/>
  <c r="BB10" i="19"/>
  <c r="AY10" i="19"/>
  <c r="AU10" i="19"/>
  <c r="BB11" i="19"/>
  <c r="AY11" i="19"/>
  <c r="AU11" i="19"/>
  <c r="BB13" i="19"/>
  <c r="AY13" i="19"/>
  <c r="AU13" i="19"/>
  <c r="BB7" i="19"/>
  <c r="AY7" i="19"/>
  <c r="AU7" i="19"/>
  <c r="BB8" i="19"/>
  <c r="AY8" i="19"/>
  <c r="AU8" i="19"/>
  <c r="BB9" i="19"/>
  <c r="AY9" i="19"/>
  <c r="AU9" i="19"/>
  <c r="BB6" i="19"/>
  <c r="AY6" i="19"/>
  <c r="AU6" i="19"/>
  <c r="BB5" i="19"/>
  <c r="AY5" i="19"/>
  <c r="AU5" i="19"/>
  <c r="AJ12" i="19"/>
  <c r="AJ11" i="19"/>
  <c r="AJ10" i="19"/>
  <c r="AJ9" i="19"/>
  <c r="AJ8" i="19"/>
  <c r="AJ7" i="19"/>
  <c r="AJ6" i="19"/>
  <c r="AJ5" i="19"/>
  <c r="AJ4" i="19"/>
  <c r="AJ3" i="19"/>
  <c r="AN16" i="19"/>
  <c r="AL16" i="19"/>
  <c r="AJ16" i="19"/>
  <c r="AH16" i="19"/>
  <c r="AN15" i="19"/>
  <c r="AL15" i="19"/>
  <c r="AJ15" i="19"/>
  <c r="AH15" i="19"/>
  <c r="AQ12" i="19"/>
  <c r="AN12" i="19"/>
  <c r="AQ11" i="19"/>
  <c r="AN11" i="19"/>
  <c r="AQ10" i="19"/>
  <c r="AN10" i="19"/>
  <c r="AQ9" i="19"/>
  <c r="AN9" i="19"/>
  <c r="AQ8" i="19"/>
  <c r="AN8" i="19"/>
  <c r="AQ7" i="19"/>
  <c r="AN7" i="19"/>
  <c r="AQ6" i="19"/>
  <c r="AN6" i="19"/>
  <c r="AQ5" i="19"/>
  <c r="AN5" i="19"/>
  <c r="AQ4" i="19"/>
  <c r="AN4" i="19"/>
  <c r="AQ3" i="19"/>
  <c r="AN3" i="19"/>
  <c r="Y14" i="19"/>
  <c r="Y13" i="19"/>
  <c r="Y12" i="19"/>
  <c r="Y11" i="19"/>
  <c r="Y10" i="19"/>
  <c r="Y9" i="19"/>
  <c r="Y8" i="19"/>
  <c r="Y7" i="19"/>
  <c r="Y6" i="19"/>
  <c r="Y5" i="19"/>
  <c r="Y4" i="19"/>
  <c r="Y3" i="19"/>
  <c r="AC3" i="19"/>
  <c r="AA17" i="19"/>
  <c r="AC18" i="19"/>
  <c r="AA18" i="19"/>
  <c r="Y18" i="19"/>
  <c r="W18" i="19"/>
  <c r="AC17" i="19"/>
  <c r="Y17" i="19"/>
  <c r="W17" i="19"/>
  <c r="AF14" i="19"/>
  <c r="AC14" i="19"/>
  <c r="AF13" i="19"/>
  <c r="AC13" i="19"/>
  <c r="AF12" i="19"/>
  <c r="AC12" i="19"/>
  <c r="AF11" i="19"/>
  <c r="AC11" i="19"/>
  <c r="AF10" i="19"/>
  <c r="AC10" i="19"/>
  <c r="AF9" i="19"/>
  <c r="AC9" i="19"/>
  <c r="AF8" i="19"/>
  <c r="AC8" i="19"/>
  <c r="AF7" i="19"/>
  <c r="AC7" i="19"/>
  <c r="AF6" i="19"/>
  <c r="AC6" i="19"/>
  <c r="AF5" i="19"/>
  <c r="AC5" i="19"/>
  <c r="AF4" i="19"/>
  <c r="AC4" i="19"/>
  <c r="AF3" i="19"/>
  <c r="N9" i="19"/>
  <c r="N10" i="19"/>
  <c r="N11" i="19"/>
  <c r="N12" i="19"/>
  <c r="N13" i="19"/>
  <c r="N14" i="19"/>
  <c r="N8" i="19"/>
  <c r="N7" i="19"/>
  <c r="N6" i="19"/>
  <c r="N5" i="19"/>
  <c r="N4" i="19"/>
  <c r="N3" i="19"/>
  <c r="R18" i="19"/>
  <c r="P18" i="19"/>
  <c r="N18" i="19"/>
  <c r="L18" i="19"/>
  <c r="R17" i="19"/>
  <c r="P17" i="19"/>
  <c r="N17" i="19"/>
  <c r="L17" i="19"/>
  <c r="U14" i="19"/>
  <c r="R14" i="19"/>
  <c r="U13" i="19"/>
  <c r="R13" i="19"/>
  <c r="U12" i="19"/>
  <c r="R12" i="19"/>
  <c r="U11" i="19"/>
  <c r="R11" i="19"/>
  <c r="U10" i="19"/>
  <c r="R10" i="19"/>
  <c r="U9" i="19"/>
  <c r="R9" i="19"/>
  <c r="U8" i="19"/>
  <c r="R8" i="19"/>
  <c r="U7" i="19"/>
  <c r="R7" i="19"/>
  <c r="U6" i="19"/>
  <c r="R6" i="19"/>
  <c r="U5" i="19"/>
  <c r="R5" i="19"/>
  <c r="U4" i="19"/>
  <c r="R4" i="19"/>
  <c r="U3" i="19"/>
  <c r="R3" i="19"/>
  <c r="C46" i="19"/>
  <c r="C45" i="19"/>
  <c r="C44" i="19"/>
  <c r="C43" i="19"/>
  <c r="C15" i="19"/>
  <c r="C13" i="19"/>
  <c r="C17" i="19"/>
  <c r="C16" i="19"/>
  <c r="C18" i="19"/>
  <c r="C14" i="19"/>
  <c r="C7" i="19"/>
  <c r="C6" i="19"/>
  <c r="C5" i="19"/>
  <c r="C9" i="19"/>
  <c r="C4" i="19"/>
  <c r="C8" i="19"/>
  <c r="J46" i="19"/>
  <c r="G46" i="19"/>
  <c r="J45" i="19"/>
  <c r="G45" i="19"/>
  <c r="J44" i="19"/>
  <c r="G44" i="19"/>
  <c r="J43" i="19"/>
  <c r="G43" i="19"/>
  <c r="C24" i="19"/>
  <c r="A24" i="19"/>
  <c r="C23" i="19"/>
  <c r="A23" i="19"/>
  <c r="C22" i="19"/>
  <c r="A22" i="19"/>
  <c r="C21" i="19"/>
  <c r="A21" i="19"/>
  <c r="J15" i="19"/>
  <c r="G15" i="19"/>
  <c r="J13" i="19"/>
  <c r="G13" i="19"/>
  <c r="J17" i="19"/>
  <c r="G17" i="19"/>
  <c r="J16" i="19"/>
  <c r="G16" i="19"/>
  <c r="J18" i="19"/>
  <c r="G18" i="19"/>
  <c r="J14" i="19"/>
  <c r="G14" i="19"/>
  <c r="J7" i="19"/>
  <c r="G7" i="19"/>
  <c r="J6" i="19"/>
  <c r="G6" i="19"/>
  <c r="J5" i="19"/>
  <c r="G5" i="19"/>
  <c r="J9" i="19"/>
  <c r="G9" i="19"/>
  <c r="J4" i="19"/>
  <c r="G4" i="19"/>
  <c r="J8" i="19"/>
  <c r="G8" i="19"/>
  <c r="AJ18" i="18"/>
  <c r="AJ17" i="18"/>
  <c r="AJ16" i="18"/>
  <c r="AJ15" i="18"/>
  <c r="AJ14" i="18"/>
  <c r="AJ13" i="18"/>
  <c r="AJ8" i="18"/>
  <c r="AJ9" i="18"/>
  <c r="AJ7" i="18"/>
  <c r="AJ6" i="18"/>
  <c r="AJ5" i="18"/>
  <c r="AJ4" i="18"/>
  <c r="AN24" i="18"/>
  <c r="AL24" i="18"/>
  <c r="AJ24" i="18"/>
  <c r="AH24" i="18"/>
  <c r="AN23" i="18"/>
  <c r="AL23" i="18"/>
  <c r="AJ23" i="18"/>
  <c r="AH23" i="18"/>
  <c r="AN22" i="18"/>
  <c r="AL22" i="18"/>
  <c r="AJ22" i="18"/>
  <c r="AH22" i="18"/>
  <c r="AN21" i="18"/>
  <c r="AL21" i="18"/>
  <c r="AJ21" i="18"/>
  <c r="AH21" i="18"/>
  <c r="AQ18" i="18"/>
  <c r="AN18" i="18"/>
  <c r="AQ17" i="18"/>
  <c r="AN17" i="18"/>
  <c r="AQ16" i="18"/>
  <c r="AN16" i="18"/>
  <c r="AQ15" i="18"/>
  <c r="AN15" i="18"/>
  <c r="AQ14" i="18"/>
  <c r="AN14" i="18"/>
  <c r="AQ13" i="18"/>
  <c r="AN13" i="18"/>
  <c r="AQ9" i="18"/>
  <c r="AN9" i="18"/>
  <c r="AQ8" i="18"/>
  <c r="AN8" i="18"/>
  <c r="AQ7" i="18"/>
  <c r="AN7" i="18"/>
  <c r="AQ6" i="18"/>
  <c r="AN6" i="18"/>
  <c r="AQ5" i="18"/>
  <c r="AN5" i="18"/>
  <c r="AQ4" i="18"/>
  <c r="AN4" i="18"/>
  <c r="Y21" i="18"/>
  <c r="Y20" i="18"/>
  <c r="Y19" i="18"/>
  <c r="Y18" i="18"/>
  <c r="Y14" i="18"/>
  <c r="Y13" i="18"/>
  <c r="Y12" i="18"/>
  <c r="Y11" i="18"/>
  <c r="Y7" i="18"/>
  <c r="Y6" i="18"/>
  <c r="Y5" i="18"/>
  <c r="Y4" i="18"/>
  <c r="AF21" i="18"/>
  <c r="AC21" i="18"/>
  <c r="AF20" i="18"/>
  <c r="AC20" i="18"/>
  <c r="AF19" i="18"/>
  <c r="AC19" i="18"/>
  <c r="AF18" i="18"/>
  <c r="AC18" i="18"/>
  <c r="AF14" i="18"/>
  <c r="AC14" i="18"/>
  <c r="AF13" i="18"/>
  <c r="AC13" i="18"/>
  <c r="AF12" i="18"/>
  <c r="AC12" i="18"/>
  <c r="AF11" i="18"/>
  <c r="AC11" i="18"/>
  <c r="AF7" i="18"/>
  <c r="AC7" i="18"/>
  <c r="AF6" i="18"/>
  <c r="AC6" i="18"/>
  <c r="AF5" i="18"/>
  <c r="AC5" i="18"/>
  <c r="AF4" i="18"/>
  <c r="AC4" i="18"/>
  <c r="N9" i="18"/>
  <c r="N10" i="18"/>
  <c r="N11" i="18"/>
  <c r="N12" i="18"/>
  <c r="N8" i="18"/>
  <c r="N7" i="18"/>
  <c r="N6" i="18"/>
  <c r="N5" i="18"/>
  <c r="N4" i="18"/>
  <c r="N3" i="18"/>
  <c r="R18" i="18"/>
  <c r="P18" i="18"/>
  <c r="N18" i="18"/>
  <c r="L18" i="18"/>
  <c r="R17" i="18"/>
  <c r="P17" i="18"/>
  <c r="N17" i="18"/>
  <c r="L17" i="18"/>
  <c r="R16" i="18"/>
  <c r="P16" i="18"/>
  <c r="N16" i="18"/>
  <c r="L16" i="18"/>
  <c r="R15" i="18"/>
  <c r="P15" i="18"/>
  <c r="N15" i="18"/>
  <c r="L15" i="18"/>
  <c r="U12" i="18"/>
  <c r="R12" i="18"/>
  <c r="U11" i="18"/>
  <c r="R11" i="18"/>
  <c r="U10" i="18"/>
  <c r="R10" i="18"/>
  <c r="U9" i="18"/>
  <c r="R9" i="18"/>
  <c r="U8" i="18"/>
  <c r="R8" i="18"/>
  <c r="U7" i="18"/>
  <c r="R7" i="18"/>
  <c r="U6" i="18"/>
  <c r="R6" i="18"/>
  <c r="U5" i="18"/>
  <c r="R5" i="18"/>
  <c r="U4" i="18"/>
  <c r="R4" i="18"/>
  <c r="U3" i="18"/>
  <c r="R3" i="18"/>
  <c r="C16" i="18"/>
  <c r="C18" i="18"/>
  <c r="C13" i="18"/>
  <c r="C17" i="18"/>
  <c r="C14" i="18"/>
  <c r="C15" i="18"/>
  <c r="C7" i="18"/>
  <c r="C4" i="18"/>
  <c r="C6" i="18"/>
  <c r="C9" i="18"/>
  <c r="C8" i="18"/>
  <c r="C5" i="18"/>
  <c r="G24" i="18"/>
  <c r="E24" i="18"/>
  <c r="C24" i="18"/>
  <c r="A24" i="18"/>
  <c r="G23" i="18"/>
  <c r="E23" i="18"/>
  <c r="C23" i="18"/>
  <c r="A23" i="18"/>
  <c r="G22" i="18"/>
  <c r="E22" i="18"/>
  <c r="C22" i="18"/>
  <c r="A22" i="18"/>
  <c r="G21" i="18"/>
  <c r="E21" i="18"/>
  <c r="C21" i="18"/>
  <c r="A21" i="18"/>
  <c r="J16" i="18"/>
  <c r="G16" i="18"/>
  <c r="J18" i="18"/>
  <c r="G18" i="18"/>
  <c r="J13" i="18"/>
  <c r="G13" i="18"/>
  <c r="J17" i="18"/>
  <c r="G17" i="18"/>
  <c r="J14" i="18"/>
  <c r="G14" i="18"/>
  <c r="J15" i="18"/>
  <c r="G15" i="18"/>
  <c r="J7" i="18"/>
  <c r="G7" i="18"/>
  <c r="J4" i="18"/>
  <c r="G4" i="18"/>
  <c r="J6" i="18"/>
  <c r="G6" i="18"/>
  <c r="J9" i="18"/>
  <c r="G9" i="18"/>
  <c r="J8" i="18"/>
  <c r="G8" i="18"/>
  <c r="J5" i="18"/>
  <c r="G5" i="18"/>
  <c r="N8" i="17"/>
  <c r="N7" i="17"/>
  <c r="N6" i="17"/>
  <c r="N5" i="17"/>
  <c r="N4" i="17"/>
  <c r="N3" i="17"/>
  <c r="R12" i="17"/>
  <c r="P12" i="17"/>
  <c r="N12" i="17"/>
  <c r="L12" i="17"/>
  <c r="R11" i="17"/>
  <c r="P11" i="17"/>
  <c r="N11" i="17"/>
  <c r="L11" i="17"/>
  <c r="U8" i="17"/>
  <c r="R8" i="17"/>
  <c r="U7" i="17"/>
  <c r="R7" i="17"/>
  <c r="U6" i="17"/>
  <c r="R6" i="17"/>
  <c r="U5" i="17"/>
  <c r="R5" i="17"/>
  <c r="U4" i="17"/>
  <c r="R4" i="17"/>
  <c r="U3" i="17"/>
  <c r="R3" i="17"/>
  <c r="C10" i="17"/>
  <c r="C9" i="17"/>
  <c r="C8" i="17"/>
  <c r="C7" i="17"/>
  <c r="C6" i="17"/>
  <c r="C5" i="17"/>
  <c r="C4" i="17"/>
  <c r="C3" i="17"/>
  <c r="G14" i="17"/>
  <c r="E14" i="17"/>
  <c r="C14" i="17"/>
  <c r="A14" i="17"/>
  <c r="G13" i="17"/>
  <c r="E13" i="17"/>
  <c r="C13" i="17"/>
  <c r="A13" i="17"/>
  <c r="J10" i="17"/>
  <c r="G10" i="17"/>
  <c r="J9" i="17"/>
  <c r="G9" i="17"/>
  <c r="J8" i="17"/>
  <c r="G8" i="17"/>
  <c r="J7" i="17"/>
  <c r="G7" i="17"/>
  <c r="J6" i="17"/>
  <c r="G6" i="17"/>
  <c r="J5" i="17"/>
  <c r="G5" i="17"/>
  <c r="J4" i="17"/>
  <c r="G4" i="17"/>
  <c r="J3" i="17"/>
  <c r="G3" i="17"/>
  <c r="U24" i="16"/>
  <c r="R24" i="16"/>
  <c r="N24" i="16"/>
  <c r="U23" i="16"/>
  <c r="R23" i="16"/>
  <c r="N23" i="16"/>
  <c r="U22" i="16"/>
  <c r="R22" i="16"/>
  <c r="N22" i="16"/>
  <c r="U21" i="16"/>
  <c r="R21" i="16"/>
  <c r="N21" i="16"/>
  <c r="U20" i="16"/>
  <c r="R20" i="16"/>
  <c r="N20" i="16"/>
  <c r="U16" i="16"/>
  <c r="R16" i="16"/>
  <c r="N16" i="16"/>
  <c r="U15" i="16"/>
  <c r="R15" i="16"/>
  <c r="N15" i="16"/>
  <c r="U14" i="16"/>
  <c r="R14" i="16"/>
  <c r="N14" i="16"/>
  <c r="U13" i="16"/>
  <c r="R13" i="16"/>
  <c r="N13" i="16"/>
  <c r="U12" i="16"/>
  <c r="R12" i="16"/>
  <c r="N12" i="16"/>
  <c r="U8" i="16"/>
  <c r="R8" i="16"/>
  <c r="N8" i="16"/>
  <c r="U7" i="16"/>
  <c r="R7" i="16"/>
  <c r="N7" i="16"/>
  <c r="U6" i="16"/>
  <c r="R6" i="16"/>
  <c r="N6" i="16"/>
  <c r="U5" i="16"/>
  <c r="R5" i="16"/>
  <c r="N5" i="16"/>
  <c r="U4" i="16"/>
  <c r="R4" i="16"/>
  <c r="N4" i="16"/>
  <c r="G20" i="16"/>
  <c r="E20" i="16"/>
  <c r="C20" i="16"/>
  <c r="A20" i="16"/>
  <c r="G19" i="16"/>
  <c r="E19" i="16"/>
  <c r="C19" i="16"/>
  <c r="A19" i="16"/>
  <c r="J16" i="16"/>
  <c r="G16" i="16"/>
  <c r="C16" i="16"/>
  <c r="J15" i="16"/>
  <c r="G15" i="16"/>
  <c r="C15" i="16"/>
  <c r="J14" i="16"/>
  <c r="G14" i="16"/>
  <c r="C14" i="16"/>
  <c r="J13" i="16"/>
  <c r="G13" i="16"/>
  <c r="C13" i="16"/>
  <c r="J12" i="16"/>
  <c r="G12" i="16"/>
  <c r="C12" i="16"/>
  <c r="J8" i="16"/>
  <c r="G8" i="16"/>
  <c r="C8" i="16"/>
  <c r="J7" i="16"/>
  <c r="G7" i="16"/>
  <c r="C7" i="16"/>
  <c r="J6" i="16"/>
  <c r="G6" i="16"/>
  <c r="C6" i="16"/>
  <c r="J5" i="16"/>
  <c r="G5" i="16"/>
  <c r="C5" i="16"/>
  <c r="J4" i="16"/>
  <c r="G4" i="16"/>
  <c r="C4" i="16"/>
  <c r="AL12" i="15"/>
  <c r="AN12" i="15"/>
  <c r="AN11" i="15"/>
  <c r="AL11" i="15"/>
  <c r="AJ11" i="15"/>
  <c r="AJ12" i="15"/>
  <c r="AH12" i="15"/>
  <c r="AH11" i="15"/>
  <c r="AQ8" i="15"/>
  <c r="AN8" i="15"/>
  <c r="AJ8" i="15"/>
  <c r="AQ7" i="15"/>
  <c r="AN7" i="15"/>
  <c r="AJ7" i="15"/>
  <c r="AQ6" i="15"/>
  <c r="AN6" i="15"/>
  <c r="AJ6" i="15"/>
  <c r="AQ5" i="15"/>
  <c r="AN5" i="15"/>
  <c r="AJ5" i="15"/>
  <c r="AQ4" i="15"/>
  <c r="AN4" i="15"/>
  <c r="AJ4" i="15"/>
  <c r="AQ3" i="15"/>
  <c r="AN3" i="15"/>
  <c r="AJ3" i="15"/>
  <c r="Y7" i="15"/>
  <c r="Y6" i="15"/>
  <c r="Y5" i="15"/>
  <c r="Y4" i="15"/>
  <c r="Y3" i="15"/>
  <c r="Y10" i="15"/>
  <c r="W10" i="15"/>
  <c r="AF7" i="15"/>
  <c r="AC7" i="15"/>
  <c r="AF6" i="15"/>
  <c r="AC6" i="15"/>
  <c r="AF5" i="15"/>
  <c r="AC5" i="15"/>
  <c r="AF4" i="15"/>
  <c r="AC4" i="15"/>
  <c r="AF3" i="15"/>
  <c r="AC3" i="15"/>
  <c r="N13" i="15"/>
  <c r="N14" i="15"/>
  <c r="N12" i="15"/>
  <c r="N11" i="15"/>
  <c r="N10" i="15"/>
  <c r="N9" i="15"/>
  <c r="N8" i="15"/>
  <c r="N7" i="15"/>
  <c r="N6" i="15"/>
  <c r="N5" i="15"/>
  <c r="N4" i="15"/>
  <c r="N3" i="15"/>
  <c r="P22" i="15"/>
  <c r="N22" i="15"/>
  <c r="P21" i="15"/>
  <c r="N21" i="15"/>
  <c r="N18" i="15"/>
  <c r="L18" i="15"/>
  <c r="N17" i="15"/>
  <c r="L17" i="15"/>
  <c r="U14" i="15"/>
  <c r="R14" i="15"/>
  <c r="U13" i="15"/>
  <c r="R13" i="15"/>
  <c r="U12" i="15"/>
  <c r="R12" i="15"/>
  <c r="U11" i="15"/>
  <c r="R11" i="15"/>
  <c r="U10" i="15"/>
  <c r="R10" i="15"/>
  <c r="U9" i="15"/>
  <c r="R9" i="15"/>
  <c r="U8" i="15"/>
  <c r="R8" i="15"/>
  <c r="U7" i="15"/>
  <c r="R7" i="15"/>
  <c r="U6" i="15"/>
  <c r="R6" i="15"/>
  <c r="U5" i="15"/>
  <c r="R5" i="15"/>
  <c r="U4" i="15"/>
  <c r="R4" i="15"/>
  <c r="U3" i="15"/>
  <c r="R3" i="15"/>
  <c r="C12" i="15"/>
  <c r="C11" i="15"/>
  <c r="C10" i="15"/>
  <c r="C9" i="15"/>
  <c r="C8" i="15"/>
  <c r="C7" i="15"/>
  <c r="C6" i="15"/>
  <c r="C5" i="15"/>
  <c r="C4" i="15"/>
  <c r="C3" i="15"/>
  <c r="G16" i="15"/>
  <c r="E16" i="15"/>
  <c r="C16" i="15"/>
  <c r="A16" i="15"/>
  <c r="G15" i="15"/>
  <c r="E15" i="15"/>
  <c r="C15" i="15"/>
  <c r="A15" i="15"/>
  <c r="J12" i="15"/>
  <c r="G12" i="15"/>
  <c r="J11" i="15"/>
  <c r="G11" i="15"/>
  <c r="J10" i="15"/>
  <c r="G10" i="15"/>
  <c r="J9" i="15"/>
  <c r="G9" i="15"/>
  <c r="J8" i="15"/>
  <c r="G8" i="15"/>
  <c r="J7" i="15"/>
  <c r="G7" i="15"/>
  <c r="J6" i="15"/>
  <c r="G6" i="15"/>
  <c r="J5" i="15"/>
  <c r="G5" i="15"/>
  <c r="J4" i="15"/>
  <c r="G4" i="15"/>
  <c r="J3" i="15"/>
  <c r="G3" i="15"/>
  <c r="AC25" i="14"/>
  <c r="AC24" i="14"/>
  <c r="AC23" i="14"/>
  <c r="AC19" i="14"/>
  <c r="AC18" i="14"/>
  <c r="AC17" i="14"/>
  <c r="AC13" i="14"/>
  <c r="AC12" i="14"/>
  <c r="AC11" i="14"/>
  <c r="AC7" i="14"/>
  <c r="AC6" i="14"/>
  <c r="AC5" i="14"/>
  <c r="AG31" i="14"/>
  <c r="AE31" i="14"/>
  <c r="AC31" i="14"/>
  <c r="AA31" i="14"/>
  <c r="AG30" i="14"/>
  <c r="AE30" i="14"/>
  <c r="AC30" i="14"/>
  <c r="AA30" i="14"/>
  <c r="AG29" i="14"/>
  <c r="AE29" i="14"/>
  <c r="AC29" i="14"/>
  <c r="AA29" i="14"/>
  <c r="AG28" i="14"/>
  <c r="AE28" i="14"/>
  <c r="AC28" i="14"/>
  <c r="AA28" i="14"/>
  <c r="AJ25" i="14"/>
  <c r="AG25" i="14"/>
  <c r="AJ24" i="14"/>
  <c r="AG24" i="14"/>
  <c r="AJ23" i="14"/>
  <c r="AG23" i="14"/>
  <c r="AJ19" i="14"/>
  <c r="AG19" i="14"/>
  <c r="AJ18" i="14"/>
  <c r="AG18" i="14"/>
  <c r="AJ17" i="14"/>
  <c r="AG17" i="14"/>
  <c r="AJ13" i="14"/>
  <c r="AG13" i="14"/>
  <c r="AJ12" i="14"/>
  <c r="AG12" i="14"/>
  <c r="AJ11" i="14"/>
  <c r="AG11" i="14"/>
  <c r="AJ7" i="14"/>
  <c r="AG7" i="14"/>
  <c r="AJ6" i="14"/>
  <c r="AG6" i="14"/>
  <c r="AJ5" i="14"/>
  <c r="AG5" i="14"/>
  <c r="R24" i="14"/>
  <c r="R23" i="14"/>
  <c r="R22" i="14"/>
  <c r="R18" i="14"/>
  <c r="R17" i="14"/>
  <c r="R16" i="14"/>
  <c r="R12" i="14"/>
  <c r="R11" i="14"/>
  <c r="R10" i="14"/>
  <c r="R6" i="14"/>
  <c r="R5" i="14"/>
  <c r="R4" i="14"/>
  <c r="V30" i="14"/>
  <c r="T30" i="14"/>
  <c r="R30" i="14"/>
  <c r="P30" i="14"/>
  <c r="V29" i="14"/>
  <c r="T29" i="14"/>
  <c r="R29" i="14"/>
  <c r="P29" i="14"/>
  <c r="V28" i="14"/>
  <c r="T28" i="14"/>
  <c r="R28" i="14"/>
  <c r="P28" i="14"/>
  <c r="V27" i="14"/>
  <c r="T27" i="14"/>
  <c r="R27" i="14"/>
  <c r="P27" i="14"/>
  <c r="Y24" i="14"/>
  <c r="V24" i="14"/>
  <c r="Y23" i="14"/>
  <c r="V23" i="14"/>
  <c r="Y22" i="14"/>
  <c r="V22" i="14"/>
  <c r="Y18" i="14"/>
  <c r="V18" i="14"/>
  <c r="Y17" i="14"/>
  <c r="V17" i="14"/>
  <c r="Y16" i="14"/>
  <c r="V16" i="14"/>
  <c r="Y12" i="14"/>
  <c r="V12" i="14"/>
  <c r="Y11" i="14"/>
  <c r="V11" i="14"/>
  <c r="Y10" i="14"/>
  <c r="V10" i="14"/>
  <c r="Y6" i="14"/>
  <c r="V6" i="14"/>
  <c r="Y5" i="14"/>
  <c r="V5" i="14"/>
  <c r="Y4" i="14"/>
  <c r="V4" i="14"/>
  <c r="C18" i="14"/>
  <c r="C17" i="14"/>
  <c r="C16" i="14"/>
  <c r="C15" i="14"/>
  <c r="C14" i="14"/>
  <c r="C13" i="14"/>
  <c r="C9" i="14"/>
  <c r="C8" i="14"/>
  <c r="C7" i="14"/>
  <c r="C6" i="14"/>
  <c r="C5" i="14"/>
  <c r="C4" i="14"/>
  <c r="C24" i="14"/>
  <c r="A24" i="14"/>
  <c r="C23" i="14"/>
  <c r="A23" i="14"/>
  <c r="C22" i="14"/>
  <c r="A22" i="14"/>
  <c r="C21" i="14"/>
  <c r="A21" i="14"/>
  <c r="J18" i="14"/>
  <c r="G18" i="14"/>
  <c r="J17" i="14"/>
  <c r="G17" i="14"/>
  <c r="J16" i="14"/>
  <c r="G16" i="14"/>
  <c r="J15" i="14"/>
  <c r="G15" i="14"/>
  <c r="J14" i="14"/>
  <c r="G14" i="14"/>
  <c r="J13" i="14"/>
  <c r="G13" i="14"/>
  <c r="J9" i="14"/>
  <c r="G9" i="14"/>
  <c r="J8" i="14"/>
  <c r="G8" i="14"/>
  <c r="J7" i="14"/>
  <c r="G7" i="14"/>
  <c r="J6" i="14"/>
  <c r="G6" i="14"/>
  <c r="J5" i="14"/>
  <c r="G5" i="14"/>
  <c r="J4" i="14"/>
  <c r="G4" i="14"/>
  <c r="AC15" i="12"/>
  <c r="AA15" i="12"/>
  <c r="Y15" i="12"/>
  <c r="W15" i="12"/>
  <c r="AC14" i="12"/>
  <c r="AA14" i="12"/>
  <c r="Y14" i="12"/>
  <c r="W14" i="12"/>
  <c r="AF11" i="12"/>
  <c r="AC11" i="12"/>
  <c r="Y11" i="12"/>
  <c r="AF10" i="12"/>
  <c r="AC10" i="12"/>
  <c r="Y10" i="12"/>
  <c r="AF9" i="12"/>
  <c r="AC9" i="12"/>
  <c r="Y9" i="12"/>
  <c r="AF8" i="12"/>
  <c r="AC8" i="12"/>
  <c r="Y8" i="12"/>
  <c r="AF7" i="12"/>
  <c r="AC7" i="12"/>
  <c r="Y7" i="12"/>
  <c r="AF6" i="12"/>
  <c r="AC6" i="12"/>
  <c r="Y6" i="12"/>
  <c r="AF5" i="12"/>
  <c r="AC5" i="12"/>
  <c r="Y5" i="12"/>
  <c r="AF4" i="12"/>
  <c r="AC4" i="12"/>
  <c r="Y4" i="12"/>
  <c r="AF3" i="12"/>
  <c r="AC3" i="12"/>
  <c r="Y3" i="12"/>
  <c r="AC15" i="13"/>
  <c r="AC16" i="13"/>
  <c r="AA16" i="13"/>
  <c r="AA15" i="13"/>
  <c r="Y15" i="13"/>
  <c r="Y16" i="13"/>
  <c r="W16" i="13"/>
  <c r="W15" i="13"/>
  <c r="AF11" i="13"/>
  <c r="AF12" i="13"/>
  <c r="AC11" i="13"/>
  <c r="AC12" i="13"/>
  <c r="Y11" i="13"/>
  <c r="Y12" i="13"/>
  <c r="AF10" i="13"/>
  <c r="AC10" i="13"/>
  <c r="Y10" i="13"/>
  <c r="AF9" i="13"/>
  <c r="AC9" i="13"/>
  <c r="Y9" i="13"/>
  <c r="AF8" i="13"/>
  <c r="AC8" i="13"/>
  <c r="Y8" i="13"/>
  <c r="AF7" i="13"/>
  <c r="AC7" i="13"/>
  <c r="Y7" i="13"/>
  <c r="AF6" i="13"/>
  <c r="AC6" i="13"/>
  <c r="Y6" i="13"/>
  <c r="AF5" i="13"/>
  <c r="AC5" i="13"/>
  <c r="Y5" i="13"/>
  <c r="AF4" i="13"/>
  <c r="AC4" i="13"/>
  <c r="Y4" i="13"/>
  <c r="AF3" i="13"/>
  <c r="AC3" i="13"/>
  <c r="Y3" i="13"/>
  <c r="L23" i="13"/>
  <c r="N23" i="13"/>
  <c r="P23" i="13"/>
  <c r="R23" i="13"/>
  <c r="R22" i="13"/>
  <c r="P22" i="13"/>
  <c r="N22" i="13"/>
  <c r="L22" i="13"/>
  <c r="U19" i="13"/>
  <c r="R19" i="13"/>
  <c r="N19" i="13"/>
  <c r="N18" i="13"/>
  <c r="N17" i="13"/>
  <c r="N16" i="13"/>
  <c r="N15" i="13"/>
  <c r="N14" i="13"/>
  <c r="U9" i="13"/>
  <c r="U10" i="13"/>
  <c r="R9" i="13"/>
  <c r="R10" i="13"/>
  <c r="N10" i="13"/>
  <c r="N9" i="13"/>
  <c r="N8" i="13"/>
  <c r="N7" i="13"/>
  <c r="N6" i="13"/>
  <c r="N5" i="13"/>
  <c r="N4" i="13"/>
  <c r="U18" i="13"/>
  <c r="R18" i="13"/>
  <c r="U17" i="13"/>
  <c r="R17" i="13"/>
  <c r="U16" i="13"/>
  <c r="R16" i="13"/>
  <c r="U15" i="13"/>
  <c r="R15" i="13"/>
  <c r="U14" i="13"/>
  <c r="R14" i="13"/>
  <c r="U8" i="13"/>
  <c r="R8" i="13"/>
  <c r="U7" i="13"/>
  <c r="R7" i="13"/>
  <c r="U6" i="13"/>
  <c r="R6" i="13"/>
  <c r="U5" i="13"/>
  <c r="R5" i="13"/>
  <c r="U4" i="13"/>
  <c r="R4" i="13"/>
  <c r="C12" i="13"/>
  <c r="C11" i="13"/>
  <c r="C10" i="13"/>
  <c r="C9" i="13"/>
  <c r="C8" i="13"/>
  <c r="C7" i="13"/>
  <c r="C6" i="13"/>
  <c r="C5" i="13"/>
  <c r="C4" i="13"/>
  <c r="C3" i="13"/>
  <c r="E20" i="13"/>
  <c r="C20" i="13"/>
  <c r="E19" i="13"/>
  <c r="C19" i="13"/>
  <c r="C16" i="13"/>
  <c r="A16" i="13"/>
  <c r="C15" i="13"/>
  <c r="A15" i="13"/>
  <c r="J12" i="13"/>
  <c r="G12" i="13"/>
  <c r="J11" i="13"/>
  <c r="G11" i="13"/>
  <c r="J10" i="13"/>
  <c r="G10" i="13"/>
  <c r="J9" i="13"/>
  <c r="G9" i="13"/>
  <c r="J8" i="13"/>
  <c r="G8" i="13"/>
  <c r="J7" i="13"/>
  <c r="G7" i="13"/>
  <c r="J6" i="13"/>
  <c r="G6" i="13"/>
  <c r="J5" i="13"/>
  <c r="G5" i="13"/>
  <c r="J4" i="13"/>
  <c r="G4" i="13"/>
  <c r="J3" i="13"/>
  <c r="G3" i="13"/>
  <c r="U9" i="12"/>
  <c r="U10" i="12"/>
  <c r="U11" i="12"/>
  <c r="U12" i="12"/>
  <c r="R12" i="12"/>
  <c r="R11" i="12"/>
  <c r="R10" i="12"/>
  <c r="R9" i="12"/>
  <c r="N12" i="12"/>
  <c r="N11" i="12"/>
  <c r="N10" i="12"/>
  <c r="N9" i="12"/>
  <c r="N8" i="12"/>
  <c r="N7" i="12"/>
  <c r="N6" i="12"/>
  <c r="N5" i="12"/>
  <c r="N4" i="12"/>
  <c r="N3" i="12"/>
  <c r="U8" i="12"/>
  <c r="R8" i="12"/>
  <c r="U7" i="12"/>
  <c r="R7" i="12"/>
  <c r="U6" i="12"/>
  <c r="R6" i="12"/>
  <c r="U5" i="12"/>
  <c r="R5" i="12"/>
  <c r="U4" i="12"/>
  <c r="R4" i="12"/>
  <c r="U3" i="12"/>
  <c r="R3" i="12"/>
  <c r="C10" i="12"/>
  <c r="C11" i="12"/>
  <c r="C12" i="12"/>
  <c r="C9" i="12"/>
  <c r="C8" i="12"/>
  <c r="C7" i="12"/>
  <c r="C6" i="12"/>
  <c r="C5" i="12"/>
  <c r="C4" i="12"/>
  <c r="C3" i="12"/>
  <c r="E20" i="12"/>
  <c r="C20" i="12"/>
  <c r="E19" i="12"/>
  <c r="C19" i="12"/>
  <c r="G16" i="12"/>
  <c r="E16" i="12"/>
  <c r="C16" i="12"/>
  <c r="A16" i="12"/>
  <c r="G15" i="12"/>
  <c r="E15" i="12"/>
  <c r="C15" i="12"/>
  <c r="A15" i="12"/>
  <c r="J12" i="12"/>
  <c r="G12" i="12"/>
  <c r="J11" i="12"/>
  <c r="G11" i="12"/>
  <c r="J10" i="12"/>
  <c r="G10" i="12"/>
  <c r="J9" i="12"/>
  <c r="G9" i="12"/>
  <c r="J8" i="12"/>
  <c r="G8" i="12"/>
  <c r="J7" i="12"/>
  <c r="G7" i="12"/>
  <c r="J6" i="12"/>
  <c r="G6" i="12"/>
  <c r="J5" i="12"/>
  <c r="G5" i="12"/>
  <c r="J4" i="12"/>
  <c r="G4" i="12"/>
  <c r="J3" i="12"/>
  <c r="G3" i="12"/>
  <c r="Y28" i="11"/>
  <c r="Y27" i="11"/>
  <c r="Y26" i="11"/>
  <c r="Y25" i="11"/>
  <c r="Y24" i="11"/>
  <c r="Y23" i="11"/>
  <c r="Y19" i="11"/>
  <c r="Y18" i="11"/>
  <c r="Y17" i="11"/>
  <c r="Y16" i="11"/>
  <c r="Y15" i="11"/>
  <c r="Y14" i="11"/>
  <c r="Y10" i="11"/>
  <c r="Y9" i="11"/>
  <c r="Y8" i="11"/>
  <c r="Y7" i="11"/>
  <c r="Y6" i="11"/>
  <c r="Y5" i="11"/>
  <c r="Y4" i="11"/>
  <c r="AF28" i="11"/>
  <c r="AC28" i="11"/>
  <c r="AF27" i="11"/>
  <c r="AC27" i="11"/>
  <c r="AF26" i="11"/>
  <c r="AC26" i="11"/>
  <c r="AF25" i="11"/>
  <c r="AC25" i="11"/>
  <c r="AF24" i="11"/>
  <c r="AC24" i="11"/>
  <c r="AF23" i="11"/>
  <c r="AC23" i="11"/>
  <c r="AF19" i="11"/>
  <c r="AC19" i="11"/>
  <c r="AF18" i="11"/>
  <c r="AC18" i="11"/>
  <c r="AF17" i="11"/>
  <c r="AC17" i="11"/>
  <c r="AF16" i="11"/>
  <c r="AC16" i="11"/>
  <c r="AF15" i="11"/>
  <c r="AC15" i="11"/>
  <c r="AF14" i="11"/>
  <c r="AC14" i="11"/>
  <c r="AF10" i="11"/>
  <c r="AC10" i="11"/>
  <c r="AF9" i="11"/>
  <c r="AC9" i="11"/>
  <c r="AF8" i="11"/>
  <c r="AC8" i="11"/>
  <c r="AF7" i="11"/>
  <c r="AC7" i="11"/>
  <c r="AF6" i="11"/>
  <c r="AC6" i="11"/>
  <c r="AF5" i="11"/>
  <c r="AC5" i="11"/>
  <c r="AF4" i="11"/>
  <c r="AC4" i="11"/>
  <c r="N18" i="11"/>
  <c r="N17" i="11"/>
  <c r="N16" i="11"/>
  <c r="N15" i="11"/>
  <c r="N14" i="11"/>
  <c r="N13" i="11"/>
  <c r="N9" i="11"/>
  <c r="N8" i="11"/>
  <c r="N7" i="11"/>
  <c r="N6" i="11"/>
  <c r="N5" i="11"/>
  <c r="N4" i="11"/>
  <c r="R24" i="11"/>
  <c r="P24" i="11"/>
  <c r="N24" i="11"/>
  <c r="L24" i="11"/>
  <c r="R23" i="11"/>
  <c r="P23" i="11"/>
  <c r="N23" i="11"/>
  <c r="L23" i="11"/>
  <c r="R22" i="11"/>
  <c r="P22" i="11"/>
  <c r="N22" i="11"/>
  <c r="L22" i="11"/>
  <c r="R21" i="11"/>
  <c r="P21" i="11"/>
  <c r="N21" i="11"/>
  <c r="L21" i="11"/>
  <c r="U18" i="11"/>
  <c r="R18" i="11"/>
  <c r="U17" i="11"/>
  <c r="R17" i="11"/>
  <c r="U16" i="11"/>
  <c r="R16" i="11"/>
  <c r="U15" i="11"/>
  <c r="R15" i="11"/>
  <c r="U14" i="11"/>
  <c r="R14" i="11"/>
  <c r="U13" i="11"/>
  <c r="R13" i="11"/>
  <c r="U9" i="11"/>
  <c r="R9" i="11"/>
  <c r="U8" i="11"/>
  <c r="R8" i="11"/>
  <c r="U7" i="11"/>
  <c r="R7" i="11"/>
  <c r="U6" i="11"/>
  <c r="R6" i="11"/>
  <c r="U5" i="11"/>
  <c r="R5" i="11"/>
  <c r="U4" i="11"/>
  <c r="R4" i="11"/>
  <c r="C20" i="11"/>
  <c r="C19" i="11"/>
  <c r="C21" i="11"/>
  <c r="C18" i="11"/>
  <c r="C14" i="11"/>
  <c r="C11" i="11"/>
  <c r="C12" i="11"/>
  <c r="C13" i="11"/>
  <c r="C7" i="11"/>
  <c r="C4" i="11"/>
  <c r="C5" i="11"/>
  <c r="C6" i="11"/>
  <c r="J20" i="11"/>
  <c r="G20" i="11"/>
  <c r="J19" i="11"/>
  <c r="G19" i="11"/>
  <c r="J21" i="11"/>
  <c r="G21" i="11"/>
  <c r="J18" i="11"/>
  <c r="G18" i="11"/>
  <c r="J14" i="11"/>
  <c r="G14" i="11"/>
  <c r="J11" i="11"/>
  <c r="G11" i="11"/>
  <c r="J12" i="11"/>
  <c r="G12" i="11"/>
  <c r="J13" i="11"/>
  <c r="G13" i="11"/>
  <c r="J7" i="11"/>
  <c r="G7" i="11"/>
  <c r="J4" i="11"/>
  <c r="G4" i="11"/>
  <c r="J5" i="11"/>
  <c r="G5" i="11"/>
  <c r="J6" i="11"/>
  <c r="G6" i="11"/>
  <c r="N20" i="10"/>
  <c r="N19" i="10"/>
  <c r="N18" i="10"/>
  <c r="N14" i="10"/>
  <c r="N13" i="10"/>
  <c r="N12" i="10"/>
  <c r="N11" i="10"/>
  <c r="U7" i="10"/>
  <c r="R7" i="10"/>
  <c r="N7" i="10"/>
  <c r="N6" i="10"/>
  <c r="N5" i="10"/>
  <c r="N4" i="10"/>
  <c r="N3" i="10"/>
  <c r="U20" i="10"/>
  <c r="R20" i="10"/>
  <c r="U19" i="10"/>
  <c r="R19" i="10"/>
  <c r="U18" i="10"/>
  <c r="R18" i="10"/>
  <c r="U14" i="10"/>
  <c r="R14" i="10"/>
  <c r="U13" i="10"/>
  <c r="R13" i="10"/>
  <c r="U12" i="10"/>
  <c r="R12" i="10"/>
  <c r="U11" i="10"/>
  <c r="R11" i="10"/>
  <c r="U6" i="10"/>
  <c r="R6" i="10"/>
  <c r="U5" i="10"/>
  <c r="R5" i="10"/>
  <c r="U4" i="10"/>
  <c r="R4" i="10"/>
  <c r="U3" i="10"/>
  <c r="R3" i="10"/>
  <c r="G20" i="10"/>
  <c r="E20" i="10"/>
  <c r="C20" i="10"/>
  <c r="A20" i="10"/>
  <c r="C4" i="10"/>
  <c r="C5" i="10"/>
  <c r="C6" i="10"/>
  <c r="C7" i="10"/>
  <c r="C8" i="10"/>
  <c r="C9" i="10"/>
  <c r="C10" i="10"/>
  <c r="C3" i="10"/>
  <c r="G14" i="10"/>
  <c r="E14" i="10"/>
  <c r="C14" i="10"/>
  <c r="A14" i="10"/>
  <c r="G13" i="10"/>
  <c r="E13" i="10"/>
  <c r="C13" i="10"/>
  <c r="A13" i="10"/>
  <c r="J10" i="10"/>
  <c r="G10" i="10"/>
  <c r="J9" i="10"/>
  <c r="G9" i="10"/>
  <c r="J8" i="10"/>
  <c r="G8" i="10"/>
  <c r="J7" i="10"/>
  <c r="G7" i="10"/>
  <c r="J6" i="10"/>
  <c r="G6" i="10"/>
  <c r="J5" i="10"/>
  <c r="G5" i="10"/>
  <c r="J4" i="10"/>
  <c r="G4" i="10"/>
  <c r="J3" i="10"/>
  <c r="G3" i="10"/>
  <c r="AF12" i="9"/>
  <c r="AF11" i="9"/>
  <c r="AF10" i="9"/>
  <c r="AF9" i="9"/>
  <c r="AF8" i="9"/>
  <c r="AF7" i="9"/>
  <c r="AF6" i="9"/>
  <c r="AF5" i="9"/>
  <c r="AF4" i="9"/>
  <c r="AF3" i="9"/>
  <c r="U7" i="9"/>
  <c r="U8" i="9"/>
  <c r="U9" i="9"/>
  <c r="U10" i="9"/>
  <c r="U11" i="9"/>
  <c r="U12" i="9"/>
  <c r="U6" i="9"/>
  <c r="U5" i="9"/>
  <c r="U4" i="9"/>
  <c r="U3" i="9"/>
  <c r="AM12" i="9"/>
  <c r="AJ12" i="9"/>
  <c r="AB12" i="9"/>
  <c r="Y12" i="9"/>
  <c r="AM11" i="9"/>
  <c r="AJ11" i="9"/>
  <c r="AB11" i="9"/>
  <c r="Y11" i="9"/>
  <c r="AM10" i="9"/>
  <c r="AJ10" i="9"/>
  <c r="AB10" i="9"/>
  <c r="Y10" i="9"/>
  <c r="AM9" i="9"/>
  <c r="AJ9" i="9"/>
  <c r="AB9" i="9"/>
  <c r="Y9" i="9"/>
  <c r="AM8" i="9"/>
  <c r="AJ8" i="9"/>
  <c r="AB8" i="9"/>
  <c r="Y8" i="9"/>
  <c r="AM7" i="9"/>
  <c r="AJ7" i="9"/>
  <c r="AB7" i="9"/>
  <c r="Y7" i="9"/>
  <c r="AM6" i="9"/>
  <c r="AJ6" i="9"/>
  <c r="AB6" i="9"/>
  <c r="Y6" i="9"/>
  <c r="AM5" i="9"/>
  <c r="AJ5" i="9"/>
  <c r="AB5" i="9"/>
  <c r="Y5" i="9"/>
  <c r="AM4" i="9"/>
  <c r="AJ4" i="9"/>
  <c r="AB4" i="9"/>
  <c r="Y4" i="9"/>
  <c r="AM3" i="9"/>
  <c r="AJ3" i="9"/>
  <c r="AB3" i="9"/>
  <c r="Y3" i="9"/>
  <c r="C13" i="27" l="1"/>
  <c r="A14" i="27"/>
  <c r="C14" i="27"/>
  <c r="C20" i="9"/>
  <c r="C18" i="9"/>
  <c r="C21" i="9"/>
  <c r="C19" i="9"/>
  <c r="C11" i="9"/>
  <c r="C12" i="9"/>
  <c r="C14" i="9"/>
  <c r="C13" i="9"/>
  <c r="C4" i="9"/>
  <c r="C6" i="9"/>
  <c r="C5" i="9"/>
  <c r="C7" i="9"/>
  <c r="R16" i="9"/>
  <c r="P16" i="9"/>
  <c r="N16" i="9"/>
  <c r="L16" i="9"/>
  <c r="G27" i="9"/>
  <c r="E27" i="9"/>
  <c r="C27" i="9"/>
  <c r="A27" i="9"/>
  <c r="G26" i="9"/>
  <c r="E26" i="9"/>
  <c r="C26" i="9"/>
  <c r="A26" i="9"/>
  <c r="G25" i="9"/>
  <c r="E25" i="9"/>
  <c r="C25" i="9"/>
  <c r="A25" i="9"/>
  <c r="G24" i="9"/>
  <c r="E24" i="9"/>
  <c r="C24" i="9"/>
  <c r="A24" i="9"/>
  <c r="J20" i="9"/>
  <c r="G20" i="9"/>
  <c r="J18" i="9"/>
  <c r="G18" i="9"/>
  <c r="J21" i="9"/>
  <c r="G21" i="9"/>
  <c r="J19" i="9"/>
  <c r="G19" i="9"/>
  <c r="J11" i="9"/>
  <c r="G11" i="9"/>
  <c r="J12" i="9"/>
  <c r="G12" i="9"/>
  <c r="J14" i="9"/>
  <c r="G14" i="9"/>
  <c r="J13" i="9"/>
  <c r="G13" i="9"/>
  <c r="J4" i="9"/>
  <c r="G4" i="9"/>
  <c r="J6" i="9"/>
  <c r="G6" i="9"/>
  <c r="J5" i="9"/>
  <c r="G5" i="9"/>
  <c r="J7" i="9"/>
  <c r="G7" i="9"/>
  <c r="Y13" i="8"/>
  <c r="Y14" i="8"/>
  <c r="Y12" i="8"/>
  <c r="Y11" i="8"/>
  <c r="Y10" i="8"/>
  <c r="Y9" i="8"/>
  <c r="Y8" i="8"/>
  <c r="Y7" i="8"/>
  <c r="Y6" i="8"/>
  <c r="Y5" i="8"/>
  <c r="Y4" i="8"/>
  <c r="Y3" i="8"/>
  <c r="AC14" i="8"/>
  <c r="AF14" i="8"/>
  <c r="W17" i="8"/>
  <c r="AC20" i="8"/>
  <c r="AA20" i="8"/>
  <c r="Y20" i="8"/>
  <c r="W20" i="8"/>
  <c r="AC19" i="8"/>
  <c r="AA19" i="8"/>
  <c r="Y19" i="8"/>
  <c r="W19" i="8"/>
  <c r="AC18" i="8"/>
  <c r="AA18" i="8"/>
  <c r="Y18" i="8"/>
  <c r="W18" i="8"/>
  <c r="AC17" i="8"/>
  <c r="AA17" i="8"/>
  <c r="Y17" i="8"/>
  <c r="AF13" i="8"/>
  <c r="AC13" i="8"/>
  <c r="AF12" i="8"/>
  <c r="AC12" i="8"/>
  <c r="AF11" i="8"/>
  <c r="AC11" i="8"/>
  <c r="AF10" i="8"/>
  <c r="AC10" i="8"/>
  <c r="AF9" i="8"/>
  <c r="AC9" i="8"/>
  <c r="AF8" i="8"/>
  <c r="AC8" i="8"/>
  <c r="AF7" i="8"/>
  <c r="AC7" i="8"/>
  <c r="AF6" i="8"/>
  <c r="AC6" i="8"/>
  <c r="AF5" i="8"/>
  <c r="AC5" i="8"/>
  <c r="AF4" i="8"/>
  <c r="AC4" i="8"/>
  <c r="AF3" i="8"/>
  <c r="AC3" i="8"/>
  <c r="L22" i="8"/>
  <c r="R22" i="8"/>
  <c r="P21" i="8"/>
  <c r="N21" i="8"/>
  <c r="R21" i="8"/>
  <c r="P22" i="8"/>
  <c r="N22" i="8"/>
  <c r="L21" i="8"/>
  <c r="U18" i="8"/>
  <c r="R18" i="8"/>
  <c r="N18" i="8"/>
  <c r="U17" i="8"/>
  <c r="R17" i="8"/>
  <c r="N17" i="8"/>
  <c r="U16" i="8"/>
  <c r="R16" i="8"/>
  <c r="N16" i="8"/>
  <c r="U15" i="8"/>
  <c r="R15" i="8"/>
  <c r="N15" i="8"/>
  <c r="U14" i="8"/>
  <c r="R14" i="8"/>
  <c r="N14" i="8"/>
  <c r="U13" i="8"/>
  <c r="R13" i="8"/>
  <c r="N13" i="8"/>
  <c r="U9" i="8"/>
  <c r="R9" i="8"/>
  <c r="N9" i="8"/>
  <c r="U8" i="8"/>
  <c r="R8" i="8"/>
  <c r="N8" i="8"/>
  <c r="U7" i="8"/>
  <c r="R7" i="8"/>
  <c r="N7" i="8"/>
  <c r="U6" i="8"/>
  <c r="R6" i="8"/>
  <c r="N6" i="8"/>
  <c r="U5" i="8"/>
  <c r="R5" i="8"/>
  <c r="N5" i="8"/>
  <c r="U4" i="8"/>
  <c r="R4" i="8"/>
  <c r="N4" i="8"/>
  <c r="C12" i="8"/>
  <c r="C11" i="8"/>
  <c r="C10" i="8"/>
  <c r="C9" i="8"/>
  <c r="C8" i="8"/>
  <c r="C7" i="8"/>
  <c r="C6" i="8"/>
  <c r="C5" i="8"/>
  <c r="C4" i="8"/>
  <c r="C3" i="8"/>
  <c r="G18" i="8"/>
  <c r="E18" i="8"/>
  <c r="C18" i="8"/>
  <c r="A18" i="8"/>
  <c r="G17" i="8"/>
  <c r="E17" i="8"/>
  <c r="C17" i="8"/>
  <c r="A17" i="8"/>
  <c r="G16" i="8"/>
  <c r="E16" i="8"/>
  <c r="C16" i="8"/>
  <c r="A16" i="8"/>
  <c r="G15" i="8"/>
  <c r="E15" i="8"/>
  <c r="C15" i="8"/>
  <c r="A15" i="8"/>
  <c r="J12" i="8"/>
  <c r="G12" i="8"/>
  <c r="J11" i="8"/>
  <c r="G11" i="8"/>
  <c r="J10" i="8"/>
  <c r="G10" i="8"/>
  <c r="J9" i="8"/>
  <c r="G9" i="8"/>
  <c r="J8" i="8"/>
  <c r="G8" i="8"/>
  <c r="J7" i="8"/>
  <c r="G7" i="8"/>
  <c r="J6" i="8"/>
  <c r="G6" i="8"/>
  <c r="J5" i="8"/>
  <c r="G5" i="8"/>
  <c r="J4" i="8"/>
  <c r="G4" i="8"/>
  <c r="J3" i="8"/>
  <c r="G3" i="8"/>
  <c r="N10" i="7"/>
  <c r="N9" i="7"/>
  <c r="N8" i="7"/>
  <c r="N7" i="7"/>
  <c r="N6" i="7"/>
  <c r="N5" i="7"/>
  <c r="N4" i="7"/>
  <c r="N3" i="7"/>
  <c r="U10" i="7"/>
  <c r="R10" i="7"/>
  <c r="U9" i="7"/>
  <c r="R9" i="7"/>
  <c r="U8" i="7"/>
  <c r="R8" i="7"/>
  <c r="U7" i="7"/>
  <c r="R7" i="7"/>
  <c r="U6" i="7"/>
  <c r="R6" i="7"/>
  <c r="U5" i="7"/>
  <c r="R5" i="7"/>
  <c r="U4" i="7"/>
  <c r="R4" i="7"/>
  <c r="U3" i="7"/>
  <c r="R3" i="7"/>
  <c r="C12" i="7"/>
  <c r="C11" i="7"/>
  <c r="C10" i="7"/>
  <c r="C9" i="7"/>
  <c r="C8" i="7"/>
  <c r="C7" i="7"/>
  <c r="C6" i="7"/>
  <c r="C5" i="7"/>
  <c r="C4" i="7"/>
  <c r="C3" i="7"/>
  <c r="G16" i="7"/>
  <c r="E16" i="7"/>
  <c r="C16" i="7"/>
  <c r="A16" i="7"/>
  <c r="G15" i="7"/>
  <c r="E15" i="7"/>
  <c r="C15" i="7"/>
  <c r="A15" i="7"/>
  <c r="J12" i="7"/>
  <c r="G12" i="7"/>
  <c r="J11" i="7"/>
  <c r="G11" i="7"/>
  <c r="J10" i="7"/>
  <c r="G10" i="7"/>
  <c r="J9" i="7"/>
  <c r="G9" i="7"/>
  <c r="J8" i="7"/>
  <c r="G8" i="7"/>
  <c r="J7" i="7"/>
  <c r="G7" i="7"/>
  <c r="J6" i="7"/>
  <c r="G6" i="7"/>
  <c r="J5" i="7"/>
  <c r="G5" i="7"/>
  <c r="J4" i="7"/>
  <c r="G4" i="7"/>
  <c r="J3" i="7"/>
  <c r="G3" i="7"/>
  <c r="AJ18" i="6"/>
  <c r="AJ17" i="6"/>
  <c r="AJ16" i="6"/>
  <c r="AJ15" i="6"/>
  <c r="AJ14" i="6"/>
  <c r="AJ13" i="6"/>
  <c r="AJ8" i="6"/>
  <c r="AJ9" i="6"/>
  <c r="AJ7" i="6"/>
  <c r="AJ6" i="6"/>
  <c r="AJ5" i="6"/>
  <c r="AJ4" i="6"/>
  <c r="AH26" i="6"/>
  <c r="AH25" i="6"/>
  <c r="AJ22" i="6"/>
  <c r="AH22" i="6"/>
  <c r="AJ21" i="6"/>
  <c r="AH21" i="6"/>
  <c r="AQ18" i="6"/>
  <c r="AN18" i="6"/>
  <c r="AQ17" i="6"/>
  <c r="AN17" i="6"/>
  <c r="AQ16" i="6"/>
  <c r="AN16" i="6"/>
  <c r="AQ15" i="6"/>
  <c r="AN15" i="6"/>
  <c r="AQ14" i="6"/>
  <c r="AN14" i="6"/>
  <c r="AQ13" i="6"/>
  <c r="AN13" i="6"/>
  <c r="AQ9" i="6"/>
  <c r="AN9" i="6"/>
  <c r="AQ8" i="6"/>
  <c r="AN8" i="6"/>
  <c r="AQ7" i="6"/>
  <c r="AN7" i="6"/>
  <c r="AQ6" i="6"/>
  <c r="AN6" i="6"/>
  <c r="AQ5" i="6"/>
  <c r="AN5" i="6"/>
  <c r="AQ4" i="6"/>
  <c r="AN4" i="6"/>
  <c r="Y6" i="6"/>
  <c r="Y5" i="6"/>
  <c r="Y4" i="6"/>
  <c r="Y3" i="6"/>
  <c r="AC9" i="6"/>
  <c r="AA9" i="6"/>
  <c r="Y9" i="6"/>
  <c r="W9" i="6"/>
  <c r="AF6" i="6"/>
  <c r="AC6" i="6"/>
  <c r="AF5" i="6"/>
  <c r="AC5" i="6"/>
  <c r="AF4" i="6"/>
  <c r="AC4" i="6"/>
  <c r="AF3" i="6"/>
  <c r="AC3" i="6"/>
  <c r="N31" i="6"/>
  <c r="L31" i="6"/>
  <c r="N30" i="6"/>
  <c r="L30" i="6"/>
  <c r="N16" i="6"/>
  <c r="N15" i="6"/>
  <c r="N14" i="6"/>
  <c r="N13" i="6"/>
  <c r="N12" i="6"/>
  <c r="N8" i="6"/>
  <c r="N7" i="6"/>
  <c r="N6" i="6"/>
  <c r="N5" i="6"/>
  <c r="N4" i="6"/>
  <c r="P24" i="6"/>
  <c r="N24" i="6"/>
  <c r="P23" i="6"/>
  <c r="N23" i="6"/>
  <c r="N20" i="6"/>
  <c r="L20" i="6"/>
  <c r="N19" i="6"/>
  <c r="L19" i="6"/>
  <c r="U16" i="6"/>
  <c r="R16" i="6"/>
  <c r="U15" i="6"/>
  <c r="R15" i="6"/>
  <c r="U14" i="6"/>
  <c r="R14" i="6"/>
  <c r="U13" i="6"/>
  <c r="R13" i="6"/>
  <c r="U12" i="6"/>
  <c r="R12" i="6"/>
  <c r="U8" i="6"/>
  <c r="R8" i="6"/>
  <c r="U7" i="6"/>
  <c r="R7" i="6"/>
  <c r="U6" i="6"/>
  <c r="R6" i="6"/>
  <c r="U5" i="6"/>
  <c r="R5" i="6"/>
  <c r="U4" i="6"/>
  <c r="R4" i="6"/>
  <c r="C49" i="6"/>
  <c r="C48" i="6"/>
  <c r="C47" i="6"/>
  <c r="C46" i="6"/>
  <c r="C29" i="6"/>
  <c r="C28" i="6"/>
  <c r="C27" i="6"/>
  <c r="C23" i="6"/>
  <c r="C22" i="6"/>
  <c r="C21" i="6"/>
  <c r="C16" i="6"/>
  <c r="C15" i="6"/>
  <c r="C14" i="6"/>
  <c r="C13" i="6"/>
  <c r="C12" i="6"/>
  <c r="C8" i="6"/>
  <c r="C7" i="6"/>
  <c r="C6" i="6"/>
  <c r="C5" i="6"/>
  <c r="C4" i="6"/>
  <c r="J49" i="6"/>
  <c r="G49" i="6"/>
  <c r="J48" i="6"/>
  <c r="G48" i="6"/>
  <c r="J47" i="6"/>
  <c r="G47" i="6"/>
  <c r="J46" i="6"/>
  <c r="G46" i="6"/>
  <c r="G36" i="6"/>
  <c r="E36" i="6"/>
  <c r="C36" i="6"/>
  <c r="A36" i="6"/>
  <c r="G35" i="6"/>
  <c r="E35" i="6"/>
  <c r="C35" i="6"/>
  <c r="A35" i="6"/>
  <c r="J29" i="6"/>
  <c r="G29" i="6"/>
  <c r="J28" i="6"/>
  <c r="G28" i="6"/>
  <c r="J27" i="6"/>
  <c r="G27" i="6"/>
  <c r="J23" i="6"/>
  <c r="G23" i="6"/>
  <c r="J22" i="6"/>
  <c r="G22" i="6"/>
  <c r="J21" i="6"/>
  <c r="G21" i="6"/>
  <c r="J16" i="6"/>
  <c r="G16" i="6"/>
  <c r="J15" i="6"/>
  <c r="G15" i="6"/>
  <c r="J14" i="6"/>
  <c r="G14" i="6"/>
  <c r="J13" i="6"/>
  <c r="G13" i="6"/>
  <c r="J12" i="6"/>
  <c r="G12" i="6"/>
  <c r="J8" i="6"/>
  <c r="G8" i="6"/>
  <c r="J7" i="6"/>
  <c r="G7" i="6"/>
  <c r="J6" i="6"/>
  <c r="G6" i="6"/>
  <c r="J5" i="6"/>
  <c r="G5" i="6"/>
  <c r="J4" i="6"/>
  <c r="G4" i="6"/>
  <c r="R18" i="5"/>
  <c r="R19" i="5"/>
  <c r="P19" i="5"/>
  <c r="P18" i="5"/>
  <c r="N18" i="5"/>
  <c r="N19" i="5"/>
  <c r="L19" i="5"/>
  <c r="L18" i="5"/>
  <c r="U11" i="5"/>
  <c r="U12" i="5"/>
  <c r="U13" i="5"/>
  <c r="U14" i="5"/>
  <c r="U15" i="5"/>
  <c r="R11" i="5"/>
  <c r="R12" i="5"/>
  <c r="R13" i="5"/>
  <c r="R14" i="5"/>
  <c r="R15" i="5"/>
  <c r="N13" i="5"/>
  <c r="N14" i="5"/>
  <c r="N15" i="5"/>
  <c r="N12" i="5"/>
  <c r="N11" i="5"/>
  <c r="N10" i="5"/>
  <c r="N9" i="5"/>
  <c r="N8" i="5"/>
  <c r="N7" i="5"/>
  <c r="N6" i="5"/>
  <c r="N5" i="5"/>
  <c r="N4" i="5"/>
  <c r="N3" i="5"/>
  <c r="U10" i="5"/>
  <c r="R10" i="5"/>
  <c r="U9" i="5"/>
  <c r="R9" i="5"/>
  <c r="U8" i="5"/>
  <c r="R8" i="5"/>
  <c r="U7" i="5"/>
  <c r="R7" i="5"/>
  <c r="U6" i="5"/>
  <c r="R6" i="5"/>
  <c r="U5" i="5"/>
  <c r="R5" i="5"/>
  <c r="U4" i="5"/>
  <c r="R4" i="5"/>
  <c r="U3" i="5"/>
  <c r="R3" i="5"/>
  <c r="C11" i="5"/>
  <c r="C12" i="5"/>
  <c r="C10" i="5"/>
  <c r="C9" i="5"/>
  <c r="C8" i="5"/>
  <c r="C7" i="5"/>
  <c r="C6" i="5"/>
  <c r="C5" i="5"/>
  <c r="C4" i="5"/>
  <c r="C3" i="5"/>
  <c r="C16" i="5"/>
  <c r="A16" i="5"/>
  <c r="C15" i="5"/>
  <c r="A15" i="5"/>
  <c r="J12" i="5"/>
  <c r="G12" i="5"/>
  <c r="J11" i="5"/>
  <c r="G11" i="5"/>
  <c r="J10" i="5"/>
  <c r="G10" i="5"/>
  <c r="J9" i="5"/>
  <c r="G9" i="5"/>
  <c r="J8" i="5"/>
  <c r="G8" i="5"/>
  <c r="J7" i="5"/>
  <c r="G7" i="5"/>
  <c r="J6" i="5"/>
  <c r="G6" i="5"/>
  <c r="J5" i="5"/>
  <c r="G5" i="5"/>
  <c r="J4" i="5"/>
  <c r="G4" i="5"/>
  <c r="J3" i="5"/>
  <c r="G3" i="5"/>
  <c r="N13" i="4"/>
  <c r="N14" i="4"/>
  <c r="N16" i="4"/>
  <c r="N17" i="4"/>
  <c r="N15" i="4"/>
  <c r="N18" i="4"/>
  <c r="U9" i="4"/>
  <c r="R9" i="4"/>
  <c r="N9" i="4"/>
  <c r="N6" i="4"/>
  <c r="N5" i="4"/>
  <c r="N7" i="4"/>
  <c r="N8" i="4"/>
  <c r="N4" i="4"/>
  <c r="N22" i="4"/>
  <c r="L22" i="4"/>
  <c r="N21" i="4"/>
  <c r="L21" i="4"/>
  <c r="U13" i="4"/>
  <c r="R13" i="4"/>
  <c r="U14" i="4"/>
  <c r="R14" i="4"/>
  <c r="U16" i="4"/>
  <c r="R16" i="4"/>
  <c r="U17" i="4"/>
  <c r="R17" i="4"/>
  <c r="U15" i="4"/>
  <c r="R15" i="4"/>
  <c r="U18" i="4"/>
  <c r="R18" i="4"/>
  <c r="U6" i="4"/>
  <c r="R6" i="4"/>
  <c r="U5" i="4"/>
  <c r="R5" i="4"/>
  <c r="U7" i="4"/>
  <c r="R7" i="4"/>
  <c r="U8" i="4"/>
  <c r="R8" i="4"/>
  <c r="U4" i="4"/>
  <c r="R4" i="4"/>
  <c r="C8" i="4"/>
  <c r="C9" i="4"/>
  <c r="C10" i="4"/>
  <c r="C7" i="4"/>
  <c r="C6" i="4"/>
  <c r="C5" i="4"/>
  <c r="C4" i="4"/>
  <c r="C3" i="4"/>
  <c r="G14" i="4"/>
  <c r="E14" i="4"/>
  <c r="C14" i="4"/>
  <c r="A14" i="4"/>
  <c r="G13" i="4"/>
  <c r="E13" i="4"/>
  <c r="C13" i="4"/>
  <c r="A13" i="4"/>
  <c r="J10" i="4"/>
  <c r="G10" i="4"/>
  <c r="J9" i="4"/>
  <c r="G9" i="4"/>
  <c r="J8" i="4"/>
  <c r="G8" i="4"/>
  <c r="J7" i="4"/>
  <c r="G7" i="4"/>
  <c r="J6" i="4"/>
  <c r="G6" i="4"/>
  <c r="J5" i="4"/>
  <c r="G5" i="4"/>
  <c r="J4" i="4"/>
  <c r="G4" i="4"/>
  <c r="J3" i="4"/>
  <c r="G3" i="4"/>
  <c r="R17" i="3"/>
  <c r="R16" i="3"/>
  <c r="R15" i="3"/>
  <c r="R14" i="3"/>
  <c r="R13" i="3"/>
  <c r="R12" i="3"/>
  <c r="R8" i="3"/>
  <c r="R7" i="3"/>
  <c r="R6" i="3"/>
  <c r="R5" i="3"/>
  <c r="R4" i="3"/>
  <c r="R21" i="3"/>
  <c r="P21" i="3"/>
  <c r="R20" i="3"/>
  <c r="P20" i="3"/>
  <c r="Y17" i="3"/>
  <c r="V17" i="3"/>
  <c r="Y16" i="3"/>
  <c r="V16" i="3"/>
  <c r="Y15" i="3"/>
  <c r="V15" i="3"/>
  <c r="Y14" i="3"/>
  <c r="V14" i="3"/>
  <c r="Y13" i="3"/>
  <c r="V13" i="3"/>
  <c r="Y12" i="3"/>
  <c r="V12" i="3"/>
  <c r="Y8" i="3"/>
  <c r="V8" i="3"/>
  <c r="Y7" i="3"/>
  <c r="V7" i="3"/>
  <c r="Y6" i="3"/>
  <c r="V6" i="3"/>
  <c r="Y5" i="3"/>
  <c r="V5" i="3"/>
  <c r="Y4" i="3"/>
  <c r="V4" i="3"/>
  <c r="C40" i="3"/>
  <c r="C39" i="3"/>
  <c r="C38" i="3"/>
  <c r="C37" i="3"/>
  <c r="C33" i="3"/>
  <c r="C32" i="3"/>
  <c r="C31" i="3"/>
  <c r="C30" i="3"/>
  <c r="C12" i="3"/>
  <c r="C13" i="3"/>
  <c r="C15" i="3"/>
  <c r="C14" i="3"/>
  <c r="C6" i="3"/>
  <c r="C5" i="3"/>
  <c r="C7" i="3"/>
  <c r="C8" i="3"/>
  <c r="A48" i="3"/>
  <c r="A47" i="3"/>
  <c r="C44" i="3"/>
  <c r="A44" i="3"/>
  <c r="C43" i="3"/>
  <c r="A43" i="3"/>
  <c r="J40" i="3"/>
  <c r="G40" i="3"/>
  <c r="J39" i="3"/>
  <c r="G39" i="3"/>
  <c r="J38" i="3"/>
  <c r="G38" i="3"/>
  <c r="J37" i="3"/>
  <c r="G37" i="3"/>
  <c r="J33" i="3"/>
  <c r="G33" i="3"/>
  <c r="J32" i="3"/>
  <c r="G32" i="3"/>
  <c r="J31" i="3"/>
  <c r="G31" i="3"/>
  <c r="J30" i="3"/>
  <c r="G30" i="3"/>
  <c r="A23" i="3"/>
  <c r="A22" i="3"/>
  <c r="C19" i="3"/>
  <c r="A19" i="3"/>
  <c r="C18" i="3"/>
  <c r="A18" i="3"/>
  <c r="J12" i="3"/>
  <c r="G12" i="3"/>
  <c r="J13" i="3"/>
  <c r="G13" i="3"/>
  <c r="J15" i="3"/>
  <c r="G15" i="3"/>
  <c r="J14" i="3"/>
  <c r="G14" i="3"/>
  <c r="J6" i="3"/>
  <c r="G6" i="3"/>
  <c r="J5" i="3"/>
  <c r="G5" i="3"/>
  <c r="J7" i="3"/>
  <c r="G7" i="3"/>
  <c r="J8" i="3"/>
  <c r="G8" i="3"/>
  <c r="Y18" i="2"/>
  <c r="Y17" i="2"/>
  <c r="Y16" i="2"/>
  <c r="Y15" i="2"/>
  <c r="Y14" i="2"/>
  <c r="Y13" i="2"/>
  <c r="Y9" i="2"/>
  <c r="Y8" i="2"/>
  <c r="Y7" i="2"/>
  <c r="Y6" i="2"/>
  <c r="Y5" i="2"/>
  <c r="Y4" i="2"/>
  <c r="Y22" i="2"/>
  <c r="W22" i="2"/>
  <c r="Y21" i="2"/>
  <c r="W21" i="2"/>
  <c r="AF18" i="2"/>
  <c r="AC18" i="2"/>
  <c r="AF17" i="2"/>
  <c r="AC17" i="2"/>
  <c r="AF16" i="2"/>
  <c r="AC16" i="2"/>
  <c r="AF15" i="2"/>
  <c r="AC15" i="2"/>
  <c r="AF14" i="2"/>
  <c r="AC14" i="2"/>
  <c r="AF13" i="2"/>
  <c r="AC13" i="2"/>
  <c r="AF9" i="2"/>
  <c r="AC9" i="2"/>
  <c r="AF8" i="2"/>
  <c r="AC8" i="2"/>
  <c r="AF7" i="2"/>
  <c r="AC7" i="2"/>
  <c r="AF6" i="2"/>
  <c r="AC6" i="2"/>
  <c r="AF5" i="2"/>
  <c r="AC5" i="2"/>
  <c r="AF4" i="2"/>
  <c r="AC4" i="2"/>
  <c r="U10" i="2"/>
  <c r="U11" i="2"/>
  <c r="R10" i="2"/>
  <c r="R11" i="2"/>
  <c r="N10" i="2"/>
  <c r="N11" i="2"/>
  <c r="N9" i="2"/>
  <c r="N8" i="2"/>
  <c r="N7" i="2"/>
  <c r="N6" i="2"/>
  <c r="N5" i="2"/>
  <c r="N4" i="2"/>
  <c r="N3" i="2"/>
  <c r="R15" i="2"/>
  <c r="P15" i="2"/>
  <c r="N15" i="2"/>
  <c r="L15" i="2"/>
  <c r="R14" i="2"/>
  <c r="P14" i="2"/>
  <c r="N14" i="2"/>
  <c r="L14" i="2"/>
  <c r="U9" i="2"/>
  <c r="R9" i="2"/>
  <c r="U8" i="2"/>
  <c r="R8" i="2"/>
  <c r="U7" i="2"/>
  <c r="R7" i="2"/>
  <c r="U6" i="2"/>
  <c r="R6" i="2"/>
  <c r="U5" i="2"/>
  <c r="R5" i="2"/>
  <c r="U4" i="2"/>
  <c r="R4" i="2"/>
  <c r="U3" i="2"/>
  <c r="R3" i="2"/>
  <c r="C10" i="2"/>
  <c r="C9" i="2"/>
  <c r="C8" i="2"/>
  <c r="C7" i="2"/>
  <c r="C6" i="2"/>
  <c r="C5" i="2"/>
  <c r="C4" i="2"/>
  <c r="C3" i="2"/>
  <c r="G14" i="2"/>
  <c r="E14" i="2"/>
  <c r="C14" i="2"/>
  <c r="A14" i="2"/>
  <c r="G13" i="2"/>
  <c r="E13" i="2"/>
  <c r="C13" i="2"/>
  <c r="A13" i="2"/>
  <c r="J10" i="2"/>
  <c r="G10" i="2"/>
  <c r="J9" i="2"/>
  <c r="G9" i="2"/>
  <c r="J8" i="2"/>
  <c r="G8" i="2"/>
  <c r="J7" i="2"/>
  <c r="G7" i="2"/>
  <c r="J6" i="2"/>
  <c r="G6" i="2"/>
  <c r="J5" i="2"/>
  <c r="G5" i="2"/>
  <c r="J4" i="2"/>
  <c r="G4" i="2"/>
  <c r="J3" i="2"/>
  <c r="G3" i="2"/>
  <c r="N6" i="1"/>
  <c r="N5" i="1"/>
  <c r="N4" i="1"/>
  <c r="N3" i="1"/>
  <c r="R9" i="1"/>
  <c r="P9" i="1"/>
  <c r="N9" i="1"/>
  <c r="L9" i="1"/>
  <c r="U6" i="1"/>
  <c r="R6" i="1"/>
  <c r="U5" i="1"/>
  <c r="R5" i="1"/>
  <c r="U4" i="1"/>
  <c r="R4" i="1"/>
  <c r="U3" i="1"/>
  <c r="R3" i="1"/>
  <c r="C4" i="1"/>
  <c r="C5" i="1"/>
  <c r="C6" i="1"/>
  <c r="C7" i="1"/>
  <c r="C8" i="1"/>
  <c r="C9" i="1"/>
  <c r="C10" i="1"/>
  <c r="C3" i="1"/>
  <c r="G14" i="1"/>
  <c r="E14" i="1"/>
  <c r="C14" i="1"/>
  <c r="A14" i="1"/>
  <c r="G13" i="1"/>
  <c r="E13" i="1"/>
  <c r="C13" i="1"/>
  <c r="A13" i="1"/>
  <c r="J10" i="1"/>
  <c r="G10" i="1"/>
  <c r="J9" i="1"/>
  <c r="G9" i="1"/>
  <c r="J8" i="1"/>
  <c r="G8" i="1"/>
  <c r="J7" i="1"/>
  <c r="G7" i="1"/>
  <c r="J6" i="1"/>
  <c r="G6" i="1"/>
  <c r="J5" i="1"/>
  <c r="G5" i="1"/>
  <c r="J4" i="1"/>
  <c r="G4" i="1"/>
  <c r="J3" i="1"/>
  <c r="G3" i="1"/>
</calcChain>
</file>

<file path=xl/sharedStrings.xml><?xml version="1.0" encoding="utf-8"?>
<sst xmlns="http://schemas.openxmlformats.org/spreadsheetml/2006/main" count="5362" uniqueCount="827">
  <si>
    <t>Acreano</t>
  </si>
  <si>
    <t>#</t>
  </si>
  <si>
    <t>Time</t>
  </si>
  <si>
    <t>PTS</t>
  </si>
  <si>
    <t>PJ</t>
  </si>
  <si>
    <t>VIT</t>
  </si>
  <si>
    <t>E</t>
  </si>
  <si>
    <t>DER</t>
  </si>
  <si>
    <t>GP</t>
  </si>
  <si>
    <t>GC</t>
  </si>
  <si>
    <t>SG</t>
  </si>
  <si>
    <t>1.</t>
  </si>
  <si>
    <t>Santa Cruz</t>
  </si>
  <si>
    <t>2.</t>
  </si>
  <si>
    <t>Rio Branco</t>
  </si>
  <si>
    <t>3.</t>
  </si>
  <si>
    <t>Independência</t>
  </si>
  <si>
    <t>4.</t>
  </si>
  <si>
    <t>Vasco</t>
  </si>
  <si>
    <t>5.</t>
  </si>
  <si>
    <t>Humaitá</t>
  </si>
  <si>
    <t>6.</t>
  </si>
  <si>
    <t>Adesg</t>
  </si>
  <si>
    <t>7.</t>
  </si>
  <si>
    <t>Galvez</t>
  </si>
  <si>
    <t>8.</t>
  </si>
  <si>
    <t>São Francisco</t>
  </si>
  <si>
    <t>Semifinal</t>
  </si>
  <si>
    <t>0x1</t>
  </si>
  <si>
    <t>2x2</t>
  </si>
  <si>
    <t>1x0</t>
  </si>
  <si>
    <t>1x2</t>
  </si>
  <si>
    <t>Disputa de 3o lugar</t>
  </si>
  <si>
    <t>Final</t>
  </si>
  <si>
    <t>Plácido de Castro</t>
  </si>
  <si>
    <t>Andirá</t>
  </si>
  <si>
    <t>2x0</t>
  </si>
  <si>
    <t>1x0 (5x3)</t>
  </si>
  <si>
    <t>Série D:</t>
  </si>
  <si>
    <t>CDB:</t>
  </si>
  <si>
    <t>Acreano 2</t>
  </si>
  <si>
    <t>Náuas</t>
  </si>
  <si>
    <t>Atlético</t>
  </si>
  <si>
    <t>2x1</t>
  </si>
  <si>
    <t>1x1</t>
  </si>
  <si>
    <t>Alagoano</t>
  </si>
  <si>
    <t>CRB</t>
  </si>
  <si>
    <t>Murici</t>
  </si>
  <si>
    <t>ASA</t>
  </si>
  <si>
    <t>Coruripe</t>
  </si>
  <si>
    <t>Penedense</t>
  </si>
  <si>
    <t>Cruzeiro</t>
  </si>
  <si>
    <t>CSE</t>
  </si>
  <si>
    <t>CSA</t>
  </si>
  <si>
    <t>3x0</t>
  </si>
  <si>
    <t>Jaciobá</t>
  </si>
  <si>
    <t>0x3</t>
  </si>
  <si>
    <t>0x0</t>
  </si>
  <si>
    <t>Alagoano B</t>
  </si>
  <si>
    <t>Desportivo Aliança</t>
  </si>
  <si>
    <t>Miguelense</t>
  </si>
  <si>
    <t>Dimensão Saúde</t>
  </si>
  <si>
    <t>Agrimaq</t>
  </si>
  <si>
    <t>Zumbi</t>
  </si>
  <si>
    <t>Igaci</t>
  </si>
  <si>
    <t>3x1</t>
  </si>
  <si>
    <t>9.</t>
  </si>
  <si>
    <t>Sporting</t>
  </si>
  <si>
    <t>São Domingos</t>
  </si>
  <si>
    <t>0x2</t>
  </si>
  <si>
    <t>Campeões</t>
  </si>
  <si>
    <t>Copa Alagoas</t>
  </si>
  <si>
    <t>Grupo A</t>
  </si>
  <si>
    <t>Grupo B</t>
  </si>
  <si>
    <t>3x2</t>
  </si>
  <si>
    <t>Amazonense</t>
  </si>
  <si>
    <t>Tabela geral</t>
  </si>
  <si>
    <t>1o turno</t>
  </si>
  <si>
    <t>Manauara</t>
  </si>
  <si>
    <t>Itacoatiara</t>
  </si>
  <si>
    <t>Parintins</t>
  </si>
  <si>
    <t>Amazonas</t>
  </si>
  <si>
    <t>São Raimundo</t>
  </si>
  <si>
    <t>Nacional</t>
  </si>
  <si>
    <t>Manaus</t>
  </si>
  <si>
    <t>Princesa</t>
  </si>
  <si>
    <t>Fase preliminar</t>
  </si>
  <si>
    <t>2o turno</t>
  </si>
  <si>
    <t>Final geral</t>
  </si>
  <si>
    <t>Penarol</t>
  </si>
  <si>
    <t>4x0</t>
  </si>
  <si>
    <t>0x0 (6x7)</t>
  </si>
  <si>
    <t>Amazonense B</t>
  </si>
  <si>
    <t>RB do Norte</t>
  </si>
  <si>
    <t>Tarumã</t>
  </si>
  <si>
    <t>Unidos do Alvorada</t>
  </si>
  <si>
    <t>CDC da Amazônia</t>
  </si>
  <si>
    <t>Clipper</t>
  </si>
  <si>
    <t>Fast Clube</t>
  </si>
  <si>
    <t>Operário</t>
  </si>
  <si>
    <t>Sul América</t>
  </si>
  <si>
    <t>Sete</t>
  </si>
  <si>
    <t>Iranduba</t>
  </si>
  <si>
    <t>0x0 (4x5)</t>
  </si>
  <si>
    <t>0x0 (5x4)</t>
  </si>
  <si>
    <t>Amapazão</t>
  </si>
  <si>
    <t>Oratório</t>
  </si>
  <si>
    <t>Trem</t>
  </si>
  <si>
    <t>Macapá</t>
  </si>
  <si>
    <t>Ypiranga</t>
  </si>
  <si>
    <t>Santos</t>
  </si>
  <si>
    <t>Independente</t>
  </si>
  <si>
    <t>São José</t>
  </si>
  <si>
    <t>Cristal</t>
  </si>
  <si>
    <t>Mazagão</t>
  </si>
  <si>
    <t>Latitude Zero</t>
  </si>
  <si>
    <t>Amapazão Série B</t>
  </si>
  <si>
    <t>Lagoa</t>
  </si>
  <si>
    <t>Portuguesa</t>
  </si>
  <si>
    <t>Renovação</t>
  </si>
  <si>
    <t>Canário</t>
  </si>
  <si>
    <t>Santana</t>
  </si>
  <si>
    <t>São Paulo</t>
  </si>
  <si>
    <t>ADEC</t>
  </si>
  <si>
    <t>Rio Norte</t>
  </si>
  <si>
    <t>0x4</t>
  </si>
  <si>
    <t>3x3 (4x5)</t>
  </si>
  <si>
    <t>BARE</t>
  </si>
  <si>
    <t>Baiano</t>
  </si>
  <si>
    <t>Porto</t>
  </si>
  <si>
    <t>Juazeirense</t>
  </si>
  <si>
    <t>Jacuipense</t>
  </si>
  <si>
    <t>Bahia</t>
  </si>
  <si>
    <t>Jequié</t>
  </si>
  <si>
    <t>Bahia de Feira</t>
  </si>
  <si>
    <t>Vitória</t>
  </si>
  <si>
    <t>Barcelona</t>
  </si>
  <si>
    <t>10.</t>
  </si>
  <si>
    <t>Galícia</t>
  </si>
  <si>
    <t>Fluminense</t>
  </si>
  <si>
    <t>2x2 (5x4)</t>
  </si>
  <si>
    <t>0x0 (3x1)</t>
  </si>
  <si>
    <t>Baiano 2</t>
  </si>
  <si>
    <t>SSA</t>
  </si>
  <si>
    <t>Jacobina</t>
  </si>
  <si>
    <t>Colo Colo</t>
  </si>
  <si>
    <t>Leônico</t>
  </si>
  <si>
    <t>Itabuna</t>
  </si>
  <si>
    <t>Vitória da Conquista</t>
  </si>
  <si>
    <t>11.</t>
  </si>
  <si>
    <t>12.</t>
  </si>
  <si>
    <t>13.</t>
  </si>
  <si>
    <t>Barreiras</t>
  </si>
  <si>
    <t>Camaçari</t>
  </si>
  <si>
    <t>Redenção</t>
  </si>
  <si>
    <t>Grapiúna</t>
  </si>
  <si>
    <t>Feira</t>
  </si>
  <si>
    <t>2x0 (6x5)</t>
  </si>
  <si>
    <t>Cearense</t>
  </si>
  <si>
    <t>Fortaleza</t>
  </si>
  <si>
    <t>Ferroviário</t>
  </si>
  <si>
    <t>Quixadá</t>
  </si>
  <si>
    <t>Horizonte</t>
  </si>
  <si>
    <t>Maracanã</t>
  </si>
  <si>
    <t>Maranguape</t>
  </si>
  <si>
    <t>Tirol</t>
  </si>
  <si>
    <t>Floresta</t>
  </si>
  <si>
    <t>Ceará</t>
  </si>
  <si>
    <t>Iguatu</t>
  </si>
  <si>
    <t>2a fase</t>
  </si>
  <si>
    <t>Disputa de 5o lugar</t>
  </si>
  <si>
    <t>4x1</t>
  </si>
  <si>
    <t>Quadrangular do rebaixamento</t>
  </si>
  <si>
    <t>Guarany</t>
  </si>
  <si>
    <t>Cearense B</t>
  </si>
  <si>
    <t>Crato</t>
  </si>
  <si>
    <t>Cariri</t>
  </si>
  <si>
    <t>Icasa</t>
  </si>
  <si>
    <t>Barbalha</t>
  </si>
  <si>
    <t>Guarani</t>
  </si>
  <si>
    <t>Crateús</t>
  </si>
  <si>
    <t>Caucaia</t>
  </si>
  <si>
    <t>Itapipoca</t>
  </si>
  <si>
    <t>Vila Real</t>
  </si>
  <si>
    <t>Esporte Limoeiro</t>
  </si>
  <si>
    <t>Rodada do rebaixamento</t>
  </si>
  <si>
    <t>1x0 (4x5)</t>
  </si>
  <si>
    <t>0x0 (3x4)</t>
  </si>
  <si>
    <t>Cearense C</t>
  </si>
  <si>
    <t>Tiradentes</t>
  </si>
  <si>
    <t>Pacatuba</t>
  </si>
  <si>
    <t>0x1 (6x7)</t>
  </si>
  <si>
    <t>Copa Fares Lopes</t>
  </si>
  <si>
    <t>0x0 (1x4)</t>
  </si>
  <si>
    <t>Brasiliense</t>
  </si>
  <si>
    <t>Sobradinho</t>
  </si>
  <si>
    <t>Capital</t>
  </si>
  <si>
    <t>Real Brasília</t>
  </si>
  <si>
    <t>Paranoá</t>
  </si>
  <si>
    <t>Samambaia</t>
  </si>
  <si>
    <t>ARUC</t>
  </si>
  <si>
    <t>Brasília</t>
  </si>
  <si>
    <t>Ceilândia</t>
  </si>
  <si>
    <t>Gama</t>
  </si>
  <si>
    <t>Ceilandense</t>
  </si>
  <si>
    <t>1x1 (4x3)</t>
  </si>
  <si>
    <t>Brasiliense B</t>
  </si>
  <si>
    <t>Riacho City</t>
  </si>
  <si>
    <t>Legião</t>
  </si>
  <si>
    <t>Candango</t>
  </si>
  <si>
    <t>Planaltina</t>
  </si>
  <si>
    <t>Grêmio Valparaíso</t>
  </si>
  <si>
    <t>Luziânia</t>
  </si>
  <si>
    <t>Capixaba</t>
  </si>
  <si>
    <t>Porto Vitória</t>
  </si>
  <si>
    <t>Desportiva Ferroviária</t>
  </si>
  <si>
    <t>Forte</t>
  </si>
  <si>
    <t>Vilavelhense</t>
  </si>
  <si>
    <t>Serra</t>
  </si>
  <si>
    <t>Rio Branco VN</t>
  </si>
  <si>
    <t>Real Noroeste</t>
  </si>
  <si>
    <t>Quartas de final</t>
  </si>
  <si>
    <t>Nova Venécia</t>
  </si>
  <si>
    <t>Linhares</t>
  </si>
  <si>
    <t>5x0</t>
  </si>
  <si>
    <t>0x0 (4x3)</t>
  </si>
  <si>
    <t>Capixaba B</t>
  </si>
  <si>
    <t>Jaguaré</t>
  </si>
  <si>
    <t>Sport</t>
  </si>
  <si>
    <t>Grêmio Laranjeiras</t>
  </si>
  <si>
    <t>Pinheiros</t>
  </si>
  <si>
    <t>Estrela do Norte</t>
  </si>
  <si>
    <t>Rive</t>
  </si>
  <si>
    <t>Colatina</t>
  </si>
  <si>
    <t>Audax São Mateus</t>
  </si>
  <si>
    <t>Doze</t>
  </si>
  <si>
    <t>Tupy</t>
  </si>
  <si>
    <t>1x1 (4x5)</t>
  </si>
  <si>
    <t>Copa ES</t>
  </si>
  <si>
    <t>1x1 (2x4)</t>
  </si>
  <si>
    <t>Goiano</t>
  </si>
  <si>
    <t>Tabela Geral</t>
  </si>
  <si>
    <t>Aparecidense</t>
  </si>
  <si>
    <t>Inhumas</t>
  </si>
  <si>
    <t>Jataiense</t>
  </si>
  <si>
    <t>Goiatuba</t>
  </si>
  <si>
    <t>CRAC</t>
  </si>
  <si>
    <t>Ouvidorense</t>
  </si>
  <si>
    <t>Vila Nova</t>
  </si>
  <si>
    <t>Goiás</t>
  </si>
  <si>
    <t>Centro-Oeste</t>
  </si>
  <si>
    <t>Anápolis</t>
  </si>
  <si>
    <t>Anapolina</t>
  </si>
  <si>
    <t>Duelo do rebaixamento</t>
  </si>
  <si>
    <t>Grupo C</t>
  </si>
  <si>
    <t>Goiânia</t>
  </si>
  <si>
    <t>Mineiros</t>
  </si>
  <si>
    <t>0x1 (4x2)</t>
  </si>
  <si>
    <t>Playoffs do 5o lugar</t>
  </si>
  <si>
    <t>1x1 (7x6)</t>
  </si>
  <si>
    <t>4x0 (3x4)</t>
  </si>
  <si>
    <t>Goiano 2</t>
  </si>
  <si>
    <t>Goiano 3</t>
  </si>
  <si>
    <t>Aparecida</t>
  </si>
  <si>
    <t>Santa Helena</t>
  </si>
  <si>
    <t>Rio Verde</t>
  </si>
  <si>
    <t>Rioverdense</t>
  </si>
  <si>
    <t>Trindade</t>
  </si>
  <si>
    <t>América</t>
  </si>
  <si>
    <t>Morrinhos</t>
  </si>
  <si>
    <t>Guanabara City</t>
  </si>
  <si>
    <t>Pires do Rio</t>
  </si>
  <si>
    <t>Grêmio Anápolis</t>
  </si>
  <si>
    <t>Itumbiara</t>
  </si>
  <si>
    <t>Bom Jesus</t>
  </si>
  <si>
    <t>ABD</t>
  </si>
  <si>
    <t>Crixás</t>
  </si>
  <si>
    <t>ASEEV</t>
  </si>
  <si>
    <t>Goianésia</t>
  </si>
  <si>
    <t>Iporá</t>
  </si>
  <si>
    <t>Maranhense</t>
  </si>
  <si>
    <t>IAPE</t>
  </si>
  <si>
    <t>Maranhão</t>
  </si>
  <si>
    <t>ITZ Sport</t>
  </si>
  <si>
    <t>Tuntum</t>
  </si>
  <si>
    <t>Sampaio Corrêa</t>
  </si>
  <si>
    <t>Imperatriz</t>
  </si>
  <si>
    <t>Luminense</t>
  </si>
  <si>
    <t>Moto Club</t>
  </si>
  <si>
    <t>Cordino</t>
  </si>
  <si>
    <t>Expressinho</t>
  </si>
  <si>
    <t>Viana</t>
  </si>
  <si>
    <t>São Luís</t>
  </si>
  <si>
    <t>Pinheiro</t>
  </si>
  <si>
    <t>Americano</t>
  </si>
  <si>
    <t>Tupan</t>
  </si>
  <si>
    <t>Lago Verde</t>
  </si>
  <si>
    <t>Timon</t>
  </si>
  <si>
    <t>Balsas</t>
  </si>
  <si>
    <t>Araioses</t>
  </si>
  <si>
    <t>1x1 (9x8)</t>
  </si>
  <si>
    <t>5x1</t>
  </si>
  <si>
    <t>0x0 (7x6)</t>
  </si>
  <si>
    <t>2x3</t>
  </si>
  <si>
    <t>Mineiro</t>
  </si>
  <si>
    <t>URT</t>
  </si>
  <si>
    <t>Democrata GV</t>
  </si>
  <si>
    <t>Tombense</t>
  </si>
  <si>
    <t>Itabirito</t>
  </si>
  <si>
    <t>Athletic</t>
  </si>
  <si>
    <t>North</t>
  </si>
  <si>
    <t>Troféu Inconfidência</t>
  </si>
  <si>
    <t>Ipatinga</t>
  </si>
  <si>
    <t>Boa Esporte</t>
  </si>
  <si>
    <t>1x1 (4x2)</t>
  </si>
  <si>
    <t>UberLÂNDIA</t>
  </si>
  <si>
    <t>Mineiro Módulo 2</t>
  </si>
  <si>
    <t>Caldense</t>
  </si>
  <si>
    <t>Patrocinense</t>
  </si>
  <si>
    <t>Uberaba</t>
  </si>
  <si>
    <t>Mamoré</t>
  </si>
  <si>
    <t>Coimbra FC Porto</t>
  </si>
  <si>
    <t>Valeriodoce</t>
  </si>
  <si>
    <t>Aymorés</t>
  </si>
  <si>
    <t>Villa Nova</t>
  </si>
  <si>
    <t>Democrata SL</t>
  </si>
  <si>
    <t>Pouso Alegre</t>
  </si>
  <si>
    <t>Internacional</t>
  </si>
  <si>
    <t>Betim</t>
  </si>
  <si>
    <t>Varginha</t>
  </si>
  <si>
    <t>Mineiro 2a Divisão</t>
  </si>
  <si>
    <t>Novo Esporte</t>
  </si>
  <si>
    <t>União Luziense</t>
  </si>
  <si>
    <t>Serranense</t>
  </si>
  <si>
    <t>Boston City</t>
  </si>
  <si>
    <t>Tupi</t>
  </si>
  <si>
    <t>Nacional de Muriaé</t>
  </si>
  <si>
    <t>Juventus</t>
  </si>
  <si>
    <t>Essube</t>
  </si>
  <si>
    <t>Passos</t>
  </si>
  <si>
    <t>Nacional de Uberaba</t>
  </si>
  <si>
    <t>Paracatu</t>
  </si>
  <si>
    <t>Quadrangular</t>
  </si>
  <si>
    <t>Sul-Mato-Grossense</t>
  </si>
  <si>
    <t>Dourados</t>
  </si>
  <si>
    <t>Aquidauana</t>
  </si>
  <si>
    <t>Corumbaense</t>
  </si>
  <si>
    <t>Ivinhema</t>
  </si>
  <si>
    <t>Águia Negra</t>
  </si>
  <si>
    <t>Bataguassu</t>
  </si>
  <si>
    <t>Naviraiense</t>
  </si>
  <si>
    <t>Pantanal</t>
  </si>
  <si>
    <t>Costa Rica</t>
  </si>
  <si>
    <t>Maracaju</t>
  </si>
  <si>
    <t>Comercial</t>
  </si>
  <si>
    <t>0x1 (3x4)</t>
  </si>
  <si>
    <t>Sul-Mato-Grossense 2</t>
  </si>
  <si>
    <t>Taveirópolis</t>
  </si>
  <si>
    <t>Aquidauanense</t>
  </si>
  <si>
    <t>São Gabriel</t>
  </si>
  <si>
    <t>Coxim</t>
  </si>
  <si>
    <t>Misto</t>
  </si>
  <si>
    <t>Sete de Setembro</t>
  </si>
  <si>
    <t>Campo Grande</t>
  </si>
  <si>
    <t>São Gabrie</t>
  </si>
  <si>
    <t>União ABC</t>
  </si>
  <si>
    <t>Mato-Grossense</t>
  </si>
  <si>
    <t>Nova Mutum</t>
  </si>
  <si>
    <t>Mixto</t>
  </si>
  <si>
    <t>Cuiabá</t>
  </si>
  <si>
    <t>CEOV Operário</t>
  </si>
  <si>
    <t>Luverdense</t>
  </si>
  <si>
    <t>Chapada</t>
  </si>
  <si>
    <t>Sport Sinop</t>
  </si>
  <si>
    <t>Várzea Grande</t>
  </si>
  <si>
    <t>Primavera</t>
  </si>
  <si>
    <t>União Rondonópolis</t>
  </si>
  <si>
    <t>Dom Bosco</t>
  </si>
  <si>
    <t>Uirapuru</t>
  </si>
  <si>
    <t>0x0 (2x4)</t>
  </si>
  <si>
    <t>Mato-Grossense 2</t>
  </si>
  <si>
    <t>Academia</t>
  </si>
  <si>
    <t>Campo Novo</t>
  </si>
  <si>
    <t>Cacerense</t>
  </si>
  <si>
    <t>Ação</t>
  </si>
  <si>
    <t>Cáceres</t>
  </si>
  <si>
    <t>1x3</t>
  </si>
  <si>
    <t>Sorriso EC</t>
  </si>
  <si>
    <t>Sorriso FC</t>
  </si>
  <si>
    <t>Sinop</t>
  </si>
  <si>
    <t>Paulistano</t>
  </si>
  <si>
    <t>1x0 (5x6)</t>
  </si>
  <si>
    <t>Copa FMF</t>
  </si>
  <si>
    <t>Copa MS</t>
  </si>
  <si>
    <t>Paraense</t>
  </si>
  <si>
    <t>Santa Rosa</t>
  </si>
  <si>
    <t>Paysandu</t>
  </si>
  <si>
    <t>Capitão Poço</t>
  </si>
  <si>
    <t>Cametá</t>
  </si>
  <si>
    <t>Bragantino</t>
  </si>
  <si>
    <t>Tuna Luso</t>
  </si>
  <si>
    <t>Águia de Marabá</t>
  </si>
  <si>
    <t>Remo</t>
  </si>
  <si>
    <t>Castanhal</t>
  </si>
  <si>
    <t>Amazônia</t>
  </si>
  <si>
    <t>1x1 (5x6)</t>
  </si>
  <si>
    <t>2x4</t>
  </si>
  <si>
    <t>3x3</t>
  </si>
  <si>
    <t>6x0</t>
  </si>
  <si>
    <t>1x1 (6x5)</t>
  </si>
  <si>
    <t>Copa-Grão Pará</t>
  </si>
  <si>
    <t>Paraense A2</t>
  </si>
  <si>
    <t>Tapajós</t>
  </si>
  <si>
    <t>União Paraense</t>
  </si>
  <si>
    <t>Caeté</t>
  </si>
  <si>
    <t>Carajás</t>
  </si>
  <si>
    <t>Izabelense</t>
  </si>
  <si>
    <t>Paragominas</t>
  </si>
  <si>
    <t>Canaã</t>
  </si>
  <si>
    <t>Grupo D</t>
  </si>
  <si>
    <t>Urumajó</t>
  </si>
  <si>
    <t>Itupiranga</t>
  </si>
  <si>
    <t>Vila Rica</t>
  </si>
  <si>
    <t>Altamira</t>
  </si>
  <si>
    <t>Paraense A3</t>
  </si>
  <si>
    <t>Gavião Kyikatejê</t>
  </si>
  <si>
    <t>Vênus</t>
  </si>
  <si>
    <t>Esmac</t>
  </si>
  <si>
    <t>Belenense</t>
  </si>
  <si>
    <t>Pinheirense</t>
  </si>
  <si>
    <t>Sport Belém</t>
  </si>
  <si>
    <t>Pedreira</t>
  </si>
  <si>
    <t>Tesla</t>
  </si>
  <si>
    <t>1x0 (7x8)</t>
  </si>
  <si>
    <t>Paraíbano</t>
  </si>
  <si>
    <t>Serra Branca</t>
  </si>
  <si>
    <t>Sousa</t>
  </si>
  <si>
    <t>Pombal</t>
  </si>
  <si>
    <t>Treze</t>
  </si>
  <si>
    <t>Campinense</t>
  </si>
  <si>
    <t>Botafogo</t>
  </si>
  <si>
    <t>Confiança</t>
  </si>
  <si>
    <t>EC de Patos</t>
  </si>
  <si>
    <t>Miramar</t>
  </si>
  <si>
    <t>0x1 (5x4)</t>
  </si>
  <si>
    <t>Paraíbano 2</t>
  </si>
  <si>
    <t>Picuiense</t>
  </si>
  <si>
    <t>Serrano</t>
  </si>
  <si>
    <t>São Paulo Crystal</t>
  </si>
  <si>
    <t>Desportiva Guarabira</t>
  </si>
  <si>
    <t>Spartax</t>
  </si>
  <si>
    <t>Santa Rita</t>
  </si>
  <si>
    <t>CSP</t>
  </si>
  <si>
    <t>Femar</t>
  </si>
  <si>
    <t>Auto Esporte</t>
  </si>
  <si>
    <t>Sabugy</t>
  </si>
  <si>
    <t>2x2 (1x3)</t>
  </si>
  <si>
    <t>Paraíbano 3</t>
  </si>
  <si>
    <t>Queimadense</t>
  </si>
  <si>
    <t>Perilima</t>
  </si>
  <si>
    <t>Copa Paraíba</t>
  </si>
  <si>
    <t>1x0 (4x1)</t>
  </si>
  <si>
    <t>2x1 (4x2)</t>
  </si>
  <si>
    <t>Botafogo-PB</t>
  </si>
  <si>
    <t>Pernambucano</t>
  </si>
  <si>
    <t>Retrô</t>
  </si>
  <si>
    <t>Maguary</t>
  </si>
  <si>
    <t>Decisão</t>
  </si>
  <si>
    <t>Náutico</t>
  </si>
  <si>
    <t>Jaguar</t>
  </si>
  <si>
    <t>Águia</t>
  </si>
  <si>
    <t>Pernambucano A2</t>
  </si>
  <si>
    <t>Íbis</t>
  </si>
  <si>
    <t>Petrolina</t>
  </si>
  <si>
    <t>Ipojuca</t>
  </si>
  <si>
    <t>Salgueiro</t>
  </si>
  <si>
    <t>Afogados</t>
  </si>
  <si>
    <t>Caruaru City</t>
  </si>
  <si>
    <t>Centro Limoeirense</t>
  </si>
  <si>
    <t>Central</t>
  </si>
  <si>
    <t>14.</t>
  </si>
  <si>
    <t>Belo Jardim</t>
  </si>
  <si>
    <t>15.</t>
  </si>
  <si>
    <t>16.</t>
  </si>
  <si>
    <t>Vera Cruz</t>
  </si>
  <si>
    <t>Pesqueira</t>
  </si>
  <si>
    <t>1x1 (3x5)</t>
  </si>
  <si>
    <t>Piauiense</t>
  </si>
  <si>
    <t>Teresina</t>
  </si>
  <si>
    <t>Oeirense</t>
  </si>
  <si>
    <t>Piauí</t>
  </si>
  <si>
    <t>Parnahyba</t>
  </si>
  <si>
    <t>Corisabbá</t>
  </si>
  <si>
    <t>Altos</t>
  </si>
  <si>
    <t>4 de Julho</t>
  </si>
  <si>
    <t>Caiçara</t>
  </si>
  <si>
    <t>Piauiense 2</t>
  </si>
  <si>
    <t>Flamengo</t>
  </si>
  <si>
    <t>River</t>
  </si>
  <si>
    <t>Picos</t>
  </si>
  <si>
    <t>1x1 (5x4)</t>
  </si>
  <si>
    <t>Campeões:</t>
  </si>
  <si>
    <t>Paranaense</t>
  </si>
  <si>
    <t>Cascavel</t>
  </si>
  <si>
    <t>Maringá</t>
  </si>
  <si>
    <t>Athletico</t>
  </si>
  <si>
    <t>Londrina</t>
  </si>
  <si>
    <t>Foz do Iguaçu</t>
  </si>
  <si>
    <t>São Joseense</t>
  </si>
  <si>
    <t>Andraus</t>
  </si>
  <si>
    <t>Cianorte</t>
  </si>
  <si>
    <t>Galo Maringá</t>
  </si>
  <si>
    <t>Azuriz</t>
  </si>
  <si>
    <t>Coritiba</t>
  </si>
  <si>
    <t>1x1 (5x3)</t>
  </si>
  <si>
    <t>Araucária</t>
  </si>
  <si>
    <t>1x0 (5x4)</t>
  </si>
  <si>
    <t>Playoff do rebaixamento</t>
  </si>
  <si>
    <t>Paranaense A2</t>
  </si>
  <si>
    <t>Toledo</t>
  </si>
  <si>
    <t>Laranja Mecânica</t>
  </si>
  <si>
    <t>Batel</t>
  </si>
  <si>
    <t>Prudentópolis</t>
  </si>
  <si>
    <t>Patriotas</t>
  </si>
  <si>
    <t>Paranavaí</t>
  </si>
  <si>
    <t>Paraná</t>
  </si>
  <si>
    <t>Grêmio Maringá</t>
  </si>
  <si>
    <t>Paranaense 3a Divisão</t>
  </si>
  <si>
    <t>Samas</t>
  </si>
  <si>
    <t>Hope Internacional</t>
  </si>
  <si>
    <t>Iraty</t>
  </si>
  <si>
    <t>Iguaçu</t>
  </si>
  <si>
    <t>City London</t>
  </si>
  <si>
    <t>Cambé</t>
  </si>
  <si>
    <t>PSTC</t>
  </si>
  <si>
    <t>União</t>
  </si>
  <si>
    <t>Oeste Brasil</t>
  </si>
  <si>
    <t>Campo Mourão</t>
  </si>
  <si>
    <t>Taça FPF</t>
  </si>
  <si>
    <t>Carioca</t>
  </si>
  <si>
    <t>Volta Redonda</t>
  </si>
  <si>
    <t>Bangu</t>
  </si>
  <si>
    <t>Maricá</t>
  </si>
  <si>
    <t>Boavista</t>
  </si>
  <si>
    <t>Madureira</t>
  </si>
  <si>
    <t>Nova Iguaçu</t>
  </si>
  <si>
    <t>Taça Rio</t>
  </si>
  <si>
    <t>Resende</t>
  </si>
  <si>
    <t>0x0 (4x2)</t>
  </si>
  <si>
    <t>Carioca A2</t>
  </si>
  <si>
    <t>Bonsucesso</t>
  </si>
  <si>
    <t>Audax</t>
  </si>
  <si>
    <t>São Gonçalo</t>
  </si>
  <si>
    <t>Pérolas Negras</t>
  </si>
  <si>
    <t>Araruama</t>
  </si>
  <si>
    <t>Cabofriense</t>
  </si>
  <si>
    <t>Olaria</t>
  </si>
  <si>
    <t>Univassouras Artsul</t>
  </si>
  <si>
    <t>São Cristóvão</t>
  </si>
  <si>
    <t>1x0 (6x5)</t>
  </si>
  <si>
    <t>Carioca B1</t>
  </si>
  <si>
    <t>Goytacaz</t>
  </si>
  <si>
    <t>Niteroiense</t>
  </si>
  <si>
    <t>Macaé</t>
  </si>
  <si>
    <t>Duque de Caxias</t>
  </si>
  <si>
    <t>Nova Cidade</t>
  </si>
  <si>
    <t>Carapebus</t>
  </si>
  <si>
    <t>Petrópolis</t>
  </si>
  <si>
    <t>Serra Macaense</t>
  </si>
  <si>
    <t>Barra Mansa</t>
  </si>
  <si>
    <t>4x3</t>
  </si>
  <si>
    <t>Carioca B2</t>
  </si>
  <si>
    <t>7 de Abril</t>
  </si>
  <si>
    <t>Rio de Janeiro</t>
  </si>
  <si>
    <t>Paraty</t>
  </si>
  <si>
    <t>Paduano</t>
  </si>
  <si>
    <t>Belford Roxo</t>
  </si>
  <si>
    <t>Búzios</t>
  </si>
  <si>
    <t>Friburguense</t>
  </si>
  <si>
    <t>Carioca C</t>
  </si>
  <si>
    <t>União Central</t>
  </si>
  <si>
    <t>Duque Caxiense</t>
  </si>
  <si>
    <t>CAAC Brasil</t>
  </si>
  <si>
    <t>Magé Brescia</t>
  </si>
  <si>
    <t>BZ BZ</t>
  </si>
  <si>
    <t>Mageense</t>
  </si>
  <si>
    <t>Campos</t>
  </si>
  <si>
    <t>Itaboraí Profute</t>
  </si>
  <si>
    <t>Uni Souza</t>
  </si>
  <si>
    <t>Angra dos Reis</t>
  </si>
  <si>
    <t>Cardoso Moreira</t>
  </si>
  <si>
    <t>Ceres</t>
  </si>
  <si>
    <t>Mesquita</t>
  </si>
  <si>
    <t>Rio Barra</t>
  </si>
  <si>
    <t>Riostrense</t>
  </si>
  <si>
    <t>Tigres do Brasil</t>
  </si>
  <si>
    <t>3x4</t>
  </si>
  <si>
    <t>Copa Rio</t>
  </si>
  <si>
    <t>Oitavas de final</t>
  </si>
  <si>
    <t>2x0 (4x5)</t>
  </si>
  <si>
    <t>Potiguar</t>
  </si>
  <si>
    <t>QFC</t>
  </si>
  <si>
    <t>Potyguar</t>
  </si>
  <si>
    <t>ABC</t>
  </si>
  <si>
    <t>Laguna</t>
  </si>
  <si>
    <t>Globo</t>
  </si>
  <si>
    <t>Alecrim</t>
  </si>
  <si>
    <t>Potiguar 2</t>
  </si>
  <si>
    <t>Visão Celeste</t>
  </si>
  <si>
    <t>Mossoró</t>
  </si>
  <si>
    <t>Univap</t>
  </si>
  <si>
    <t>Baraúnas</t>
  </si>
  <si>
    <t>Segunda fase</t>
  </si>
  <si>
    <t>Rondoniense</t>
  </si>
  <si>
    <t>Ji-Paraná</t>
  </si>
  <si>
    <t>Porto Velho</t>
  </si>
  <si>
    <t>Genus</t>
  </si>
  <si>
    <t>União Cacoalense</t>
  </si>
  <si>
    <t>Guaporé</t>
  </si>
  <si>
    <t>Vilhena</t>
  </si>
  <si>
    <t>Rondoniense 2</t>
  </si>
  <si>
    <t>Rolim de Moura</t>
  </si>
  <si>
    <t>Roraimense</t>
  </si>
  <si>
    <t>Progresso</t>
  </si>
  <si>
    <t>Real</t>
  </si>
  <si>
    <t>Baré</t>
  </si>
  <si>
    <t>Monte Roraima</t>
  </si>
  <si>
    <t>GAS</t>
  </si>
  <si>
    <t>Rio Negro</t>
  </si>
  <si>
    <t>Santiago</t>
  </si>
  <si>
    <t>Extremo Norte</t>
  </si>
  <si>
    <t>Roraimense B</t>
  </si>
  <si>
    <t>Gaúcho</t>
  </si>
  <si>
    <t>São Luiz</t>
  </si>
  <si>
    <t>Juventude</t>
  </si>
  <si>
    <t>Avenida</t>
  </si>
  <si>
    <t>Caxias</t>
  </si>
  <si>
    <t>Grêmio</t>
  </si>
  <si>
    <t>Inter SM</t>
  </si>
  <si>
    <t>Novo Hamburgo</t>
  </si>
  <si>
    <t>Monsoon</t>
  </si>
  <si>
    <t>Taça Farroupilha</t>
  </si>
  <si>
    <t>Gramadense</t>
  </si>
  <si>
    <t>Gaúcho A2</t>
  </si>
  <si>
    <t>Veranópolis</t>
  </si>
  <si>
    <t>Passo Fundo</t>
  </si>
  <si>
    <t>Lajeadense</t>
  </si>
  <si>
    <t>Apafut</t>
  </si>
  <si>
    <t>Pelotas</t>
  </si>
  <si>
    <t>Brasil de Pelotas</t>
  </si>
  <si>
    <t>Esportivo</t>
  </si>
  <si>
    <t>União Frederiquense</t>
  </si>
  <si>
    <t>Aimoré</t>
  </si>
  <si>
    <t>Glória</t>
  </si>
  <si>
    <t>Bagé</t>
  </si>
  <si>
    <t>Brasil de Farroupilha</t>
  </si>
  <si>
    <t>Riograndense</t>
  </si>
  <si>
    <t>2x0 (4x3)</t>
  </si>
  <si>
    <t>Gaúcho B</t>
  </si>
  <si>
    <t>Futebol com Vida</t>
  </si>
  <si>
    <t>Nova Prata</t>
  </si>
  <si>
    <t>Novo Horizonte</t>
  </si>
  <si>
    <t>Rio Grande</t>
  </si>
  <si>
    <t>0x1 (4x5)</t>
  </si>
  <si>
    <t>Copa FGF</t>
  </si>
  <si>
    <t>Catarinense</t>
  </si>
  <si>
    <t>Blumenau</t>
  </si>
  <si>
    <t>Barra</t>
  </si>
  <si>
    <t>Figueirense</t>
  </si>
  <si>
    <t>Carlos Renaux</t>
  </si>
  <si>
    <t>Marcílio Dias</t>
  </si>
  <si>
    <t>Chapecoense</t>
  </si>
  <si>
    <t>Brusque</t>
  </si>
  <si>
    <t>Criciúma</t>
  </si>
  <si>
    <t>Avaí</t>
  </si>
  <si>
    <t>Concórdia</t>
  </si>
  <si>
    <t>Catarinense B</t>
  </si>
  <si>
    <t>Caravaggio</t>
  </si>
  <si>
    <t>Jaraguá</t>
  </si>
  <si>
    <t>Hercílio Luz</t>
  </si>
  <si>
    <t>Tubarão</t>
  </si>
  <si>
    <t>Metropolitano</t>
  </si>
  <si>
    <t>Nação</t>
  </si>
  <si>
    <t>Camboriú</t>
  </si>
  <si>
    <t>Joinville</t>
  </si>
  <si>
    <t>Santa Catarina</t>
  </si>
  <si>
    <t>Catarinense C</t>
  </si>
  <si>
    <t>Imbituba</t>
  </si>
  <si>
    <t>Copa SC</t>
  </si>
  <si>
    <t>3x1 (4x5)</t>
  </si>
  <si>
    <t>Sergipano</t>
  </si>
  <si>
    <t>Itabaiana</t>
  </si>
  <si>
    <t>Dorense</t>
  </si>
  <si>
    <t>América de Propriá</t>
  </si>
  <si>
    <t>Lagarto</t>
  </si>
  <si>
    <t>Sergipe</t>
  </si>
  <si>
    <t>Atlético Gloriense</t>
  </si>
  <si>
    <t>Falcon</t>
  </si>
  <si>
    <t>Desportiva Aracaju</t>
  </si>
  <si>
    <t>Olímpico</t>
  </si>
  <si>
    <t>0x0 (5x3)</t>
  </si>
  <si>
    <t>2x1 (4x5)</t>
  </si>
  <si>
    <t>Sergipano A2</t>
  </si>
  <si>
    <t>Canindé</t>
  </si>
  <si>
    <t>Socorrense</t>
  </si>
  <si>
    <t>Estanciano</t>
  </si>
  <si>
    <t>América de Pedrinhas</t>
  </si>
  <si>
    <t>Carmópolis</t>
  </si>
  <si>
    <t>Maruinense</t>
  </si>
  <si>
    <t>Socorro</t>
  </si>
  <si>
    <t>Freipaulistano</t>
  </si>
  <si>
    <t>Esportiva Aquidabã</t>
  </si>
  <si>
    <t>Sergipano A3</t>
  </si>
  <si>
    <t>Sete de Junho</t>
  </si>
  <si>
    <t>Propriá</t>
  </si>
  <si>
    <t>Riachão</t>
  </si>
  <si>
    <t>Aracaju</t>
  </si>
  <si>
    <t>Boca Júnior</t>
  </si>
  <si>
    <t>Boquinhense</t>
  </si>
  <si>
    <t>Atlético Central</t>
  </si>
  <si>
    <t>Amadense</t>
  </si>
  <si>
    <t>Copa Lotese</t>
  </si>
  <si>
    <t>Paulista</t>
  </si>
  <si>
    <t>Capivariano</t>
  </si>
  <si>
    <t>Novorizontino</t>
  </si>
  <si>
    <t>Palmeiras</t>
  </si>
  <si>
    <t>Velo Clube</t>
  </si>
  <si>
    <t>Noroeste</t>
  </si>
  <si>
    <t>RB Bragantino</t>
  </si>
  <si>
    <t>São Bernardo</t>
  </si>
  <si>
    <t>Mirassol</t>
  </si>
  <si>
    <t>Ponte Preta</t>
  </si>
  <si>
    <t>Corinthians</t>
  </si>
  <si>
    <t>Ituano</t>
  </si>
  <si>
    <t>Ferroviária</t>
  </si>
  <si>
    <t>0x1 (5x6)</t>
  </si>
  <si>
    <t>Paulista A2</t>
  </si>
  <si>
    <t>Sertãozinho</t>
  </si>
  <si>
    <t>São Bento</t>
  </si>
  <si>
    <t>União Barbarense</t>
  </si>
  <si>
    <t>Inter de Limeira</t>
  </si>
  <si>
    <t>XV de Piracicaba</t>
  </si>
  <si>
    <t>Taubaté</t>
  </si>
  <si>
    <t>Marília</t>
  </si>
  <si>
    <t>Linense</t>
  </si>
  <si>
    <t>Água Santa</t>
  </si>
  <si>
    <t>Grêmio Prudente</t>
  </si>
  <si>
    <t>Votuporanguense</t>
  </si>
  <si>
    <t>Monte Azul</t>
  </si>
  <si>
    <t>Paulista A3</t>
  </si>
  <si>
    <t>Desportivo Brasil</t>
  </si>
  <si>
    <t>Catanduva</t>
  </si>
  <si>
    <t>União São João</t>
  </si>
  <si>
    <t>Portuguesa Santista</t>
  </si>
  <si>
    <t>Itapirense</t>
  </si>
  <si>
    <t>União Suzano</t>
  </si>
  <si>
    <t>Rio Preto</t>
  </si>
  <si>
    <t>Francana</t>
  </si>
  <si>
    <t>Rio Claro</t>
  </si>
  <si>
    <t>EC São Bernardo</t>
  </si>
  <si>
    <t>XV de Jaú</t>
  </si>
  <si>
    <t>Bandeirante</t>
  </si>
  <si>
    <t>Osasco Sporting</t>
  </si>
  <si>
    <t>São Caetano</t>
  </si>
  <si>
    <t>Santo André</t>
  </si>
  <si>
    <t>Barretos</t>
  </si>
  <si>
    <t>Paulista A4</t>
  </si>
  <si>
    <t>Inter de Bebedouro</t>
  </si>
  <si>
    <t>Tanabi</t>
  </si>
  <si>
    <t>Guarulhos</t>
  </si>
  <si>
    <t>Lemense</t>
  </si>
  <si>
    <t>Jacareí</t>
  </si>
  <si>
    <t>Colorado Caieiras</t>
  </si>
  <si>
    <t>São-Carlense</t>
  </si>
  <si>
    <t>Vocem</t>
  </si>
  <si>
    <t>Penapolense</t>
  </si>
  <si>
    <t>Jabaquara</t>
  </si>
  <si>
    <t>ECUS</t>
  </si>
  <si>
    <t>Bezinha</t>
  </si>
  <si>
    <t>Grêmio Catanduvense</t>
  </si>
  <si>
    <t>José Bonifácio</t>
  </si>
  <si>
    <t>Riopretano</t>
  </si>
  <si>
    <t>Olímpia</t>
  </si>
  <si>
    <t>Santa Fé</t>
  </si>
  <si>
    <t>Araçatuba</t>
  </si>
  <si>
    <t>Matonense</t>
  </si>
  <si>
    <t>Assisense</t>
  </si>
  <si>
    <t>São Carlos</t>
  </si>
  <si>
    <t>Batatais</t>
  </si>
  <si>
    <t>Taquaritinga</t>
  </si>
  <si>
    <t>Tupã</t>
  </si>
  <si>
    <t>Santacruzense</t>
  </si>
  <si>
    <t>Mauaense</t>
  </si>
  <si>
    <t>União Mogi</t>
  </si>
  <si>
    <t>Itaquaquecetuba</t>
  </si>
  <si>
    <t>Mauá</t>
  </si>
  <si>
    <t>Mogi Mirim</t>
  </si>
  <si>
    <t>Paulínia</t>
  </si>
  <si>
    <t>Manthiqueira</t>
  </si>
  <si>
    <t>Votoraty</t>
  </si>
  <si>
    <t>Paulinense</t>
  </si>
  <si>
    <t>Grupo E</t>
  </si>
  <si>
    <t>Grupo F</t>
  </si>
  <si>
    <t>Grupo G</t>
  </si>
  <si>
    <t>Grupo H</t>
  </si>
  <si>
    <t>Copa Paulista</t>
  </si>
  <si>
    <t>Play-in</t>
  </si>
  <si>
    <t>1x0 (4x3)</t>
  </si>
  <si>
    <t>Tocantinense</t>
  </si>
  <si>
    <t>Araguaína</t>
  </si>
  <si>
    <t>Bela Vista</t>
  </si>
  <si>
    <t>Tocantinópolis</t>
  </si>
  <si>
    <t>Palmas</t>
  </si>
  <si>
    <t>União de Araguaína</t>
  </si>
  <si>
    <t>Gurupi</t>
  </si>
  <si>
    <t>Guaraí</t>
  </si>
  <si>
    <t>Interporto</t>
  </si>
  <si>
    <t>União de Palmas</t>
  </si>
  <si>
    <t>Tocantinense 2</t>
  </si>
  <si>
    <t>Taquarussu</t>
  </si>
  <si>
    <t>Batalhão</t>
  </si>
  <si>
    <t>Alvorada</t>
  </si>
  <si>
    <t>Araguaia</t>
  </si>
  <si>
    <t>Paraíso</t>
  </si>
  <si>
    <t>Tocantins</t>
  </si>
  <si>
    <t>Central Paraíso</t>
  </si>
  <si>
    <t>2x1 (5x3)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</si>
</sst>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461-29FA-4A12-BBDB-9100863BFA19}">
  <dimension ref="A1:X29"/>
  <sheetViews>
    <sheetView topLeftCell="G1" workbookViewId="0">
      <selection activeCell="X4" sqref="X4"/>
    </sheetView>
  </sheetViews>
  <sheetFormatPr defaultRowHeight="14.4" x14ac:dyDescent="0.3"/>
  <sheetData>
    <row r="1" spans="1:24" x14ac:dyDescent="0.3">
      <c r="A1" t="s">
        <v>0</v>
      </c>
      <c r="L1" t="s">
        <v>40</v>
      </c>
      <c r="W1" t="s">
        <v>70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20</v>
      </c>
      <c r="X2">
        <v>2</v>
      </c>
    </row>
    <row r="3" spans="1:24" x14ac:dyDescent="0.3">
      <c r="A3" s="1" t="s">
        <v>11</v>
      </c>
      <c r="B3" t="s">
        <v>34</v>
      </c>
      <c r="C3" s="2">
        <f>E3*3+F3</f>
        <v>18</v>
      </c>
      <c r="D3">
        <v>7</v>
      </c>
      <c r="E3">
        <v>6</v>
      </c>
      <c r="F3">
        <v>0</v>
      </c>
      <c r="G3">
        <f>D3-E3-F3</f>
        <v>1</v>
      </c>
      <c r="H3">
        <v>14</v>
      </c>
      <c r="I3">
        <v>6</v>
      </c>
      <c r="J3">
        <f>H3-I3</f>
        <v>8</v>
      </c>
      <c r="L3" s="1" t="s">
        <v>11</v>
      </c>
      <c r="M3" t="s">
        <v>42</v>
      </c>
      <c r="N3" s="2">
        <f>P3*3+Q3</f>
        <v>13</v>
      </c>
      <c r="O3">
        <v>6</v>
      </c>
      <c r="P3">
        <v>4</v>
      </c>
      <c r="Q3">
        <v>1</v>
      </c>
      <c r="R3">
        <f>O3-P3-Q3</f>
        <v>1</v>
      </c>
      <c r="S3">
        <v>12</v>
      </c>
      <c r="T3">
        <v>6</v>
      </c>
      <c r="U3">
        <f>S3-T3</f>
        <v>6</v>
      </c>
      <c r="W3" t="s">
        <v>26</v>
      </c>
      <c r="X3">
        <v>2</v>
      </c>
    </row>
    <row r="4" spans="1:24" x14ac:dyDescent="0.3">
      <c r="A4" s="1" t="s">
        <v>13</v>
      </c>
      <c r="B4" t="s">
        <v>16</v>
      </c>
      <c r="C4" s="2">
        <f t="shared" ref="C4:C10" si="0">E4*3+F4</f>
        <v>18</v>
      </c>
      <c r="D4">
        <v>7</v>
      </c>
      <c r="E4">
        <v>6</v>
      </c>
      <c r="F4">
        <v>0</v>
      </c>
      <c r="G4">
        <f t="shared" ref="G4:G10" si="1">D4-E4-F4</f>
        <v>1</v>
      </c>
      <c r="H4">
        <v>12</v>
      </c>
      <c r="I4">
        <v>5</v>
      </c>
      <c r="J4">
        <f t="shared" ref="J4:J10" si="2">H4-I4</f>
        <v>7</v>
      </c>
      <c r="L4" s="1" t="s">
        <v>13</v>
      </c>
      <c r="M4" t="s">
        <v>26</v>
      </c>
      <c r="N4" s="2">
        <f t="shared" ref="N4:N6" si="3">P4*3+Q4</f>
        <v>13</v>
      </c>
      <c r="O4">
        <v>6</v>
      </c>
      <c r="P4">
        <v>4</v>
      </c>
      <c r="Q4">
        <v>1</v>
      </c>
      <c r="R4">
        <f t="shared" ref="R4:R6" si="4">O4-P4-Q4</f>
        <v>1</v>
      </c>
      <c r="S4">
        <v>10</v>
      </c>
      <c r="T4">
        <v>6</v>
      </c>
      <c r="U4">
        <f t="shared" ref="U4:U6" si="5">S4-T4</f>
        <v>4</v>
      </c>
    </row>
    <row r="5" spans="1:24" x14ac:dyDescent="0.3">
      <c r="A5" s="1" t="s">
        <v>15</v>
      </c>
      <c r="B5" t="s">
        <v>22</v>
      </c>
      <c r="C5" s="2">
        <f t="shared" si="0"/>
        <v>12</v>
      </c>
      <c r="D5">
        <v>7</v>
      </c>
      <c r="E5">
        <v>4</v>
      </c>
      <c r="F5">
        <v>0</v>
      </c>
      <c r="G5">
        <f t="shared" si="1"/>
        <v>3</v>
      </c>
      <c r="H5">
        <v>9</v>
      </c>
      <c r="I5">
        <v>11</v>
      </c>
      <c r="J5">
        <f t="shared" si="2"/>
        <v>-2</v>
      </c>
      <c r="L5" t="s">
        <v>15</v>
      </c>
      <c r="M5" t="s">
        <v>24</v>
      </c>
      <c r="N5" s="2">
        <f t="shared" si="3"/>
        <v>6</v>
      </c>
      <c r="O5">
        <v>6</v>
      </c>
      <c r="P5">
        <v>2</v>
      </c>
      <c r="Q5">
        <v>0</v>
      </c>
      <c r="R5">
        <f t="shared" si="4"/>
        <v>4</v>
      </c>
      <c r="S5">
        <v>6</v>
      </c>
      <c r="T5">
        <v>10</v>
      </c>
      <c r="U5">
        <f t="shared" si="5"/>
        <v>-4</v>
      </c>
    </row>
    <row r="6" spans="1:24" x14ac:dyDescent="0.3">
      <c r="A6" s="1" t="s">
        <v>17</v>
      </c>
      <c r="B6" t="s">
        <v>20</v>
      </c>
      <c r="C6" s="2">
        <f t="shared" si="0"/>
        <v>9</v>
      </c>
      <c r="D6">
        <v>7</v>
      </c>
      <c r="E6">
        <v>3</v>
      </c>
      <c r="F6">
        <v>0</v>
      </c>
      <c r="G6">
        <f t="shared" si="1"/>
        <v>4</v>
      </c>
      <c r="H6">
        <v>12</v>
      </c>
      <c r="I6">
        <v>10</v>
      </c>
      <c r="J6">
        <f t="shared" si="2"/>
        <v>2</v>
      </c>
      <c r="L6" t="s">
        <v>17</v>
      </c>
      <c r="M6" t="s">
        <v>41</v>
      </c>
      <c r="N6" s="2">
        <f t="shared" si="3"/>
        <v>3</v>
      </c>
      <c r="O6">
        <v>6</v>
      </c>
      <c r="P6">
        <v>1</v>
      </c>
      <c r="Q6">
        <v>0</v>
      </c>
      <c r="R6">
        <f t="shared" si="4"/>
        <v>5</v>
      </c>
      <c r="S6">
        <v>7</v>
      </c>
      <c r="T6">
        <v>13</v>
      </c>
      <c r="U6">
        <f t="shared" si="5"/>
        <v>-6</v>
      </c>
    </row>
    <row r="7" spans="1:24" x14ac:dyDescent="0.3">
      <c r="A7" t="s">
        <v>19</v>
      </c>
      <c r="B7" t="s">
        <v>35</v>
      </c>
      <c r="C7" s="2">
        <f t="shared" si="0"/>
        <v>9</v>
      </c>
      <c r="D7">
        <v>7</v>
      </c>
      <c r="E7">
        <v>3</v>
      </c>
      <c r="F7">
        <v>0</v>
      </c>
      <c r="G7">
        <f t="shared" si="1"/>
        <v>4</v>
      </c>
      <c r="H7">
        <v>12</v>
      </c>
      <c r="I7">
        <v>13</v>
      </c>
      <c r="J7">
        <f t="shared" si="2"/>
        <v>-1</v>
      </c>
    </row>
    <row r="8" spans="1:24" x14ac:dyDescent="0.3">
      <c r="A8" t="s">
        <v>21</v>
      </c>
      <c r="B8" t="s">
        <v>14</v>
      </c>
      <c r="C8" s="2">
        <f t="shared" si="0"/>
        <v>7</v>
      </c>
      <c r="D8">
        <v>7</v>
      </c>
      <c r="E8">
        <v>2</v>
      </c>
      <c r="F8">
        <v>1</v>
      </c>
      <c r="G8">
        <f t="shared" si="1"/>
        <v>4</v>
      </c>
      <c r="H8">
        <v>10</v>
      </c>
      <c r="I8">
        <v>12</v>
      </c>
      <c r="J8">
        <f t="shared" si="2"/>
        <v>-2</v>
      </c>
      <c r="L8" t="s">
        <v>33</v>
      </c>
    </row>
    <row r="9" spans="1:24" x14ac:dyDescent="0.3">
      <c r="A9" s="3" t="s">
        <v>23</v>
      </c>
      <c r="B9" t="s">
        <v>12</v>
      </c>
      <c r="C9" s="2">
        <f t="shared" si="0"/>
        <v>7</v>
      </c>
      <c r="D9">
        <v>7</v>
      </c>
      <c r="E9">
        <v>2</v>
      </c>
      <c r="F9">
        <v>1</v>
      </c>
      <c r="G9">
        <f t="shared" si="1"/>
        <v>4</v>
      </c>
      <c r="H9">
        <v>6</v>
      </c>
      <c r="I9">
        <v>9</v>
      </c>
      <c r="J9">
        <f t="shared" si="2"/>
        <v>-3</v>
      </c>
      <c r="L9" t="str">
        <f>M4</f>
        <v>São Francisco</v>
      </c>
      <c r="M9" t="s">
        <v>43</v>
      </c>
      <c r="N9" t="str">
        <f>M3</f>
        <v>Atlético</v>
      </c>
      <c r="P9" t="str">
        <f>M3</f>
        <v>Atlético</v>
      </c>
      <c r="Q9" t="s">
        <v>44</v>
      </c>
      <c r="R9" t="str">
        <f>M4</f>
        <v>São Francisco</v>
      </c>
    </row>
    <row r="10" spans="1:24" x14ac:dyDescent="0.3">
      <c r="A10" s="3" t="s">
        <v>25</v>
      </c>
      <c r="B10" t="s">
        <v>18</v>
      </c>
      <c r="C10" s="2">
        <f t="shared" si="0"/>
        <v>3</v>
      </c>
      <c r="D10">
        <v>7</v>
      </c>
      <c r="E10">
        <v>1</v>
      </c>
      <c r="F10">
        <v>0</v>
      </c>
      <c r="G10">
        <f t="shared" si="1"/>
        <v>6</v>
      </c>
      <c r="H10">
        <v>8</v>
      </c>
      <c r="I10">
        <v>17</v>
      </c>
      <c r="J10">
        <f t="shared" si="2"/>
        <v>-9</v>
      </c>
    </row>
    <row r="12" spans="1:24" x14ac:dyDescent="0.3">
      <c r="A12" t="s">
        <v>27</v>
      </c>
    </row>
    <row r="13" spans="1:24" x14ac:dyDescent="0.3">
      <c r="A13" t="str">
        <f>B6</f>
        <v>Humaitá</v>
      </c>
      <c r="B13" t="s">
        <v>36</v>
      </c>
      <c r="C13" t="str">
        <f>B3</f>
        <v>Plácido de Castro</v>
      </c>
      <c r="E13" t="str">
        <f>B3</f>
        <v>Plácido de Castro</v>
      </c>
      <c r="F13" t="s">
        <v>30</v>
      </c>
      <c r="G13" t="str">
        <f>B6</f>
        <v>Humaitá</v>
      </c>
    </row>
    <row r="14" spans="1:24" x14ac:dyDescent="0.3">
      <c r="A14" t="str">
        <f>B5</f>
        <v>Adesg</v>
      </c>
      <c r="B14" t="s">
        <v>30</v>
      </c>
      <c r="C14" t="str">
        <f>B4</f>
        <v>Independência</v>
      </c>
      <c r="E14" t="str">
        <f>B4</f>
        <v>Independência</v>
      </c>
      <c r="F14" t="s">
        <v>37</v>
      </c>
      <c r="G14" t="str">
        <f>B5</f>
        <v>Adesg</v>
      </c>
    </row>
    <row r="16" spans="1:24" x14ac:dyDescent="0.3">
      <c r="A16" t="s">
        <v>32</v>
      </c>
    </row>
    <row r="17" spans="1:3" x14ac:dyDescent="0.3">
      <c r="A17" t="s">
        <v>34</v>
      </c>
      <c r="B17" t="s">
        <v>31</v>
      </c>
      <c r="C17" t="s">
        <v>22</v>
      </c>
    </row>
    <row r="19" spans="1:3" x14ac:dyDescent="0.3">
      <c r="A19" t="s">
        <v>33</v>
      </c>
    </row>
    <row r="20" spans="1:3" x14ac:dyDescent="0.3">
      <c r="A20" t="s">
        <v>16</v>
      </c>
      <c r="B20" t="s">
        <v>28</v>
      </c>
      <c r="C20" t="s">
        <v>20</v>
      </c>
    </row>
    <row r="22" spans="1:3" x14ac:dyDescent="0.3">
      <c r="A22" t="s">
        <v>38</v>
      </c>
    </row>
    <row r="23" spans="1:3" x14ac:dyDescent="0.3">
      <c r="A23" t="s">
        <v>20</v>
      </c>
    </row>
    <row r="24" spans="1:3" x14ac:dyDescent="0.3">
      <c r="A24" t="s">
        <v>16</v>
      </c>
    </row>
    <row r="26" spans="1:3" x14ac:dyDescent="0.3">
      <c r="A26" t="s">
        <v>39</v>
      </c>
    </row>
    <row r="27" spans="1:3" x14ac:dyDescent="0.3">
      <c r="A27" t="s">
        <v>20</v>
      </c>
    </row>
    <row r="28" spans="1:3" x14ac:dyDescent="0.3">
      <c r="A28" t="s">
        <v>16</v>
      </c>
    </row>
    <row r="29" spans="1:3" x14ac:dyDescent="0.3">
      <c r="A2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0AC6-7A5B-4F57-979E-5EE54ADC3D40}">
  <dimension ref="A1:AI27"/>
  <sheetViews>
    <sheetView workbookViewId="0">
      <selection activeCell="C3" sqref="C3:C6"/>
    </sheetView>
  </sheetViews>
  <sheetFormatPr defaultRowHeight="14.4" x14ac:dyDescent="0.3"/>
  <sheetData>
    <row r="1" spans="1:35" x14ac:dyDescent="0.3">
      <c r="A1" t="s">
        <v>45</v>
      </c>
      <c r="L1" t="s">
        <v>58</v>
      </c>
      <c r="W1" t="s">
        <v>71</v>
      </c>
      <c r="AH1" t="s">
        <v>70</v>
      </c>
    </row>
    <row r="2" spans="1:3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72</v>
      </c>
      <c r="AH2" t="s">
        <v>52</v>
      </c>
      <c r="AI2">
        <v>1</v>
      </c>
    </row>
    <row r="3" spans="1:35" x14ac:dyDescent="0.3">
      <c r="A3" s="1" t="s">
        <v>11</v>
      </c>
      <c r="B3" t="s">
        <v>51</v>
      </c>
      <c r="C3" s="2">
        <f>E3*3+F3</f>
        <v>19</v>
      </c>
      <c r="D3">
        <v>7</v>
      </c>
      <c r="E3">
        <v>6</v>
      </c>
      <c r="F3">
        <v>1</v>
      </c>
      <c r="G3">
        <f>D3-E3-F3</f>
        <v>0</v>
      </c>
      <c r="H3">
        <v>17</v>
      </c>
      <c r="I3">
        <v>5</v>
      </c>
      <c r="J3">
        <f>H3-I3</f>
        <v>12</v>
      </c>
      <c r="L3" s="1" t="s">
        <v>11</v>
      </c>
      <c r="M3" t="s">
        <v>61</v>
      </c>
      <c r="N3" s="2">
        <f>P3*3+Q3</f>
        <v>24</v>
      </c>
      <c r="O3">
        <v>8</v>
      </c>
      <c r="P3">
        <v>8</v>
      </c>
      <c r="Q3">
        <v>0</v>
      </c>
      <c r="R3">
        <f>O3-P3-Q3</f>
        <v>0</v>
      </c>
      <c r="S3">
        <v>17</v>
      </c>
      <c r="T3">
        <v>5</v>
      </c>
      <c r="U3">
        <f>S3-T3</f>
        <v>12</v>
      </c>
      <c r="W3" t="s">
        <v>1</v>
      </c>
      <c r="X3" t="s">
        <v>2</v>
      </c>
      <c r="Y3" t="s">
        <v>3</v>
      </c>
      <c r="Z3" t="s">
        <v>4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H3" t="s">
        <v>61</v>
      </c>
      <c r="AI3">
        <v>2</v>
      </c>
    </row>
    <row r="4" spans="1:35" x14ac:dyDescent="0.3">
      <c r="A4" s="1" t="s">
        <v>13</v>
      </c>
      <c r="B4" t="s">
        <v>46</v>
      </c>
      <c r="C4" s="2">
        <f t="shared" ref="C4:C10" si="0">E4*3+F4</f>
        <v>13</v>
      </c>
      <c r="D4">
        <v>7</v>
      </c>
      <c r="E4">
        <v>4</v>
      </c>
      <c r="F4">
        <v>1</v>
      </c>
      <c r="G4">
        <f t="shared" ref="G4:G10" si="1">D4-E4-F4</f>
        <v>2</v>
      </c>
      <c r="H4">
        <v>12</v>
      </c>
      <c r="I4">
        <v>10</v>
      </c>
      <c r="J4">
        <f t="shared" ref="J4:J10" si="2">H4-I4</f>
        <v>2</v>
      </c>
      <c r="L4" s="1" t="s">
        <v>13</v>
      </c>
      <c r="M4" t="s">
        <v>59</v>
      </c>
      <c r="N4" s="2">
        <f t="shared" ref="N4:N11" si="3">P4*3+Q4</f>
        <v>18</v>
      </c>
      <c r="O4">
        <v>8</v>
      </c>
      <c r="P4">
        <v>6</v>
      </c>
      <c r="Q4">
        <v>0</v>
      </c>
      <c r="R4">
        <f t="shared" ref="R4:R11" si="4">O4-P4-Q4</f>
        <v>2</v>
      </c>
      <c r="S4">
        <v>20</v>
      </c>
      <c r="T4">
        <v>11</v>
      </c>
      <c r="U4">
        <f t="shared" ref="U4:U11" si="5">S4-T4</f>
        <v>9</v>
      </c>
      <c r="W4" s="1" t="s">
        <v>11</v>
      </c>
      <c r="X4" t="s">
        <v>53</v>
      </c>
      <c r="Y4" s="2">
        <f>AA4*3+AB4</f>
        <v>12</v>
      </c>
      <c r="Z4">
        <v>5</v>
      </c>
      <c r="AA4">
        <v>4</v>
      </c>
      <c r="AB4">
        <v>0</v>
      </c>
      <c r="AC4">
        <f>Z4-AA4-AB4</f>
        <v>1</v>
      </c>
      <c r="AD4">
        <v>8</v>
      </c>
      <c r="AE4">
        <v>1</v>
      </c>
      <c r="AF4">
        <f>AD4-AE4</f>
        <v>7</v>
      </c>
      <c r="AH4" t="s">
        <v>48</v>
      </c>
      <c r="AI4">
        <v>3</v>
      </c>
    </row>
    <row r="5" spans="1:35" x14ac:dyDescent="0.3">
      <c r="A5" s="1" t="s">
        <v>15</v>
      </c>
      <c r="B5" t="s">
        <v>52</v>
      </c>
      <c r="C5" s="2">
        <f t="shared" si="0"/>
        <v>12</v>
      </c>
      <c r="D5">
        <v>7</v>
      </c>
      <c r="E5">
        <v>4</v>
      </c>
      <c r="F5">
        <v>0</v>
      </c>
      <c r="G5">
        <f t="shared" si="1"/>
        <v>3</v>
      </c>
      <c r="H5">
        <v>9</v>
      </c>
      <c r="I5">
        <v>9</v>
      </c>
      <c r="J5">
        <f t="shared" si="2"/>
        <v>0</v>
      </c>
      <c r="L5" s="1" t="s">
        <v>15</v>
      </c>
      <c r="M5" t="s">
        <v>64</v>
      </c>
      <c r="N5" s="2">
        <f t="shared" si="3"/>
        <v>16</v>
      </c>
      <c r="O5">
        <v>8</v>
      </c>
      <c r="P5">
        <v>5</v>
      </c>
      <c r="Q5">
        <v>1</v>
      </c>
      <c r="R5">
        <f t="shared" si="4"/>
        <v>2</v>
      </c>
      <c r="S5">
        <v>17</v>
      </c>
      <c r="T5">
        <v>11</v>
      </c>
      <c r="U5">
        <f t="shared" si="5"/>
        <v>6</v>
      </c>
      <c r="W5" s="1" t="s">
        <v>13</v>
      </c>
      <c r="X5" t="s">
        <v>48</v>
      </c>
      <c r="Y5" s="2">
        <f t="shared" ref="Y5:Y9" si="6">AA5*3+AB5</f>
        <v>7</v>
      </c>
      <c r="Z5">
        <v>5</v>
      </c>
      <c r="AA5">
        <v>2</v>
      </c>
      <c r="AB5">
        <v>1</v>
      </c>
      <c r="AC5">
        <f t="shared" ref="AC5:AC9" si="7">Z5-AA5-AB5</f>
        <v>2</v>
      </c>
      <c r="AD5">
        <v>7</v>
      </c>
      <c r="AE5">
        <v>7</v>
      </c>
      <c r="AF5">
        <f t="shared" ref="AF5:AF9" si="8">AD5-AE5</f>
        <v>0</v>
      </c>
    </row>
    <row r="6" spans="1:35" x14ac:dyDescent="0.3">
      <c r="A6" s="1" t="s">
        <v>17</v>
      </c>
      <c r="B6" t="s">
        <v>55</v>
      </c>
      <c r="C6" s="2">
        <f t="shared" si="0"/>
        <v>11</v>
      </c>
      <c r="D6">
        <v>7</v>
      </c>
      <c r="E6">
        <v>3</v>
      </c>
      <c r="F6">
        <v>2</v>
      </c>
      <c r="G6">
        <f t="shared" si="1"/>
        <v>2</v>
      </c>
      <c r="H6">
        <v>10</v>
      </c>
      <c r="I6">
        <v>10</v>
      </c>
      <c r="J6">
        <f t="shared" si="2"/>
        <v>0</v>
      </c>
      <c r="L6" s="1" t="s">
        <v>17</v>
      </c>
      <c r="M6" t="s">
        <v>62</v>
      </c>
      <c r="N6" s="2">
        <f t="shared" si="3"/>
        <v>15</v>
      </c>
      <c r="O6">
        <v>8</v>
      </c>
      <c r="P6">
        <v>5</v>
      </c>
      <c r="Q6">
        <v>0</v>
      </c>
      <c r="R6">
        <f t="shared" si="4"/>
        <v>3</v>
      </c>
      <c r="S6">
        <v>16</v>
      </c>
      <c r="T6">
        <v>10</v>
      </c>
      <c r="U6">
        <f t="shared" si="5"/>
        <v>6</v>
      </c>
      <c r="W6" t="s">
        <v>15</v>
      </c>
      <c r="X6" t="s">
        <v>47</v>
      </c>
      <c r="Y6" s="2">
        <f t="shared" si="6"/>
        <v>7</v>
      </c>
      <c r="Z6">
        <v>5</v>
      </c>
      <c r="AA6">
        <v>2</v>
      </c>
      <c r="AB6">
        <v>1</v>
      </c>
      <c r="AC6">
        <f t="shared" si="7"/>
        <v>2</v>
      </c>
      <c r="AD6">
        <v>5</v>
      </c>
      <c r="AE6">
        <v>6</v>
      </c>
      <c r="AF6">
        <f t="shared" si="8"/>
        <v>-1</v>
      </c>
    </row>
    <row r="7" spans="1:35" x14ac:dyDescent="0.3">
      <c r="A7" t="s">
        <v>19</v>
      </c>
      <c r="B7" t="s">
        <v>48</v>
      </c>
      <c r="C7" s="2">
        <f t="shared" si="0"/>
        <v>9</v>
      </c>
      <c r="D7">
        <v>7</v>
      </c>
      <c r="E7">
        <v>2</v>
      </c>
      <c r="F7">
        <v>3</v>
      </c>
      <c r="G7">
        <f t="shared" si="1"/>
        <v>2</v>
      </c>
      <c r="H7">
        <v>12</v>
      </c>
      <c r="I7">
        <v>11</v>
      </c>
      <c r="J7">
        <f t="shared" si="2"/>
        <v>1</v>
      </c>
      <c r="L7" t="s">
        <v>19</v>
      </c>
      <c r="M7" t="s">
        <v>63</v>
      </c>
      <c r="N7" s="2">
        <f t="shared" si="3"/>
        <v>13</v>
      </c>
      <c r="O7">
        <v>8</v>
      </c>
      <c r="P7">
        <v>4</v>
      </c>
      <c r="Q7">
        <v>1</v>
      </c>
      <c r="R7">
        <f t="shared" si="4"/>
        <v>3</v>
      </c>
      <c r="S7">
        <v>13</v>
      </c>
      <c r="T7">
        <v>9</v>
      </c>
      <c r="U7">
        <f t="shared" si="5"/>
        <v>4</v>
      </c>
      <c r="W7" t="s">
        <v>17</v>
      </c>
      <c r="X7" t="s">
        <v>55</v>
      </c>
      <c r="Y7" s="2">
        <f t="shared" si="6"/>
        <v>7</v>
      </c>
      <c r="Z7">
        <v>5</v>
      </c>
      <c r="AA7">
        <v>2</v>
      </c>
      <c r="AB7">
        <v>1</v>
      </c>
      <c r="AC7">
        <f t="shared" si="7"/>
        <v>2</v>
      </c>
      <c r="AD7">
        <v>3</v>
      </c>
      <c r="AE7">
        <v>7</v>
      </c>
      <c r="AF7">
        <f t="shared" si="8"/>
        <v>-4</v>
      </c>
    </row>
    <row r="8" spans="1:35" x14ac:dyDescent="0.3">
      <c r="A8" t="s">
        <v>21</v>
      </c>
      <c r="B8" t="s">
        <v>49</v>
      </c>
      <c r="C8" s="2">
        <f t="shared" si="0"/>
        <v>8</v>
      </c>
      <c r="D8">
        <v>7</v>
      </c>
      <c r="E8">
        <v>2</v>
      </c>
      <c r="F8">
        <v>2</v>
      </c>
      <c r="G8">
        <f t="shared" si="1"/>
        <v>3</v>
      </c>
      <c r="H8">
        <v>12</v>
      </c>
      <c r="I8">
        <v>11</v>
      </c>
      <c r="J8">
        <f t="shared" si="2"/>
        <v>1</v>
      </c>
      <c r="L8" t="s">
        <v>21</v>
      </c>
      <c r="M8" t="s">
        <v>60</v>
      </c>
      <c r="N8" s="2">
        <f t="shared" si="3"/>
        <v>7</v>
      </c>
      <c r="O8">
        <v>8</v>
      </c>
      <c r="P8">
        <v>2</v>
      </c>
      <c r="Q8">
        <v>1</v>
      </c>
      <c r="R8">
        <f t="shared" si="4"/>
        <v>5</v>
      </c>
      <c r="S8">
        <v>8</v>
      </c>
      <c r="T8">
        <v>18</v>
      </c>
      <c r="U8">
        <f t="shared" si="5"/>
        <v>-10</v>
      </c>
      <c r="W8" t="s">
        <v>19</v>
      </c>
      <c r="X8" t="s">
        <v>60</v>
      </c>
      <c r="Y8" s="2">
        <f t="shared" si="6"/>
        <v>6</v>
      </c>
      <c r="Z8">
        <v>5</v>
      </c>
      <c r="AA8">
        <v>2</v>
      </c>
      <c r="AB8">
        <v>0</v>
      </c>
      <c r="AC8">
        <f t="shared" si="7"/>
        <v>3</v>
      </c>
      <c r="AD8">
        <v>4</v>
      </c>
      <c r="AE8">
        <v>3</v>
      </c>
      <c r="AF8">
        <f t="shared" si="8"/>
        <v>1</v>
      </c>
    </row>
    <row r="9" spans="1:35" x14ac:dyDescent="0.3">
      <c r="A9" t="s">
        <v>23</v>
      </c>
      <c r="B9" t="s">
        <v>47</v>
      </c>
      <c r="C9" s="2">
        <f t="shared" si="0"/>
        <v>4</v>
      </c>
      <c r="D9">
        <v>7</v>
      </c>
      <c r="E9">
        <v>1</v>
      </c>
      <c r="F9">
        <v>1</v>
      </c>
      <c r="G9">
        <f t="shared" si="1"/>
        <v>5</v>
      </c>
      <c r="H9">
        <v>4</v>
      </c>
      <c r="I9">
        <v>10</v>
      </c>
      <c r="J9">
        <f t="shared" si="2"/>
        <v>-6</v>
      </c>
      <c r="L9" t="s">
        <v>23</v>
      </c>
      <c r="M9" t="s">
        <v>67</v>
      </c>
      <c r="N9" s="2">
        <f t="shared" si="3"/>
        <v>6</v>
      </c>
      <c r="O9">
        <v>8</v>
      </c>
      <c r="P9">
        <v>2</v>
      </c>
      <c r="Q9">
        <v>0</v>
      </c>
      <c r="R9">
        <f t="shared" si="4"/>
        <v>6</v>
      </c>
      <c r="S9">
        <v>13</v>
      </c>
      <c r="T9">
        <v>22</v>
      </c>
      <c r="U9">
        <f t="shared" si="5"/>
        <v>-9</v>
      </c>
      <c r="W9" t="s">
        <v>21</v>
      </c>
      <c r="X9" t="s">
        <v>50</v>
      </c>
      <c r="Y9" s="2">
        <f t="shared" si="6"/>
        <v>4</v>
      </c>
      <c r="Z9">
        <v>5</v>
      </c>
      <c r="AA9">
        <v>1</v>
      </c>
      <c r="AB9">
        <v>1</v>
      </c>
      <c r="AC9">
        <f t="shared" si="7"/>
        <v>3</v>
      </c>
      <c r="AD9">
        <v>5</v>
      </c>
      <c r="AE9">
        <v>8</v>
      </c>
      <c r="AF9">
        <f t="shared" si="8"/>
        <v>-3</v>
      </c>
    </row>
    <row r="10" spans="1:35" x14ac:dyDescent="0.3">
      <c r="A10" s="3" t="s">
        <v>25</v>
      </c>
      <c r="B10" t="s">
        <v>50</v>
      </c>
      <c r="C10" s="2">
        <f t="shared" si="0"/>
        <v>3</v>
      </c>
      <c r="D10">
        <v>7</v>
      </c>
      <c r="E10">
        <v>1</v>
      </c>
      <c r="F10">
        <v>0</v>
      </c>
      <c r="G10">
        <f t="shared" si="1"/>
        <v>6</v>
      </c>
      <c r="H10">
        <v>8</v>
      </c>
      <c r="I10">
        <v>18</v>
      </c>
      <c r="J10">
        <f t="shared" si="2"/>
        <v>-10</v>
      </c>
      <c r="L10" t="s">
        <v>25</v>
      </c>
      <c r="M10" t="s">
        <v>53</v>
      </c>
      <c r="N10" s="2">
        <f t="shared" si="3"/>
        <v>4</v>
      </c>
      <c r="O10">
        <v>8</v>
      </c>
      <c r="P10">
        <v>1</v>
      </c>
      <c r="Q10">
        <v>1</v>
      </c>
      <c r="R10">
        <f t="shared" si="4"/>
        <v>6</v>
      </c>
      <c r="S10">
        <v>4</v>
      </c>
      <c r="T10">
        <v>15</v>
      </c>
      <c r="U10">
        <f t="shared" si="5"/>
        <v>-11</v>
      </c>
    </row>
    <row r="11" spans="1:35" x14ac:dyDescent="0.3">
      <c r="L11" t="s">
        <v>66</v>
      </c>
      <c r="M11" t="s">
        <v>68</v>
      </c>
      <c r="N11" s="2">
        <f t="shared" si="3"/>
        <v>3</v>
      </c>
      <c r="O11">
        <v>8</v>
      </c>
      <c r="P11">
        <v>1</v>
      </c>
      <c r="Q11">
        <v>0</v>
      </c>
      <c r="R11">
        <f t="shared" si="4"/>
        <v>7</v>
      </c>
      <c r="S11">
        <v>10</v>
      </c>
      <c r="T11">
        <v>17</v>
      </c>
      <c r="U11">
        <f t="shared" si="5"/>
        <v>-7</v>
      </c>
      <c r="W11" t="s">
        <v>73</v>
      </c>
    </row>
    <row r="12" spans="1:35" x14ac:dyDescent="0.3">
      <c r="A12" t="s">
        <v>27</v>
      </c>
      <c r="W12" t="s">
        <v>1</v>
      </c>
      <c r="X12" t="s">
        <v>2</v>
      </c>
      <c r="Y12" t="s">
        <v>3</v>
      </c>
      <c r="Z12" t="s">
        <v>4</v>
      </c>
      <c r="AA12" t="s">
        <v>5</v>
      </c>
      <c r="AB12" t="s">
        <v>6</v>
      </c>
      <c r="AC12" t="s">
        <v>7</v>
      </c>
      <c r="AD12" t="s">
        <v>8</v>
      </c>
      <c r="AE12" t="s">
        <v>9</v>
      </c>
      <c r="AF12" t="s">
        <v>10</v>
      </c>
    </row>
    <row r="13" spans="1:35" x14ac:dyDescent="0.3">
      <c r="A13" t="str">
        <f>B6</f>
        <v>Jaciobá</v>
      </c>
      <c r="B13" t="s">
        <v>29</v>
      </c>
      <c r="C13" t="str">
        <f>B3</f>
        <v>Cruzeiro</v>
      </c>
      <c r="E13" t="str">
        <f>B3</f>
        <v>Cruzeiro</v>
      </c>
      <c r="F13" t="s">
        <v>31</v>
      </c>
      <c r="G13" t="str">
        <f>B6</f>
        <v>Jaciobá</v>
      </c>
      <c r="L13" t="s">
        <v>27</v>
      </c>
      <c r="W13" s="1" t="s">
        <v>11</v>
      </c>
      <c r="X13" t="s">
        <v>52</v>
      </c>
      <c r="Y13" s="2">
        <f>AA13*3+AB13</f>
        <v>13</v>
      </c>
      <c r="Z13">
        <v>5</v>
      </c>
      <c r="AA13">
        <v>4</v>
      </c>
      <c r="AB13">
        <v>1</v>
      </c>
      <c r="AC13">
        <f>Z13-AA13-AB13</f>
        <v>0</v>
      </c>
      <c r="AD13">
        <v>8</v>
      </c>
      <c r="AE13">
        <v>3</v>
      </c>
      <c r="AF13">
        <f>AD13-AE13</f>
        <v>5</v>
      </c>
    </row>
    <row r="14" spans="1:35" x14ac:dyDescent="0.3">
      <c r="A14" t="str">
        <f>B5</f>
        <v>CSE</v>
      </c>
      <c r="B14" t="s">
        <v>43</v>
      </c>
      <c r="C14" t="str">
        <f>B4</f>
        <v>CRB</v>
      </c>
      <c r="E14" t="str">
        <f>B4</f>
        <v>CRB</v>
      </c>
      <c r="F14" t="s">
        <v>56</v>
      </c>
      <c r="G14" t="str">
        <f>B5</f>
        <v>CSE</v>
      </c>
      <c r="L14" t="str">
        <f>M6</f>
        <v>Agrimaq</v>
      </c>
      <c r="M14" t="s">
        <v>31</v>
      </c>
      <c r="N14" t="str">
        <f>M3</f>
        <v>Dimensão Saúde</v>
      </c>
      <c r="P14" t="str">
        <f>M3</f>
        <v>Dimensão Saúde</v>
      </c>
      <c r="Q14" t="s">
        <v>57</v>
      </c>
      <c r="R14" t="str">
        <f>M6</f>
        <v>Agrimaq</v>
      </c>
      <c r="W14" s="1" t="s">
        <v>13</v>
      </c>
      <c r="X14" t="s">
        <v>49</v>
      </c>
      <c r="Y14" s="2">
        <f t="shared" ref="Y14:Y18" si="9">AA14*3+AB14</f>
        <v>10</v>
      </c>
      <c r="Z14">
        <v>5</v>
      </c>
      <c r="AA14">
        <v>3</v>
      </c>
      <c r="AB14">
        <v>1</v>
      </c>
      <c r="AC14">
        <f t="shared" ref="AC14:AC18" si="10">Z14-AA14-AB14</f>
        <v>1</v>
      </c>
      <c r="AD14">
        <v>11</v>
      </c>
      <c r="AE14">
        <v>2</v>
      </c>
      <c r="AF14">
        <f t="shared" ref="AF14:AF18" si="11">AD14-AE14</f>
        <v>9</v>
      </c>
    </row>
    <row r="15" spans="1:35" x14ac:dyDescent="0.3">
      <c r="L15" t="str">
        <f>M5</f>
        <v>Igaci</v>
      </c>
      <c r="M15" t="s">
        <v>31</v>
      </c>
      <c r="N15" t="str">
        <f>M4</f>
        <v>Desportivo Aliança</v>
      </c>
      <c r="P15" t="str">
        <f>M4</f>
        <v>Desportivo Aliança</v>
      </c>
      <c r="Q15" t="s">
        <v>36</v>
      </c>
      <c r="R15" t="str">
        <f>M5</f>
        <v>Igaci</v>
      </c>
      <c r="W15" t="s">
        <v>15</v>
      </c>
      <c r="X15" t="s">
        <v>59</v>
      </c>
      <c r="Y15" s="2">
        <f t="shared" si="9"/>
        <v>9</v>
      </c>
      <c r="Z15">
        <v>5</v>
      </c>
      <c r="AA15">
        <v>3</v>
      </c>
      <c r="AB15">
        <v>0</v>
      </c>
      <c r="AC15">
        <f t="shared" si="10"/>
        <v>2</v>
      </c>
      <c r="AD15">
        <v>6</v>
      </c>
      <c r="AE15">
        <v>6</v>
      </c>
      <c r="AF15">
        <f t="shared" si="11"/>
        <v>0</v>
      </c>
    </row>
    <row r="16" spans="1:35" x14ac:dyDescent="0.3">
      <c r="A16" t="s">
        <v>33</v>
      </c>
      <c r="W16" t="s">
        <v>17</v>
      </c>
      <c r="X16" t="s">
        <v>51</v>
      </c>
      <c r="Y16" s="2">
        <f t="shared" si="9"/>
        <v>6</v>
      </c>
      <c r="Z16">
        <v>5</v>
      </c>
      <c r="AA16">
        <v>2</v>
      </c>
      <c r="AB16">
        <v>0</v>
      </c>
      <c r="AC16">
        <f t="shared" si="10"/>
        <v>3</v>
      </c>
      <c r="AD16">
        <v>5</v>
      </c>
      <c r="AE16">
        <v>5</v>
      </c>
      <c r="AF16">
        <f t="shared" si="11"/>
        <v>0</v>
      </c>
    </row>
    <row r="17" spans="1:32" x14ac:dyDescent="0.3">
      <c r="A17" t="s">
        <v>55</v>
      </c>
      <c r="B17" t="s">
        <v>57</v>
      </c>
      <c r="C17" t="s">
        <v>52</v>
      </c>
      <c r="E17" t="s">
        <v>52</v>
      </c>
      <c r="F17" t="s">
        <v>43</v>
      </c>
      <c r="G17" t="s">
        <v>55</v>
      </c>
      <c r="L17" t="s">
        <v>33</v>
      </c>
      <c r="W17" t="s">
        <v>19</v>
      </c>
      <c r="X17" t="s">
        <v>61</v>
      </c>
      <c r="Y17" s="2">
        <f t="shared" si="9"/>
        <v>6</v>
      </c>
      <c r="Z17">
        <v>5</v>
      </c>
      <c r="AA17">
        <v>2</v>
      </c>
      <c r="AB17">
        <v>0</v>
      </c>
      <c r="AC17">
        <f t="shared" si="10"/>
        <v>3</v>
      </c>
      <c r="AD17">
        <v>5</v>
      </c>
      <c r="AE17">
        <v>9</v>
      </c>
      <c r="AF17">
        <f t="shared" si="11"/>
        <v>-4</v>
      </c>
    </row>
    <row r="18" spans="1:32" x14ac:dyDescent="0.3">
      <c r="L18" t="s">
        <v>59</v>
      </c>
      <c r="M18" t="s">
        <v>69</v>
      </c>
      <c r="N18" t="s">
        <v>61</v>
      </c>
      <c r="P18" t="s">
        <v>61</v>
      </c>
      <c r="Q18" t="s">
        <v>43</v>
      </c>
      <c r="R18" t="s">
        <v>59</v>
      </c>
      <c r="W18" t="s">
        <v>21</v>
      </c>
      <c r="X18" t="s">
        <v>46</v>
      </c>
      <c r="Y18" s="2">
        <f t="shared" si="9"/>
        <v>0</v>
      </c>
      <c r="Z18">
        <v>5</v>
      </c>
      <c r="AA18">
        <v>0</v>
      </c>
      <c r="AB18">
        <v>0</v>
      </c>
      <c r="AC18">
        <f t="shared" si="10"/>
        <v>5</v>
      </c>
      <c r="AD18">
        <v>5</v>
      </c>
      <c r="AE18">
        <v>15</v>
      </c>
      <c r="AF18">
        <f t="shared" si="11"/>
        <v>-10</v>
      </c>
    </row>
    <row r="19" spans="1:32" x14ac:dyDescent="0.3">
      <c r="A19" t="s">
        <v>38</v>
      </c>
    </row>
    <row r="20" spans="1:32" x14ac:dyDescent="0.3">
      <c r="A20" t="s">
        <v>52</v>
      </c>
      <c r="W20" t="s">
        <v>27</v>
      </c>
    </row>
    <row r="21" spans="1:32" x14ac:dyDescent="0.3">
      <c r="A21" t="s">
        <v>55</v>
      </c>
      <c r="W21" t="str">
        <f>X4</f>
        <v>CSA</v>
      </c>
      <c r="X21" t="s">
        <v>74</v>
      </c>
      <c r="Y21" t="str">
        <f>X14</f>
        <v>Coruripe</v>
      </c>
    </row>
    <row r="22" spans="1:32" x14ac:dyDescent="0.3">
      <c r="W22" t="str">
        <f>X13</f>
        <v>CSE</v>
      </c>
      <c r="X22" t="s">
        <v>69</v>
      </c>
      <c r="Y22" t="str">
        <f>X5</f>
        <v>ASA</v>
      </c>
    </row>
    <row r="23" spans="1:32" x14ac:dyDescent="0.3">
      <c r="A23" t="s">
        <v>39</v>
      </c>
    </row>
    <row r="24" spans="1:32" x14ac:dyDescent="0.3">
      <c r="A24" t="s">
        <v>52</v>
      </c>
      <c r="W24" t="s">
        <v>33</v>
      </c>
    </row>
    <row r="25" spans="1:32" x14ac:dyDescent="0.3">
      <c r="A25" t="s">
        <v>55</v>
      </c>
      <c r="W25" t="s">
        <v>53</v>
      </c>
      <c r="X25" t="s">
        <v>28</v>
      </c>
      <c r="Y25" t="s">
        <v>48</v>
      </c>
    </row>
    <row r="26" spans="1:32" x14ac:dyDescent="0.3">
      <c r="A26" t="s">
        <v>51</v>
      </c>
    </row>
    <row r="27" spans="1:32" x14ac:dyDescent="0.3">
      <c r="A2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EB39-0C41-4A99-801D-9A80B5F45F71}">
  <dimension ref="A1:AB63"/>
  <sheetViews>
    <sheetView tabSelected="1" topLeftCell="A40" workbookViewId="0">
      <selection activeCell="A63" sqref="A63"/>
    </sheetView>
  </sheetViews>
  <sheetFormatPr defaultRowHeight="14.4" x14ac:dyDescent="0.3"/>
  <sheetData>
    <row r="1" spans="1:28" x14ac:dyDescent="0.3">
      <c r="A1" t="s">
        <v>75</v>
      </c>
      <c r="L1" t="s">
        <v>76</v>
      </c>
      <c r="P1" t="s">
        <v>92</v>
      </c>
      <c r="AA1" t="s">
        <v>70</v>
      </c>
    </row>
    <row r="2" spans="1:28" x14ac:dyDescent="0.3">
      <c r="A2" t="s">
        <v>77</v>
      </c>
      <c r="L2" s="1" t="s">
        <v>11</v>
      </c>
      <c r="M2" t="s">
        <v>81</v>
      </c>
      <c r="P2" t="s">
        <v>72</v>
      </c>
      <c r="AA2" t="s">
        <v>81</v>
      </c>
      <c r="AB2">
        <v>3</v>
      </c>
    </row>
    <row r="3" spans="1:28" x14ac:dyDescent="0.3">
      <c r="A3" t="s">
        <v>72</v>
      </c>
      <c r="L3" t="s">
        <v>13</v>
      </c>
      <c r="M3" t="s">
        <v>84</v>
      </c>
      <c r="P3" t="s">
        <v>1</v>
      </c>
      <c r="Q3" t="s">
        <v>2</v>
      </c>
      <c r="R3" t="s">
        <v>3</v>
      </c>
      <c r="S3" t="s">
        <v>4</v>
      </c>
      <c r="T3" t="s">
        <v>5</v>
      </c>
      <c r="U3" t="s">
        <v>6</v>
      </c>
      <c r="V3" t="s">
        <v>7</v>
      </c>
      <c r="W3" t="s">
        <v>8</v>
      </c>
      <c r="X3" t="s">
        <v>9</v>
      </c>
      <c r="Y3" t="s">
        <v>10</v>
      </c>
      <c r="AA3" t="s">
        <v>94</v>
      </c>
      <c r="AB3">
        <v>1</v>
      </c>
    </row>
    <row r="4" spans="1:2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L4" t="s">
        <v>15</v>
      </c>
      <c r="M4" t="s">
        <v>89</v>
      </c>
      <c r="P4" s="1" t="s">
        <v>11</v>
      </c>
      <c r="Q4" t="s">
        <v>94</v>
      </c>
      <c r="R4" s="2">
        <f>T4*3+U4</f>
        <v>9</v>
      </c>
      <c r="S4">
        <v>4</v>
      </c>
      <c r="T4">
        <v>3</v>
      </c>
      <c r="U4">
        <v>0</v>
      </c>
      <c r="V4">
        <f>S4-T4-U4</f>
        <v>1</v>
      </c>
      <c r="W4">
        <v>7</v>
      </c>
      <c r="X4">
        <v>3</v>
      </c>
      <c r="Y4">
        <f>W4-X4</f>
        <v>4</v>
      </c>
    </row>
    <row r="5" spans="1:28" x14ac:dyDescent="0.3">
      <c r="A5" s="1" t="s">
        <v>11</v>
      </c>
      <c r="B5" t="s">
        <v>83</v>
      </c>
      <c r="C5" s="2">
        <f>E5*3+F5</f>
        <v>6</v>
      </c>
      <c r="D5">
        <v>4</v>
      </c>
      <c r="E5">
        <v>2</v>
      </c>
      <c r="F5">
        <v>0</v>
      </c>
      <c r="G5">
        <f>D5-E5-F5</f>
        <v>2</v>
      </c>
      <c r="H5">
        <v>5</v>
      </c>
      <c r="I5">
        <v>6</v>
      </c>
      <c r="J5">
        <f>H5-I5</f>
        <v>-1</v>
      </c>
      <c r="L5" t="s">
        <v>17</v>
      </c>
      <c r="M5" t="s">
        <v>79</v>
      </c>
      <c r="P5" s="1" t="s">
        <v>13</v>
      </c>
      <c r="Q5" t="s">
        <v>96</v>
      </c>
      <c r="R5" s="2">
        <f>T5*3+U5</f>
        <v>9</v>
      </c>
      <c r="S5">
        <v>4</v>
      </c>
      <c r="T5">
        <v>3</v>
      </c>
      <c r="U5">
        <v>0</v>
      </c>
      <c r="V5">
        <f>S5-T5-U5</f>
        <v>1</v>
      </c>
      <c r="W5">
        <v>10</v>
      </c>
      <c r="X5">
        <v>8</v>
      </c>
      <c r="Y5">
        <f>W5-X5</f>
        <v>2</v>
      </c>
    </row>
    <row r="6" spans="1:28" x14ac:dyDescent="0.3">
      <c r="A6" s="4" t="s">
        <v>13</v>
      </c>
      <c r="B6" t="s">
        <v>89</v>
      </c>
      <c r="C6" s="2">
        <f>E6*3+F6</f>
        <v>4</v>
      </c>
      <c r="D6">
        <v>4</v>
      </c>
      <c r="E6">
        <v>1</v>
      </c>
      <c r="F6">
        <v>1</v>
      </c>
      <c r="G6">
        <f>D6-E6-F6</f>
        <v>2</v>
      </c>
      <c r="H6">
        <v>6</v>
      </c>
      <c r="I6">
        <v>6</v>
      </c>
      <c r="J6">
        <f>H6-I6</f>
        <v>0</v>
      </c>
      <c r="L6" t="s">
        <v>19</v>
      </c>
      <c r="M6" t="s">
        <v>80</v>
      </c>
      <c r="P6" t="s">
        <v>15</v>
      </c>
      <c r="Q6" t="s">
        <v>95</v>
      </c>
      <c r="R6" s="2">
        <f>T6*3+U6</f>
        <v>6</v>
      </c>
      <c r="S6">
        <v>4</v>
      </c>
      <c r="T6">
        <v>2</v>
      </c>
      <c r="U6">
        <v>0</v>
      </c>
      <c r="V6">
        <f>S6-T6-U6</f>
        <v>2</v>
      </c>
      <c r="W6">
        <v>9</v>
      </c>
      <c r="X6">
        <v>7</v>
      </c>
      <c r="Y6">
        <f>W6-X6</f>
        <v>2</v>
      </c>
    </row>
    <row r="7" spans="1:28" x14ac:dyDescent="0.3">
      <c r="A7" s="4" t="s">
        <v>15</v>
      </c>
      <c r="B7" t="s">
        <v>80</v>
      </c>
      <c r="C7" s="2">
        <f>E7*3+F7</f>
        <v>4</v>
      </c>
      <c r="D7">
        <v>4</v>
      </c>
      <c r="E7">
        <v>1</v>
      </c>
      <c r="F7">
        <v>1</v>
      </c>
      <c r="G7">
        <f>D7-E7-F7</f>
        <v>2</v>
      </c>
      <c r="H7">
        <v>7</v>
      </c>
      <c r="I7">
        <v>8</v>
      </c>
      <c r="J7">
        <f>H7-I7</f>
        <v>-1</v>
      </c>
      <c r="L7" t="s">
        <v>21</v>
      </c>
      <c r="M7" t="s">
        <v>83</v>
      </c>
      <c r="P7" t="s">
        <v>17</v>
      </c>
      <c r="Q7" t="s">
        <v>85</v>
      </c>
      <c r="R7" s="2">
        <f>T7*3+U7</f>
        <v>4</v>
      </c>
      <c r="S7">
        <v>4</v>
      </c>
      <c r="T7">
        <v>1</v>
      </c>
      <c r="U7">
        <v>1</v>
      </c>
      <c r="V7">
        <f>S7-T7-U7</f>
        <v>2</v>
      </c>
      <c r="W7">
        <v>7</v>
      </c>
      <c r="X7">
        <v>8</v>
      </c>
      <c r="Y7">
        <f>W7-X7</f>
        <v>-1</v>
      </c>
    </row>
    <row r="8" spans="1:28" x14ac:dyDescent="0.3">
      <c r="A8" t="s">
        <v>17</v>
      </c>
      <c r="B8" t="s">
        <v>78</v>
      </c>
      <c r="C8" s="2">
        <f>E8*3+F8</f>
        <v>3</v>
      </c>
      <c r="D8">
        <v>4</v>
      </c>
      <c r="E8">
        <v>1</v>
      </c>
      <c r="F8">
        <v>0</v>
      </c>
      <c r="G8">
        <f>D8-E8-F8</f>
        <v>3</v>
      </c>
      <c r="H8">
        <v>10</v>
      </c>
      <c r="I8">
        <v>15</v>
      </c>
      <c r="J8">
        <f>H8-I8</f>
        <v>-5</v>
      </c>
      <c r="L8" t="s">
        <v>23</v>
      </c>
      <c r="M8" t="s">
        <v>78</v>
      </c>
      <c r="P8" t="s">
        <v>19</v>
      </c>
      <c r="Q8" t="s">
        <v>93</v>
      </c>
      <c r="R8" s="2">
        <f>T8*3+U8</f>
        <v>1</v>
      </c>
      <c r="S8">
        <v>4</v>
      </c>
      <c r="T8">
        <v>0</v>
      </c>
      <c r="U8">
        <v>1</v>
      </c>
      <c r="V8">
        <f>S8-T8-U8</f>
        <v>3</v>
      </c>
      <c r="W8">
        <v>4</v>
      </c>
      <c r="X8">
        <v>11</v>
      </c>
      <c r="Y8">
        <f>W8-X8</f>
        <v>-7</v>
      </c>
    </row>
    <row r="9" spans="1:28" x14ac:dyDescent="0.3">
      <c r="L9" s="3" t="s">
        <v>25</v>
      </c>
      <c r="M9" t="s">
        <v>82</v>
      </c>
    </row>
    <row r="10" spans="1:28" x14ac:dyDescent="0.3">
      <c r="A10" t="s">
        <v>73</v>
      </c>
      <c r="P10" t="s">
        <v>73</v>
      </c>
    </row>
    <row r="11" spans="1:28" x14ac:dyDescent="0.3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P11" t="s">
        <v>1</v>
      </c>
      <c r="Q11" t="s">
        <v>2</v>
      </c>
      <c r="R11" t="s">
        <v>3</v>
      </c>
      <c r="S11" t="s">
        <v>4</v>
      </c>
      <c r="T11" t="s">
        <v>5</v>
      </c>
      <c r="U11" t="s">
        <v>6</v>
      </c>
      <c r="V11" t="s">
        <v>7</v>
      </c>
      <c r="W11" t="s">
        <v>8</v>
      </c>
      <c r="X11" t="s">
        <v>9</v>
      </c>
      <c r="Y11" t="s">
        <v>10</v>
      </c>
    </row>
    <row r="12" spans="1:28" x14ac:dyDescent="0.3">
      <c r="A12" s="1" t="s">
        <v>11</v>
      </c>
      <c r="B12" t="s">
        <v>84</v>
      </c>
      <c r="C12" s="2">
        <f>E12*3+F12</f>
        <v>9</v>
      </c>
      <c r="D12">
        <v>4</v>
      </c>
      <c r="E12">
        <v>3</v>
      </c>
      <c r="F12">
        <v>0</v>
      </c>
      <c r="G12">
        <f>D12-E12-F12</f>
        <v>1</v>
      </c>
      <c r="H12">
        <v>12</v>
      </c>
      <c r="I12">
        <v>7</v>
      </c>
      <c r="J12">
        <f>H12-I12</f>
        <v>5</v>
      </c>
      <c r="P12" s="1" t="s">
        <v>11</v>
      </c>
      <c r="Q12" t="s">
        <v>99</v>
      </c>
      <c r="R12" s="2">
        <f t="shared" ref="R12:R17" si="0">T12*3+U12</f>
        <v>13</v>
      </c>
      <c r="S12">
        <v>5</v>
      </c>
      <c r="T12">
        <v>4</v>
      </c>
      <c r="U12">
        <v>1</v>
      </c>
      <c r="V12">
        <f>S12-T12-U12</f>
        <v>0</v>
      </c>
      <c r="W12">
        <v>12</v>
      </c>
      <c r="X12">
        <v>5</v>
      </c>
      <c r="Y12">
        <f t="shared" ref="Y12:Y17" si="1">W12-X12</f>
        <v>7</v>
      </c>
    </row>
    <row r="13" spans="1:28" x14ac:dyDescent="0.3">
      <c r="A13" s="4" t="s">
        <v>13</v>
      </c>
      <c r="B13" t="s">
        <v>81</v>
      </c>
      <c r="C13" s="2">
        <f>E13*3+F13</f>
        <v>7</v>
      </c>
      <c r="D13">
        <v>4</v>
      </c>
      <c r="E13">
        <v>2</v>
      </c>
      <c r="F13">
        <v>1</v>
      </c>
      <c r="G13">
        <f>D13-E13-F13</f>
        <v>1</v>
      </c>
      <c r="H13">
        <v>7</v>
      </c>
      <c r="I13">
        <v>5</v>
      </c>
      <c r="J13">
        <f>H13-I13</f>
        <v>2</v>
      </c>
      <c r="P13" s="1" t="s">
        <v>13</v>
      </c>
      <c r="Q13" t="s">
        <v>98</v>
      </c>
      <c r="R13" s="2">
        <f t="shared" si="0"/>
        <v>8</v>
      </c>
      <c r="S13">
        <v>5</v>
      </c>
      <c r="T13">
        <v>2</v>
      </c>
      <c r="U13">
        <v>2</v>
      </c>
      <c r="V13">
        <f>S13-T13-U13</f>
        <v>1</v>
      </c>
      <c r="W13">
        <v>11</v>
      </c>
      <c r="X13">
        <v>8</v>
      </c>
      <c r="Y13">
        <f t="shared" si="1"/>
        <v>3</v>
      </c>
    </row>
    <row r="14" spans="1:28" x14ac:dyDescent="0.3">
      <c r="A14" s="4" t="s">
        <v>15</v>
      </c>
      <c r="B14" t="s">
        <v>79</v>
      </c>
      <c r="C14" s="2">
        <f>E14*3+F14</f>
        <v>7</v>
      </c>
      <c r="D14">
        <v>4</v>
      </c>
      <c r="E14">
        <v>2</v>
      </c>
      <c r="F14">
        <v>1</v>
      </c>
      <c r="G14">
        <f>D14-E14-F14</f>
        <v>1</v>
      </c>
      <c r="H14">
        <v>6</v>
      </c>
      <c r="I14">
        <v>6</v>
      </c>
      <c r="J14">
        <f>H14-I14</f>
        <v>0</v>
      </c>
      <c r="P14" t="s">
        <v>15</v>
      </c>
      <c r="Q14" t="s">
        <v>100</v>
      </c>
      <c r="R14" s="2">
        <f t="shared" si="0"/>
        <v>7</v>
      </c>
      <c r="S14">
        <v>5</v>
      </c>
      <c r="T14">
        <v>2</v>
      </c>
      <c r="U14">
        <v>1</v>
      </c>
      <c r="V14">
        <f>S14-T14-U14</f>
        <v>2</v>
      </c>
      <c r="W14">
        <v>11</v>
      </c>
      <c r="X14">
        <v>12</v>
      </c>
      <c r="Y14">
        <f t="shared" si="1"/>
        <v>-1</v>
      </c>
    </row>
    <row r="15" spans="1:28" x14ac:dyDescent="0.3">
      <c r="A15" t="s">
        <v>17</v>
      </c>
      <c r="B15" t="s">
        <v>82</v>
      </c>
      <c r="C15" s="2">
        <f>E15*3+F15</f>
        <v>6</v>
      </c>
      <c r="D15">
        <v>4</v>
      </c>
      <c r="E15">
        <v>2</v>
      </c>
      <c r="F15">
        <v>0</v>
      </c>
      <c r="G15">
        <f>D15-E15-F15</f>
        <v>2</v>
      </c>
      <c r="H15">
        <v>10</v>
      </c>
      <c r="I15">
        <v>10</v>
      </c>
      <c r="J15">
        <f>H15-I15</f>
        <v>0</v>
      </c>
      <c r="P15" t="s">
        <v>17</v>
      </c>
      <c r="Q15" t="s">
        <v>101</v>
      </c>
      <c r="R15" s="2">
        <f t="shared" si="0"/>
        <v>7</v>
      </c>
      <c r="S15">
        <v>5</v>
      </c>
      <c r="T15">
        <v>2</v>
      </c>
      <c r="U15">
        <v>1</v>
      </c>
      <c r="V15">
        <f>S15-T15-U15</f>
        <v>2</v>
      </c>
      <c r="W15">
        <v>5</v>
      </c>
      <c r="X15">
        <v>6</v>
      </c>
      <c r="Y15">
        <f t="shared" si="1"/>
        <v>-1</v>
      </c>
    </row>
    <row r="16" spans="1:28" x14ac:dyDescent="0.3">
      <c r="P16" t="s">
        <v>19</v>
      </c>
      <c r="Q16" t="s">
        <v>102</v>
      </c>
      <c r="R16" s="2">
        <f t="shared" si="0"/>
        <v>4</v>
      </c>
      <c r="S16">
        <v>5</v>
      </c>
      <c r="T16">
        <v>1</v>
      </c>
      <c r="U16">
        <v>1</v>
      </c>
      <c r="V16">
        <f>S16-T16-U16</f>
        <v>3</v>
      </c>
      <c r="W16">
        <v>7</v>
      </c>
      <c r="X16">
        <v>11</v>
      </c>
      <c r="Y16">
        <f t="shared" si="1"/>
        <v>-4</v>
      </c>
    </row>
    <row r="17" spans="1:25" x14ac:dyDescent="0.3">
      <c r="A17" t="s">
        <v>86</v>
      </c>
      <c r="P17" t="s">
        <v>21</v>
      </c>
      <c r="Q17" t="s">
        <v>97</v>
      </c>
      <c r="R17" s="2">
        <f t="shared" si="0"/>
        <v>3</v>
      </c>
      <c r="S17">
        <v>5</v>
      </c>
      <c r="T17">
        <v>1</v>
      </c>
      <c r="U17">
        <v>0</v>
      </c>
      <c r="V17">
        <f t="shared" ref="V17" si="2">S17-T17-U17</f>
        <v>4</v>
      </c>
      <c r="W17">
        <v>4</v>
      </c>
      <c r="X17">
        <v>8</v>
      </c>
      <c r="Y17">
        <f t="shared" si="1"/>
        <v>-4</v>
      </c>
    </row>
    <row r="18" spans="1:25" x14ac:dyDescent="0.3">
      <c r="A18" t="str">
        <f>B6</f>
        <v>Penarol</v>
      </c>
      <c r="B18" t="s">
        <v>90</v>
      </c>
      <c r="C18" t="str">
        <f>B7</f>
        <v>Parintins</v>
      </c>
    </row>
    <row r="19" spans="1:25" x14ac:dyDescent="0.3">
      <c r="A19" t="str">
        <f>B13</f>
        <v>Amazonas</v>
      </c>
      <c r="B19" t="s">
        <v>30</v>
      </c>
      <c r="C19" t="str">
        <f>B14</f>
        <v>Itacoatiara</v>
      </c>
      <c r="P19" t="s">
        <v>27</v>
      </c>
    </row>
    <row r="20" spans="1:25" x14ac:dyDescent="0.3">
      <c r="P20" t="str">
        <f>Q4</f>
        <v>Tarumã</v>
      </c>
      <c r="Q20" t="s">
        <v>30</v>
      </c>
      <c r="R20" t="str">
        <f>Q13</f>
        <v>Fast Clube</v>
      </c>
    </row>
    <row r="21" spans="1:25" x14ac:dyDescent="0.3">
      <c r="A21" t="s">
        <v>27</v>
      </c>
      <c r="P21" t="str">
        <f>Q12</f>
        <v>Operário</v>
      </c>
      <c r="Q21" t="s">
        <v>103</v>
      </c>
      <c r="R21" t="str">
        <f>Q5</f>
        <v>CDC da Amazônia</v>
      </c>
    </row>
    <row r="22" spans="1:25" x14ac:dyDescent="0.3">
      <c r="A22" t="str">
        <f>B5</f>
        <v>Nacional</v>
      </c>
      <c r="B22" t="s">
        <v>31</v>
      </c>
      <c r="C22" t="s">
        <v>89</v>
      </c>
    </row>
    <row r="23" spans="1:25" x14ac:dyDescent="0.3">
      <c r="A23" t="str">
        <f>B12</f>
        <v>Manaus</v>
      </c>
      <c r="B23" t="s">
        <v>69</v>
      </c>
      <c r="C23" t="s">
        <v>81</v>
      </c>
      <c r="P23" t="s">
        <v>33</v>
      </c>
    </row>
    <row r="24" spans="1:25" x14ac:dyDescent="0.3">
      <c r="P24" t="s">
        <v>94</v>
      </c>
      <c r="Q24" t="s">
        <v>104</v>
      </c>
      <c r="R24" t="s">
        <v>96</v>
      </c>
    </row>
    <row r="25" spans="1:25" x14ac:dyDescent="0.3">
      <c r="A25" t="s">
        <v>33</v>
      </c>
    </row>
    <row r="26" spans="1:25" x14ac:dyDescent="0.3">
      <c r="A26" t="s">
        <v>81</v>
      </c>
      <c r="B26" t="s">
        <v>43</v>
      </c>
      <c r="C26" t="s">
        <v>89</v>
      </c>
    </row>
    <row r="28" spans="1:25" x14ac:dyDescent="0.3">
      <c r="A28" t="s">
        <v>87</v>
      </c>
    </row>
    <row r="29" spans="1:25" x14ac:dyDescent="0.3">
      <c r="A29" t="s">
        <v>1</v>
      </c>
      <c r="B29" t="s">
        <v>2</v>
      </c>
      <c r="C29" t="s">
        <v>3</v>
      </c>
      <c r="D29" t="s">
        <v>4</v>
      </c>
      <c r="E29" t="s">
        <v>5</v>
      </c>
      <c r="F29" t="s">
        <v>6</v>
      </c>
      <c r="G29" t="s">
        <v>7</v>
      </c>
      <c r="H29" t="s">
        <v>8</v>
      </c>
      <c r="I29" t="s">
        <v>9</v>
      </c>
      <c r="J29" t="s">
        <v>10</v>
      </c>
    </row>
    <row r="30" spans="1:25" x14ac:dyDescent="0.3">
      <c r="A30" s="1" t="s">
        <v>11</v>
      </c>
      <c r="B30" t="s">
        <v>89</v>
      </c>
      <c r="C30" s="2">
        <f>E30*3+F30</f>
        <v>9</v>
      </c>
      <c r="D30">
        <v>3</v>
      </c>
      <c r="E30">
        <v>3</v>
      </c>
      <c r="F30">
        <v>0</v>
      </c>
      <c r="G30">
        <f>D30-E30-F30</f>
        <v>0</v>
      </c>
      <c r="H30">
        <v>6</v>
      </c>
      <c r="I30">
        <v>3</v>
      </c>
      <c r="J30">
        <f>H30-I30</f>
        <v>3</v>
      </c>
    </row>
    <row r="31" spans="1:25" x14ac:dyDescent="0.3">
      <c r="A31" s="4" t="s">
        <v>13</v>
      </c>
      <c r="B31" t="s">
        <v>80</v>
      </c>
      <c r="C31" s="2">
        <f t="shared" ref="C31:C33" si="3">E31*3+F31</f>
        <v>4</v>
      </c>
      <c r="D31">
        <v>3</v>
      </c>
      <c r="E31">
        <v>1</v>
      </c>
      <c r="F31">
        <v>1</v>
      </c>
      <c r="G31">
        <f>D31-E31-F31</f>
        <v>1</v>
      </c>
      <c r="H31">
        <v>3</v>
      </c>
      <c r="I31">
        <v>2</v>
      </c>
      <c r="J31">
        <f>H31-I31</f>
        <v>1</v>
      </c>
    </row>
    <row r="32" spans="1:25" x14ac:dyDescent="0.3">
      <c r="A32" s="4" t="s">
        <v>15</v>
      </c>
      <c r="B32" t="s">
        <v>78</v>
      </c>
      <c r="C32" s="2">
        <f t="shared" si="3"/>
        <v>3</v>
      </c>
      <c r="D32">
        <v>3</v>
      </c>
      <c r="E32">
        <v>1</v>
      </c>
      <c r="F32">
        <v>0</v>
      </c>
      <c r="G32">
        <f>D32-E32-F32</f>
        <v>2</v>
      </c>
      <c r="H32">
        <v>2</v>
      </c>
      <c r="I32">
        <v>4</v>
      </c>
      <c r="J32">
        <f>H32-I32</f>
        <v>-2</v>
      </c>
    </row>
    <row r="33" spans="1:10" x14ac:dyDescent="0.3">
      <c r="A33" t="s">
        <v>17</v>
      </c>
      <c r="B33" t="s">
        <v>83</v>
      </c>
      <c r="C33" s="2">
        <f t="shared" si="3"/>
        <v>1</v>
      </c>
      <c r="D33">
        <v>3</v>
      </c>
      <c r="E33">
        <v>0</v>
      </c>
      <c r="F33">
        <v>1</v>
      </c>
      <c r="G33">
        <f>D33-E33-F33</f>
        <v>2</v>
      </c>
      <c r="H33">
        <v>1</v>
      </c>
      <c r="I33">
        <v>3</v>
      </c>
      <c r="J33">
        <f>H33-I33</f>
        <v>-2</v>
      </c>
    </row>
    <row r="35" spans="1:10" x14ac:dyDescent="0.3">
      <c r="A35" t="s">
        <v>73</v>
      </c>
    </row>
    <row r="36" spans="1:10" x14ac:dyDescent="0.3">
      <c r="A36" t="s">
        <v>1</v>
      </c>
      <c r="B36" t="s">
        <v>2</v>
      </c>
      <c r="C36" t="s">
        <v>3</v>
      </c>
      <c r="D36" t="s">
        <v>4</v>
      </c>
      <c r="E36" t="s">
        <v>5</v>
      </c>
      <c r="F36" t="s">
        <v>6</v>
      </c>
      <c r="G36" t="s">
        <v>7</v>
      </c>
      <c r="H36" t="s">
        <v>8</v>
      </c>
      <c r="I36" t="s">
        <v>9</v>
      </c>
      <c r="J36" t="s">
        <v>10</v>
      </c>
    </row>
    <row r="37" spans="1:10" x14ac:dyDescent="0.3">
      <c r="A37" s="1" t="s">
        <v>11</v>
      </c>
      <c r="B37" t="s">
        <v>79</v>
      </c>
      <c r="C37" s="2">
        <f>E37*3+F37</f>
        <v>9</v>
      </c>
      <c r="D37">
        <v>3</v>
      </c>
      <c r="E37">
        <v>3</v>
      </c>
      <c r="F37">
        <v>0</v>
      </c>
      <c r="G37">
        <f>D37-E37-F37</f>
        <v>0</v>
      </c>
      <c r="H37">
        <v>5</v>
      </c>
      <c r="I37">
        <v>2</v>
      </c>
      <c r="J37">
        <f>H37-I37</f>
        <v>3</v>
      </c>
    </row>
    <row r="38" spans="1:10" x14ac:dyDescent="0.3">
      <c r="A38" s="4" t="s">
        <v>13</v>
      </c>
      <c r="B38" t="s">
        <v>84</v>
      </c>
      <c r="C38" s="2">
        <f t="shared" ref="C38:C40" si="4">E38*3+F38</f>
        <v>4</v>
      </c>
      <c r="D38">
        <v>3</v>
      </c>
      <c r="E38">
        <v>1</v>
      </c>
      <c r="F38">
        <v>1</v>
      </c>
      <c r="G38">
        <f>D38-E38-F38</f>
        <v>1</v>
      </c>
      <c r="H38">
        <v>4</v>
      </c>
      <c r="I38">
        <v>4</v>
      </c>
      <c r="J38">
        <f>H38-I38</f>
        <v>0</v>
      </c>
    </row>
    <row r="39" spans="1:10" x14ac:dyDescent="0.3">
      <c r="A39" s="4" t="s">
        <v>15</v>
      </c>
      <c r="B39" t="s">
        <v>81</v>
      </c>
      <c r="C39" s="2">
        <f t="shared" si="4"/>
        <v>4</v>
      </c>
      <c r="D39">
        <v>3</v>
      </c>
      <c r="E39">
        <v>1</v>
      </c>
      <c r="F39">
        <v>1</v>
      </c>
      <c r="G39">
        <f>D39-E39-F39</f>
        <v>1</v>
      </c>
      <c r="H39">
        <v>3</v>
      </c>
      <c r="I39">
        <v>3</v>
      </c>
      <c r="J39">
        <f>H39-I39</f>
        <v>0</v>
      </c>
    </row>
    <row r="40" spans="1:10" x14ac:dyDescent="0.3">
      <c r="A40" t="s">
        <v>17</v>
      </c>
      <c r="B40" t="s">
        <v>82</v>
      </c>
      <c r="C40" s="2">
        <f t="shared" si="4"/>
        <v>0</v>
      </c>
      <c r="D40">
        <v>3</v>
      </c>
      <c r="E40">
        <v>0</v>
      </c>
      <c r="F40">
        <v>0</v>
      </c>
      <c r="G40">
        <f>D40-E40-F40</f>
        <v>3</v>
      </c>
      <c r="H40">
        <v>3</v>
      </c>
      <c r="I40">
        <v>6</v>
      </c>
      <c r="J40">
        <f>H40-I40</f>
        <v>-3</v>
      </c>
    </row>
    <row r="42" spans="1:10" x14ac:dyDescent="0.3">
      <c r="A42" t="s">
        <v>86</v>
      </c>
    </row>
    <row r="43" spans="1:10" x14ac:dyDescent="0.3">
      <c r="A43" t="str">
        <f>B31</f>
        <v>Parintins</v>
      </c>
      <c r="B43" t="s">
        <v>54</v>
      </c>
      <c r="C43" t="str">
        <f>B39</f>
        <v>Amazonas</v>
      </c>
    </row>
    <row r="44" spans="1:10" x14ac:dyDescent="0.3">
      <c r="A44" t="str">
        <f>B38</f>
        <v>Manaus</v>
      </c>
      <c r="B44" t="s">
        <v>57</v>
      </c>
      <c r="C44" t="str">
        <f>B32</f>
        <v>Manauara</v>
      </c>
    </row>
    <row r="46" spans="1:10" x14ac:dyDescent="0.3">
      <c r="A46" t="s">
        <v>27</v>
      </c>
    </row>
    <row r="47" spans="1:10" x14ac:dyDescent="0.3">
      <c r="A47" t="str">
        <f>B30</f>
        <v>Penarol</v>
      </c>
      <c r="B47" t="s">
        <v>91</v>
      </c>
      <c r="C47" t="s">
        <v>84</v>
      </c>
    </row>
    <row r="48" spans="1:10" x14ac:dyDescent="0.3">
      <c r="A48" t="str">
        <f>B37</f>
        <v>Itacoatiara</v>
      </c>
      <c r="B48" t="s">
        <v>31</v>
      </c>
      <c r="C48" t="s">
        <v>80</v>
      </c>
    </row>
    <row r="50" spans="1:3" x14ac:dyDescent="0.3">
      <c r="A50" t="s">
        <v>33</v>
      </c>
    </row>
    <row r="51" spans="1:3" x14ac:dyDescent="0.3">
      <c r="A51" t="s">
        <v>80</v>
      </c>
      <c r="B51" t="s">
        <v>69</v>
      </c>
      <c r="C51" t="s">
        <v>84</v>
      </c>
    </row>
    <row r="53" spans="1:3" x14ac:dyDescent="0.3">
      <c r="A53" t="s">
        <v>88</v>
      </c>
    </row>
    <row r="54" spans="1:3" x14ac:dyDescent="0.3">
      <c r="A54" t="s">
        <v>81</v>
      </c>
      <c r="B54" t="s">
        <v>43</v>
      </c>
      <c r="C54" t="s">
        <v>84</v>
      </c>
    </row>
    <row r="56" spans="1:3" x14ac:dyDescent="0.3">
      <c r="A56" t="s">
        <v>38</v>
      </c>
    </row>
    <row r="57" spans="1:3" x14ac:dyDescent="0.3">
      <c r="A57" t="s">
        <v>84</v>
      </c>
    </row>
    <row r="58" spans="1:3" x14ac:dyDescent="0.3">
      <c r="A58" t="s">
        <v>89</v>
      </c>
    </row>
    <row r="60" spans="1:3" x14ac:dyDescent="0.3">
      <c r="A60" t="s">
        <v>39</v>
      </c>
    </row>
    <row r="61" spans="1:3" x14ac:dyDescent="0.3">
      <c r="A61" t="s">
        <v>81</v>
      </c>
    </row>
    <row r="62" spans="1:3" x14ac:dyDescent="0.3">
      <c r="A62" t="s">
        <v>84</v>
      </c>
    </row>
    <row r="63" spans="1:3" x14ac:dyDescent="0.3">
      <c r="A63" t="s">
        <v>89</v>
      </c>
    </row>
  </sheetData>
  <sortState xmlns:xlrd2="http://schemas.microsoft.com/office/spreadsheetml/2017/richdata2" ref="B12:J15">
    <sortCondition descending="1" ref="C12:C15"/>
    <sortCondition descending="1" ref="J12:J1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A37A-124C-4960-8D37-1129ED234E10}">
  <dimension ref="A1:X26"/>
  <sheetViews>
    <sheetView workbookViewId="0">
      <selection activeCell="C3" sqref="C3:C10"/>
    </sheetView>
  </sheetViews>
  <sheetFormatPr defaultRowHeight="14.4" x14ac:dyDescent="0.3"/>
  <sheetData>
    <row r="1" spans="1:24" x14ac:dyDescent="0.3">
      <c r="A1" t="s">
        <v>105</v>
      </c>
      <c r="L1" t="s">
        <v>116</v>
      </c>
      <c r="W1" t="s">
        <v>70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72</v>
      </c>
      <c r="W2" t="s">
        <v>111</v>
      </c>
      <c r="X2">
        <v>6</v>
      </c>
    </row>
    <row r="3" spans="1:24" x14ac:dyDescent="0.3">
      <c r="A3" s="1" t="s">
        <v>11</v>
      </c>
      <c r="B3" t="s">
        <v>106</v>
      </c>
      <c r="C3" s="2">
        <f t="shared" ref="C3:C10" si="0">E3*3+F3</f>
        <v>16</v>
      </c>
      <c r="D3">
        <v>7</v>
      </c>
      <c r="E3">
        <v>5</v>
      </c>
      <c r="F3">
        <v>1</v>
      </c>
      <c r="G3">
        <f>D3-E3-F3</f>
        <v>1</v>
      </c>
      <c r="H3">
        <v>17</v>
      </c>
      <c r="I3">
        <v>10</v>
      </c>
      <c r="J3">
        <f>H3-I3</f>
        <v>7</v>
      </c>
      <c r="L3" t="s">
        <v>1</v>
      </c>
      <c r="M3" t="s">
        <v>2</v>
      </c>
      <c r="N3" t="s">
        <v>3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W3" t="s">
        <v>123</v>
      </c>
      <c r="X3">
        <v>1</v>
      </c>
    </row>
    <row r="4" spans="1:24" x14ac:dyDescent="0.3">
      <c r="A4" s="1" t="s">
        <v>13</v>
      </c>
      <c r="B4" t="s">
        <v>114</v>
      </c>
      <c r="C4" s="2">
        <f t="shared" si="0"/>
        <v>12</v>
      </c>
      <c r="D4">
        <v>7</v>
      </c>
      <c r="E4">
        <v>4</v>
      </c>
      <c r="F4">
        <v>0</v>
      </c>
      <c r="G4">
        <f t="shared" ref="G4:G10" si="1">D4-E4-F4</f>
        <v>3</v>
      </c>
      <c r="H4">
        <v>11</v>
      </c>
      <c r="I4">
        <v>9</v>
      </c>
      <c r="J4">
        <f t="shared" ref="J4:J10" si="2">H4-I4</f>
        <v>2</v>
      </c>
      <c r="L4" s="1" t="s">
        <v>11</v>
      </c>
      <c r="M4" t="s">
        <v>112</v>
      </c>
      <c r="N4" s="2">
        <f t="shared" ref="N4:N9" si="3">P4*3+Q4</f>
        <v>15</v>
      </c>
      <c r="O4">
        <v>6</v>
      </c>
      <c r="P4">
        <v>5</v>
      </c>
      <c r="Q4">
        <v>0</v>
      </c>
      <c r="R4">
        <f t="shared" ref="R4:R9" si="4">O4-P4-Q4</f>
        <v>1</v>
      </c>
      <c r="S4">
        <v>14</v>
      </c>
      <c r="T4">
        <v>8</v>
      </c>
      <c r="U4">
        <f t="shared" ref="U4:U9" si="5">S4-T4</f>
        <v>6</v>
      </c>
    </row>
    <row r="5" spans="1:24" x14ac:dyDescent="0.3">
      <c r="A5" s="1" t="s">
        <v>15</v>
      </c>
      <c r="B5" t="s">
        <v>111</v>
      </c>
      <c r="C5" s="2">
        <f t="shared" si="0"/>
        <v>12</v>
      </c>
      <c r="D5">
        <v>7</v>
      </c>
      <c r="E5">
        <v>4</v>
      </c>
      <c r="F5">
        <v>0</v>
      </c>
      <c r="G5">
        <f t="shared" si="1"/>
        <v>3</v>
      </c>
      <c r="H5">
        <v>11</v>
      </c>
      <c r="I5">
        <v>10</v>
      </c>
      <c r="J5">
        <f t="shared" si="2"/>
        <v>1</v>
      </c>
      <c r="L5" s="1" t="s">
        <v>13</v>
      </c>
      <c r="M5" t="s">
        <v>127</v>
      </c>
      <c r="N5" s="2">
        <f t="shared" si="3"/>
        <v>12</v>
      </c>
      <c r="O5">
        <v>6</v>
      </c>
      <c r="P5">
        <v>4</v>
      </c>
      <c r="Q5">
        <v>0</v>
      </c>
      <c r="R5">
        <f t="shared" si="4"/>
        <v>2</v>
      </c>
      <c r="S5">
        <v>9</v>
      </c>
      <c r="T5">
        <v>8</v>
      </c>
      <c r="U5">
        <f t="shared" si="5"/>
        <v>1</v>
      </c>
    </row>
    <row r="6" spans="1:24" x14ac:dyDescent="0.3">
      <c r="A6" s="1" t="s">
        <v>17</v>
      </c>
      <c r="B6" t="s">
        <v>110</v>
      </c>
      <c r="C6" s="2">
        <f t="shared" si="0"/>
        <v>12</v>
      </c>
      <c r="D6">
        <v>7</v>
      </c>
      <c r="E6">
        <v>4</v>
      </c>
      <c r="F6">
        <v>0</v>
      </c>
      <c r="G6">
        <f t="shared" si="1"/>
        <v>3</v>
      </c>
      <c r="H6">
        <v>14</v>
      </c>
      <c r="I6">
        <v>14</v>
      </c>
      <c r="J6">
        <f t="shared" si="2"/>
        <v>0</v>
      </c>
      <c r="L6" t="s">
        <v>15</v>
      </c>
      <c r="M6" t="s">
        <v>119</v>
      </c>
      <c r="N6" s="2">
        <f t="shared" si="3"/>
        <v>10</v>
      </c>
      <c r="O6">
        <v>6</v>
      </c>
      <c r="P6">
        <v>3</v>
      </c>
      <c r="Q6">
        <v>1</v>
      </c>
      <c r="R6">
        <f t="shared" si="4"/>
        <v>2</v>
      </c>
      <c r="S6">
        <v>5</v>
      </c>
      <c r="T6">
        <v>6</v>
      </c>
      <c r="U6">
        <f t="shared" si="5"/>
        <v>-1</v>
      </c>
    </row>
    <row r="7" spans="1:24" x14ac:dyDescent="0.3">
      <c r="A7" t="s">
        <v>19</v>
      </c>
      <c r="B7" t="s">
        <v>109</v>
      </c>
      <c r="C7" s="2">
        <f t="shared" si="0"/>
        <v>9</v>
      </c>
      <c r="D7">
        <v>7</v>
      </c>
      <c r="E7">
        <v>3</v>
      </c>
      <c r="F7">
        <v>0</v>
      </c>
      <c r="G7">
        <f t="shared" si="1"/>
        <v>4</v>
      </c>
      <c r="H7">
        <v>10</v>
      </c>
      <c r="I7">
        <v>9</v>
      </c>
      <c r="J7">
        <f t="shared" si="2"/>
        <v>1</v>
      </c>
      <c r="L7" t="s">
        <v>17</v>
      </c>
      <c r="M7" t="s">
        <v>118</v>
      </c>
      <c r="N7" s="2">
        <f t="shared" si="3"/>
        <v>8</v>
      </c>
      <c r="O7">
        <v>6</v>
      </c>
      <c r="P7">
        <v>2</v>
      </c>
      <c r="Q7">
        <v>2</v>
      </c>
      <c r="R7">
        <f t="shared" si="4"/>
        <v>2</v>
      </c>
      <c r="S7">
        <v>7</v>
      </c>
      <c r="T7">
        <v>7</v>
      </c>
      <c r="U7">
        <f t="shared" si="5"/>
        <v>0</v>
      </c>
    </row>
    <row r="8" spans="1:24" x14ac:dyDescent="0.3">
      <c r="A8" t="s">
        <v>21</v>
      </c>
      <c r="B8" t="s">
        <v>115</v>
      </c>
      <c r="C8" s="2">
        <f t="shared" si="0"/>
        <v>9</v>
      </c>
      <c r="D8">
        <v>7</v>
      </c>
      <c r="E8">
        <v>3</v>
      </c>
      <c r="F8">
        <v>0</v>
      </c>
      <c r="G8">
        <f t="shared" si="1"/>
        <v>4</v>
      </c>
      <c r="H8">
        <v>12</v>
      </c>
      <c r="I8">
        <v>15</v>
      </c>
      <c r="J8">
        <f t="shared" si="2"/>
        <v>-3</v>
      </c>
      <c r="L8" t="s">
        <v>19</v>
      </c>
      <c r="M8" t="s">
        <v>117</v>
      </c>
      <c r="N8" s="2">
        <f t="shared" si="3"/>
        <v>8</v>
      </c>
      <c r="O8">
        <v>6</v>
      </c>
      <c r="P8">
        <v>2</v>
      </c>
      <c r="Q8">
        <v>2</v>
      </c>
      <c r="R8">
        <f t="shared" si="4"/>
        <v>2</v>
      </c>
      <c r="S8">
        <v>4</v>
      </c>
      <c r="T8">
        <v>4</v>
      </c>
      <c r="U8">
        <f t="shared" si="5"/>
        <v>0</v>
      </c>
    </row>
    <row r="9" spans="1:24" x14ac:dyDescent="0.3">
      <c r="A9" s="3" t="s">
        <v>23</v>
      </c>
      <c r="B9" t="s">
        <v>107</v>
      </c>
      <c r="C9" s="2">
        <f t="shared" si="0"/>
        <v>7</v>
      </c>
      <c r="D9">
        <v>7</v>
      </c>
      <c r="E9">
        <v>2</v>
      </c>
      <c r="F9">
        <v>1</v>
      </c>
      <c r="G9">
        <f t="shared" si="1"/>
        <v>4</v>
      </c>
      <c r="H9">
        <v>11</v>
      </c>
      <c r="I9">
        <v>11</v>
      </c>
      <c r="J9">
        <f t="shared" si="2"/>
        <v>0</v>
      </c>
      <c r="L9" t="s">
        <v>21</v>
      </c>
      <c r="M9" t="s">
        <v>124</v>
      </c>
      <c r="N9" s="2">
        <f t="shared" si="3"/>
        <v>5</v>
      </c>
      <c r="O9">
        <v>6</v>
      </c>
      <c r="P9">
        <v>1</v>
      </c>
      <c r="Q9">
        <v>2</v>
      </c>
      <c r="R9">
        <f t="shared" si="4"/>
        <v>3</v>
      </c>
      <c r="S9">
        <v>3</v>
      </c>
      <c r="T9">
        <v>6</v>
      </c>
      <c r="U9">
        <f t="shared" si="5"/>
        <v>-3</v>
      </c>
    </row>
    <row r="10" spans="1:24" x14ac:dyDescent="0.3">
      <c r="A10" s="3" t="s">
        <v>25</v>
      </c>
      <c r="B10" t="s">
        <v>108</v>
      </c>
      <c r="C10" s="2">
        <f t="shared" si="0"/>
        <v>6</v>
      </c>
      <c r="D10">
        <v>7</v>
      </c>
      <c r="E10">
        <v>2</v>
      </c>
      <c r="F10">
        <v>0</v>
      </c>
      <c r="G10">
        <f t="shared" si="1"/>
        <v>5</v>
      </c>
      <c r="H10">
        <v>7</v>
      </c>
      <c r="I10">
        <v>15</v>
      </c>
      <c r="J10">
        <f t="shared" si="2"/>
        <v>-8</v>
      </c>
    </row>
    <row r="11" spans="1:24" x14ac:dyDescent="0.3">
      <c r="L11" t="s">
        <v>73</v>
      </c>
    </row>
    <row r="12" spans="1:24" x14ac:dyDescent="0.3">
      <c r="A12" t="s">
        <v>27</v>
      </c>
      <c r="L12" t="s">
        <v>1</v>
      </c>
      <c r="M12" t="s">
        <v>2</v>
      </c>
      <c r="N12" t="s">
        <v>3</v>
      </c>
      <c r="O12" t="s">
        <v>4</v>
      </c>
      <c r="P12" t="s">
        <v>5</v>
      </c>
      <c r="Q12" t="s">
        <v>6</v>
      </c>
      <c r="R12" t="s">
        <v>7</v>
      </c>
      <c r="S12" t="s">
        <v>8</v>
      </c>
      <c r="T12" t="s">
        <v>9</v>
      </c>
      <c r="U12" t="s">
        <v>10</v>
      </c>
    </row>
    <row r="13" spans="1:24" x14ac:dyDescent="0.3">
      <c r="A13" t="str">
        <f>B6</f>
        <v>Santos</v>
      </c>
      <c r="B13" t="s">
        <v>54</v>
      </c>
      <c r="C13" t="str">
        <f>B3</f>
        <v>Oratório</v>
      </c>
      <c r="E13" t="str">
        <f>B3</f>
        <v>Oratório</v>
      </c>
      <c r="F13" t="s">
        <v>57</v>
      </c>
      <c r="G13" t="str">
        <f>B6</f>
        <v>Santos</v>
      </c>
      <c r="L13" s="1" t="s">
        <v>11</v>
      </c>
      <c r="M13" t="s">
        <v>123</v>
      </c>
      <c r="N13" s="2">
        <f t="shared" ref="N13:N18" si="6">P13*3+Q13</f>
        <v>10</v>
      </c>
      <c r="O13">
        <v>6</v>
      </c>
      <c r="P13">
        <v>3</v>
      </c>
      <c r="Q13">
        <v>1</v>
      </c>
      <c r="R13">
        <f t="shared" ref="R13:R18" si="7">O13-P13-Q13</f>
        <v>2</v>
      </c>
      <c r="S13">
        <v>6</v>
      </c>
      <c r="T13">
        <v>2</v>
      </c>
      <c r="U13">
        <f t="shared" ref="U13:U18" si="8">S13-T13</f>
        <v>4</v>
      </c>
    </row>
    <row r="14" spans="1:24" x14ac:dyDescent="0.3">
      <c r="A14" t="str">
        <f>B5</f>
        <v>Independente</v>
      </c>
      <c r="B14" t="s">
        <v>36</v>
      </c>
      <c r="C14" t="str">
        <f>B4</f>
        <v>Mazagão</v>
      </c>
      <c r="E14" t="str">
        <f>B4</f>
        <v>Mazagão</v>
      </c>
      <c r="F14" t="s">
        <v>69</v>
      </c>
      <c r="G14" t="str">
        <f>B5</f>
        <v>Independente</v>
      </c>
      <c r="L14" s="1" t="s">
        <v>13</v>
      </c>
      <c r="M14" t="s">
        <v>122</v>
      </c>
      <c r="N14" s="2">
        <f t="shared" si="6"/>
        <v>10</v>
      </c>
      <c r="O14">
        <v>6</v>
      </c>
      <c r="P14">
        <v>3</v>
      </c>
      <c r="Q14">
        <v>1</v>
      </c>
      <c r="R14">
        <f t="shared" si="7"/>
        <v>2</v>
      </c>
      <c r="S14">
        <v>10</v>
      </c>
      <c r="T14">
        <v>7</v>
      </c>
      <c r="U14">
        <f t="shared" si="8"/>
        <v>3</v>
      </c>
    </row>
    <row r="15" spans="1:24" x14ac:dyDescent="0.3">
      <c r="L15" t="s">
        <v>15</v>
      </c>
      <c r="M15" t="s">
        <v>51</v>
      </c>
      <c r="N15" s="2">
        <f t="shared" si="6"/>
        <v>7</v>
      </c>
      <c r="O15">
        <v>6</v>
      </c>
      <c r="P15">
        <v>2</v>
      </c>
      <c r="Q15">
        <v>1</v>
      </c>
      <c r="R15">
        <f t="shared" si="7"/>
        <v>3</v>
      </c>
      <c r="S15">
        <v>6</v>
      </c>
      <c r="T15">
        <v>6</v>
      </c>
      <c r="U15">
        <f t="shared" si="8"/>
        <v>0</v>
      </c>
    </row>
    <row r="16" spans="1:24" x14ac:dyDescent="0.3">
      <c r="A16" t="s">
        <v>33</v>
      </c>
      <c r="L16" t="s">
        <v>17</v>
      </c>
      <c r="M16" t="s">
        <v>121</v>
      </c>
      <c r="N16" s="2">
        <f t="shared" si="6"/>
        <v>7</v>
      </c>
      <c r="O16">
        <v>6</v>
      </c>
      <c r="P16">
        <v>2</v>
      </c>
      <c r="Q16">
        <v>1</v>
      </c>
      <c r="R16">
        <f t="shared" si="7"/>
        <v>3</v>
      </c>
      <c r="S16">
        <v>8</v>
      </c>
      <c r="T16">
        <v>10</v>
      </c>
      <c r="U16">
        <f t="shared" si="8"/>
        <v>-2</v>
      </c>
    </row>
    <row r="17" spans="1:21" x14ac:dyDescent="0.3">
      <c r="A17" t="s">
        <v>110</v>
      </c>
      <c r="B17" t="s">
        <v>43</v>
      </c>
      <c r="C17" t="s">
        <v>111</v>
      </c>
      <c r="E17" t="s">
        <v>111</v>
      </c>
      <c r="F17" t="s">
        <v>65</v>
      </c>
      <c r="G17" t="s">
        <v>110</v>
      </c>
      <c r="L17" t="s">
        <v>19</v>
      </c>
      <c r="M17" t="s">
        <v>120</v>
      </c>
      <c r="N17" s="2">
        <f t="shared" si="6"/>
        <v>5</v>
      </c>
      <c r="O17">
        <v>6</v>
      </c>
      <c r="P17">
        <v>1</v>
      </c>
      <c r="Q17">
        <v>2</v>
      </c>
      <c r="R17">
        <f t="shared" si="7"/>
        <v>3</v>
      </c>
      <c r="S17">
        <v>4</v>
      </c>
      <c r="T17">
        <v>7</v>
      </c>
      <c r="U17">
        <f t="shared" si="8"/>
        <v>-3</v>
      </c>
    </row>
    <row r="18" spans="1:21" x14ac:dyDescent="0.3">
      <c r="L18" t="s">
        <v>21</v>
      </c>
      <c r="M18" t="s">
        <v>113</v>
      </c>
      <c r="N18" s="2">
        <f t="shared" si="6"/>
        <v>4</v>
      </c>
      <c r="O18">
        <v>6</v>
      </c>
      <c r="P18">
        <v>1</v>
      </c>
      <c r="Q18">
        <v>1</v>
      </c>
      <c r="R18">
        <f t="shared" si="7"/>
        <v>4</v>
      </c>
      <c r="S18">
        <v>5</v>
      </c>
      <c r="T18">
        <v>10</v>
      </c>
      <c r="U18">
        <f t="shared" si="8"/>
        <v>-5</v>
      </c>
    </row>
    <row r="19" spans="1:21" x14ac:dyDescent="0.3">
      <c r="A19" t="s">
        <v>38</v>
      </c>
    </row>
    <row r="20" spans="1:21" x14ac:dyDescent="0.3">
      <c r="A20" t="s">
        <v>111</v>
      </c>
      <c r="L20" t="s">
        <v>27</v>
      </c>
    </row>
    <row r="21" spans="1:21" x14ac:dyDescent="0.3">
      <c r="A21" t="s">
        <v>110</v>
      </c>
      <c r="L21" t="str">
        <f>M4</f>
        <v>São José</v>
      </c>
      <c r="M21" t="s">
        <v>125</v>
      </c>
      <c r="N21" t="str">
        <f>M5</f>
        <v>BARE</v>
      </c>
    </row>
    <row r="22" spans="1:21" x14ac:dyDescent="0.3">
      <c r="L22" t="str">
        <f>M13</f>
        <v>ADEC</v>
      </c>
      <c r="M22" t="s">
        <v>30</v>
      </c>
      <c r="N22" t="str">
        <f>M14</f>
        <v>São Paulo</v>
      </c>
    </row>
    <row r="23" spans="1:21" x14ac:dyDescent="0.3">
      <c r="A23" t="s">
        <v>39</v>
      </c>
    </row>
    <row r="24" spans="1:21" x14ac:dyDescent="0.3">
      <c r="A24" t="s">
        <v>111</v>
      </c>
      <c r="L24" t="s">
        <v>33</v>
      </c>
    </row>
    <row r="25" spans="1:21" x14ac:dyDescent="0.3">
      <c r="A25" t="s">
        <v>110</v>
      </c>
      <c r="L25" t="s">
        <v>127</v>
      </c>
      <c r="M25" t="s">
        <v>126</v>
      </c>
      <c r="N25" t="s">
        <v>123</v>
      </c>
    </row>
    <row r="26" spans="1:21" x14ac:dyDescent="0.3">
      <c r="A26" t="s">
        <v>106</v>
      </c>
    </row>
  </sheetData>
  <sortState xmlns:xlrd2="http://schemas.microsoft.com/office/spreadsheetml/2017/richdata2" ref="M13:U18">
    <sortCondition descending="1" ref="N13:N18"/>
    <sortCondition descending="1" ref="U13:U1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D2D4-D61C-49AE-9D1F-7C719C3A75D8}">
  <dimension ref="A1:X30"/>
  <sheetViews>
    <sheetView workbookViewId="0">
      <selection activeCell="A15" sqref="A15:C18"/>
    </sheetView>
  </sheetViews>
  <sheetFormatPr defaultRowHeight="14.4" x14ac:dyDescent="0.3"/>
  <sheetData>
    <row r="1" spans="1:24" x14ac:dyDescent="0.3">
      <c r="A1" t="s">
        <v>128</v>
      </c>
      <c r="L1" t="s">
        <v>142</v>
      </c>
      <c r="W1" t="s">
        <v>70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129</v>
      </c>
      <c r="X2">
        <v>1</v>
      </c>
    </row>
    <row r="3" spans="1:24" x14ac:dyDescent="0.3">
      <c r="A3" s="1" t="s">
        <v>11</v>
      </c>
      <c r="B3" t="s">
        <v>129</v>
      </c>
      <c r="C3" s="2">
        <f t="shared" ref="C3:C12" si="0">E3*3+F3</f>
        <v>21</v>
      </c>
      <c r="D3">
        <v>9</v>
      </c>
      <c r="E3">
        <v>7</v>
      </c>
      <c r="F3">
        <v>0</v>
      </c>
      <c r="G3">
        <f>D3-E3-F3</f>
        <v>2</v>
      </c>
      <c r="H3">
        <v>18</v>
      </c>
      <c r="I3">
        <v>8</v>
      </c>
      <c r="J3">
        <f>H3-I3</f>
        <v>10</v>
      </c>
      <c r="L3" s="1" t="s">
        <v>11</v>
      </c>
      <c r="M3" t="s">
        <v>152</v>
      </c>
      <c r="N3" s="2">
        <f t="shared" ref="N3:N15" si="1">P3*3+Q3</f>
        <v>24</v>
      </c>
      <c r="O3">
        <v>12</v>
      </c>
      <c r="P3">
        <v>8</v>
      </c>
      <c r="Q3">
        <v>0</v>
      </c>
      <c r="R3">
        <f>O3-P3-Q3</f>
        <v>4</v>
      </c>
      <c r="S3">
        <v>21</v>
      </c>
      <c r="T3">
        <v>8</v>
      </c>
      <c r="U3">
        <f>S3-T3</f>
        <v>13</v>
      </c>
      <c r="W3" t="s">
        <v>152</v>
      </c>
      <c r="X3">
        <v>1</v>
      </c>
    </row>
    <row r="4" spans="1:24" x14ac:dyDescent="0.3">
      <c r="A4" s="1" t="s">
        <v>13</v>
      </c>
      <c r="B4" t="s">
        <v>133</v>
      </c>
      <c r="C4" s="2">
        <f t="shared" si="0"/>
        <v>17</v>
      </c>
      <c r="D4">
        <v>9</v>
      </c>
      <c r="E4">
        <v>5</v>
      </c>
      <c r="F4">
        <v>2</v>
      </c>
      <c r="G4">
        <f t="shared" ref="G4:G12" si="2">D4-E4-F4</f>
        <v>2</v>
      </c>
      <c r="H4">
        <v>17</v>
      </c>
      <c r="I4">
        <v>13</v>
      </c>
      <c r="J4">
        <f t="shared" ref="J4:J12" si="3">H4-I4</f>
        <v>4</v>
      </c>
      <c r="L4" s="1" t="s">
        <v>13</v>
      </c>
      <c r="M4" t="s">
        <v>147</v>
      </c>
      <c r="N4" s="2">
        <f t="shared" si="1"/>
        <v>24</v>
      </c>
      <c r="O4">
        <v>12</v>
      </c>
      <c r="P4">
        <v>8</v>
      </c>
      <c r="Q4">
        <v>0</v>
      </c>
      <c r="R4">
        <f t="shared" ref="R4:R15" si="4">O4-P4-Q4</f>
        <v>4</v>
      </c>
      <c r="S4">
        <v>19</v>
      </c>
      <c r="T4">
        <v>13</v>
      </c>
      <c r="U4">
        <f t="shared" ref="U4:U15" si="5">S4-T4</f>
        <v>6</v>
      </c>
    </row>
    <row r="5" spans="1:24" x14ac:dyDescent="0.3">
      <c r="A5" s="1" t="s">
        <v>15</v>
      </c>
      <c r="B5" t="s">
        <v>139</v>
      </c>
      <c r="C5" s="2">
        <f t="shared" si="0"/>
        <v>16</v>
      </c>
      <c r="D5">
        <v>9</v>
      </c>
      <c r="E5">
        <v>5</v>
      </c>
      <c r="F5">
        <v>1</v>
      </c>
      <c r="G5">
        <f t="shared" si="2"/>
        <v>3</v>
      </c>
      <c r="H5">
        <v>11</v>
      </c>
      <c r="I5">
        <v>8</v>
      </c>
      <c r="J5">
        <f t="shared" si="3"/>
        <v>3</v>
      </c>
      <c r="L5" s="1" t="s">
        <v>15</v>
      </c>
      <c r="M5" t="s">
        <v>143</v>
      </c>
      <c r="N5" s="2">
        <f t="shared" si="1"/>
        <v>22</v>
      </c>
      <c r="O5">
        <v>12</v>
      </c>
      <c r="P5">
        <v>7</v>
      </c>
      <c r="Q5">
        <v>1</v>
      </c>
      <c r="R5">
        <f t="shared" si="4"/>
        <v>4</v>
      </c>
      <c r="S5">
        <v>22</v>
      </c>
      <c r="T5">
        <v>14</v>
      </c>
      <c r="U5">
        <f t="shared" si="5"/>
        <v>8</v>
      </c>
    </row>
    <row r="6" spans="1:24" x14ac:dyDescent="0.3">
      <c r="A6" s="1" t="s">
        <v>17</v>
      </c>
      <c r="B6" t="s">
        <v>130</v>
      </c>
      <c r="C6" s="2">
        <f t="shared" si="0"/>
        <v>16</v>
      </c>
      <c r="D6">
        <v>9</v>
      </c>
      <c r="E6">
        <v>4</v>
      </c>
      <c r="F6">
        <v>4</v>
      </c>
      <c r="G6">
        <f t="shared" si="2"/>
        <v>1</v>
      </c>
      <c r="H6">
        <v>16</v>
      </c>
      <c r="I6">
        <v>10</v>
      </c>
      <c r="J6">
        <f t="shared" si="3"/>
        <v>6</v>
      </c>
      <c r="L6" s="1" t="s">
        <v>17</v>
      </c>
      <c r="M6" t="s">
        <v>145</v>
      </c>
      <c r="N6" s="2">
        <f t="shared" si="1"/>
        <v>22</v>
      </c>
      <c r="O6">
        <v>12</v>
      </c>
      <c r="P6">
        <v>7</v>
      </c>
      <c r="Q6">
        <v>1</v>
      </c>
      <c r="R6">
        <f t="shared" si="4"/>
        <v>4</v>
      </c>
      <c r="S6">
        <v>23</v>
      </c>
      <c r="T6">
        <v>17</v>
      </c>
      <c r="U6">
        <f t="shared" si="5"/>
        <v>6</v>
      </c>
    </row>
    <row r="7" spans="1:24" x14ac:dyDescent="0.3">
      <c r="A7" t="s">
        <v>19</v>
      </c>
      <c r="B7" t="s">
        <v>135</v>
      </c>
      <c r="C7" s="2">
        <f t="shared" si="0"/>
        <v>15</v>
      </c>
      <c r="D7">
        <v>9</v>
      </c>
      <c r="E7">
        <v>5</v>
      </c>
      <c r="F7">
        <v>0</v>
      </c>
      <c r="G7">
        <f t="shared" si="2"/>
        <v>4</v>
      </c>
      <c r="H7">
        <v>13</v>
      </c>
      <c r="I7">
        <v>12</v>
      </c>
      <c r="J7">
        <f t="shared" si="3"/>
        <v>1</v>
      </c>
      <c r="L7" t="s">
        <v>19</v>
      </c>
      <c r="M7" t="s">
        <v>148</v>
      </c>
      <c r="N7" s="2">
        <f t="shared" si="1"/>
        <v>22</v>
      </c>
      <c r="O7">
        <v>12</v>
      </c>
      <c r="P7">
        <v>7</v>
      </c>
      <c r="Q7">
        <v>1</v>
      </c>
      <c r="R7">
        <f t="shared" si="4"/>
        <v>4</v>
      </c>
      <c r="S7">
        <v>20</v>
      </c>
      <c r="T7">
        <v>17</v>
      </c>
      <c r="U7">
        <f t="shared" si="5"/>
        <v>3</v>
      </c>
    </row>
    <row r="8" spans="1:24" x14ac:dyDescent="0.3">
      <c r="A8" t="s">
        <v>21</v>
      </c>
      <c r="B8" t="s">
        <v>134</v>
      </c>
      <c r="C8" s="2">
        <f t="shared" si="0"/>
        <v>14</v>
      </c>
      <c r="D8">
        <v>9</v>
      </c>
      <c r="E8">
        <v>4</v>
      </c>
      <c r="F8">
        <v>2</v>
      </c>
      <c r="G8">
        <f t="shared" si="2"/>
        <v>3</v>
      </c>
      <c r="H8">
        <v>17</v>
      </c>
      <c r="I8">
        <v>14</v>
      </c>
      <c r="J8">
        <f t="shared" si="3"/>
        <v>3</v>
      </c>
      <c r="L8" t="s">
        <v>21</v>
      </c>
      <c r="M8" t="s">
        <v>146</v>
      </c>
      <c r="N8" s="2">
        <f t="shared" si="1"/>
        <v>20</v>
      </c>
      <c r="O8">
        <v>12</v>
      </c>
      <c r="P8">
        <v>6</v>
      </c>
      <c r="Q8">
        <v>2</v>
      </c>
      <c r="R8">
        <f t="shared" si="4"/>
        <v>4</v>
      </c>
      <c r="S8">
        <v>15</v>
      </c>
      <c r="T8">
        <v>10</v>
      </c>
      <c r="U8">
        <f t="shared" si="5"/>
        <v>5</v>
      </c>
    </row>
    <row r="9" spans="1:24" x14ac:dyDescent="0.3">
      <c r="A9" t="s">
        <v>23</v>
      </c>
      <c r="B9" t="s">
        <v>132</v>
      </c>
      <c r="C9" s="2">
        <f t="shared" si="0"/>
        <v>10</v>
      </c>
      <c r="D9">
        <v>9</v>
      </c>
      <c r="E9">
        <v>3</v>
      </c>
      <c r="F9">
        <v>1</v>
      </c>
      <c r="G9">
        <f>D9-E9-F9</f>
        <v>5</v>
      </c>
      <c r="H9">
        <v>11</v>
      </c>
      <c r="I9">
        <v>16</v>
      </c>
      <c r="J9">
        <f t="shared" si="3"/>
        <v>-5</v>
      </c>
      <c r="L9" t="s">
        <v>23</v>
      </c>
      <c r="M9" t="s">
        <v>153</v>
      </c>
      <c r="N9" s="2">
        <f t="shared" si="1"/>
        <v>15</v>
      </c>
      <c r="O9">
        <v>12</v>
      </c>
      <c r="P9">
        <v>4</v>
      </c>
      <c r="Q9">
        <v>3</v>
      </c>
      <c r="R9">
        <f>O9-P9-Q9</f>
        <v>5</v>
      </c>
      <c r="S9">
        <v>18</v>
      </c>
      <c r="T9">
        <v>20</v>
      </c>
      <c r="U9">
        <f t="shared" si="5"/>
        <v>-2</v>
      </c>
    </row>
    <row r="10" spans="1:24" x14ac:dyDescent="0.3">
      <c r="A10" t="s">
        <v>25</v>
      </c>
      <c r="B10" t="s">
        <v>42</v>
      </c>
      <c r="C10" s="2">
        <f t="shared" si="0"/>
        <v>7</v>
      </c>
      <c r="D10">
        <v>9</v>
      </c>
      <c r="E10">
        <v>2</v>
      </c>
      <c r="F10">
        <v>1</v>
      </c>
      <c r="G10">
        <f t="shared" si="2"/>
        <v>6</v>
      </c>
      <c r="H10">
        <v>13</v>
      </c>
      <c r="I10">
        <v>15</v>
      </c>
      <c r="J10">
        <f t="shared" si="3"/>
        <v>-2</v>
      </c>
      <c r="L10" t="s">
        <v>25</v>
      </c>
      <c r="M10" t="s">
        <v>138</v>
      </c>
      <c r="N10" s="2">
        <f t="shared" si="1"/>
        <v>14</v>
      </c>
      <c r="O10">
        <v>12</v>
      </c>
      <c r="P10">
        <v>4</v>
      </c>
      <c r="Q10">
        <v>2</v>
      </c>
      <c r="R10">
        <f t="shared" si="4"/>
        <v>6</v>
      </c>
      <c r="S10">
        <v>13</v>
      </c>
      <c r="T10">
        <v>17</v>
      </c>
      <c r="U10">
        <f t="shared" si="5"/>
        <v>-4</v>
      </c>
    </row>
    <row r="11" spans="1:24" x14ac:dyDescent="0.3">
      <c r="A11" s="3" t="s">
        <v>66</v>
      </c>
      <c r="B11" t="s">
        <v>131</v>
      </c>
      <c r="C11" s="2">
        <f t="shared" si="0"/>
        <v>7</v>
      </c>
      <c r="D11">
        <v>9</v>
      </c>
      <c r="E11">
        <v>2</v>
      </c>
      <c r="F11">
        <v>1</v>
      </c>
      <c r="G11">
        <f t="shared" si="2"/>
        <v>6</v>
      </c>
      <c r="H11">
        <v>6</v>
      </c>
      <c r="I11">
        <v>14</v>
      </c>
      <c r="J11">
        <f t="shared" si="3"/>
        <v>-8</v>
      </c>
      <c r="L11" t="s">
        <v>66</v>
      </c>
      <c r="M11" t="s">
        <v>154</v>
      </c>
      <c r="N11" s="2">
        <f t="shared" si="1"/>
        <v>14</v>
      </c>
      <c r="O11">
        <v>12</v>
      </c>
      <c r="P11">
        <v>4</v>
      </c>
      <c r="Q11">
        <v>2</v>
      </c>
      <c r="R11">
        <f t="shared" si="4"/>
        <v>6</v>
      </c>
      <c r="S11">
        <v>16</v>
      </c>
      <c r="T11">
        <v>23</v>
      </c>
      <c r="U11">
        <f t="shared" si="5"/>
        <v>-7</v>
      </c>
    </row>
    <row r="12" spans="1:24" x14ac:dyDescent="0.3">
      <c r="A12" s="3" t="s">
        <v>137</v>
      </c>
      <c r="B12" t="s">
        <v>109</v>
      </c>
      <c r="C12" s="2">
        <f t="shared" si="0"/>
        <v>6</v>
      </c>
      <c r="D12">
        <v>9</v>
      </c>
      <c r="E12">
        <v>2</v>
      </c>
      <c r="F12">
        <v>0</v>
      </c>
      <c r="G12">
        <f t="shared" si="2"/>
        <v>7</v>
      </c>
      <c r="H12">
        <v>7</v>
      </c>
      <c r="I12">
        <v>19</v>
      </c>
      <c r="J12">
        <f t="shared" si="3"/>
        <v>-12</v>
      </c>
      <c r="L12" t="s">
        <v>137</v>
      </c>
      <c r="M12" t="s">
        <v>155</v>
      </c>
      <c r="N12" s="2">
        <f t="shared" si="1"/>
        <v>14</v>
      </c>
      <c r="O12">
        <v>12</v>
      </c>
      <c r="P12">
        <v>3</v>
      </c>
      <c r="Q12">
        <v>5</v>
      </c>
      <c r="R12">
        <f t="shared" si="4"/>
        <v>4</v>
      </c>
      <c r="S12">
        <v>14</v>
      </c>
      <c r="T12">
        <v>18</v>
      </c>
      <c r="U12">
        <f t="shared" si="5"/>
        <v>-4</v>
      </c>
    </row>
    <row r="13" spans="1:24" x14ac:dyDescent="0.3">
      <c r="L13" t="s">
        <v>149</v>
      </c>
      <c r="M13" t="s">
        <v>144</v>
      </c>
      <c r="N13" s="2">
        <f t="shared" si="1"/>
        <v>13</v>
      </c>
      <c r="O13">
        <v>12</v>
      </c>
      <c r="P13">
        <v>4</v>
      </c>
      <c r="Q13">
        <v>1</v>
      </c>
      <c r="R13">
        <f t="shared" si="4"/>
        <v>7</v>
      </c>
      <c r="S13">
        <v>12</v>
      </c>
      <c r="T13">
        <v>23</v>
      </c>
      <c r="U13">
        <f t="shared" si="5"/>
        <v>-11</v>
      </c>
    </row>
    <row r="14" spans="1:24" x14ac:dyDescent="0.3">
      <c r="A14" t="s">
        <v>27</v>
      </c>
      <c r="L14" t="s">
        <v>150</v>
      </c>
      <c r="M14" t="s">
        <v>136</v>
      </c>
      <c r="N14" s="2">
        <f t="shared" si="1"/>
        <v>10</v>
      </c>
      <c r="O14">
        <v>12</v>
      </c>
      <c r="P14">
        <v>2</v>
      </c>
      <c r="Q14">
        <v>4</v>
      </c>
      <c r="R14">
        <f t="shared" si="4"/>
        <v>6</v>
      </c>
      <c r="S14">
        <v>12</v>
      </c>
      <c r="T14">
        <v>18</v>
      </c>
      <c r="U14">
        <f t="shared" si="5"/>
        <v>-6</v>
      </c>
    </row>
    <row r="15" spans="1:24" x14ac:dyDescent="0.3">
      <c r="A15" t="str">
        <f>B3</f>
        <v>Porto</v>
      </c>
      <c r="B15" t="s">
        <v>140</v>
      </c>
      <c r="C15" t="str">
        <f>B6</f>
        <v>Juazeirense</v>
      </c>
      <c r="L15" t="s">
        <v>151</v>
      </c>
      <c r="M15" t="s">
        <v>156</v>
      </c>
      <c r="N15" s="2">
        <f t="shared" si="1"/>
        <v>9</v>
      </c>
      <c r="O15">
        <v>12</v>
      </c>
      <c r="P15">
        <v>3</v>
      </c>
      <c r="Q15">
        <v>0</v>
      </c>
      <c r="R15">
        <f t="shared" si="4"/>
        <v>9</v>
      </c>
      <c r="S15">
        <v>8</v>
      </c>
      <c r="T15">
        <v>15</v>
      </c>
      <c r="U15">
        <f t="shared" si="5"/>
        <v>-7</v>
      </c>
    </row>
    <row r="16" spans="1:24" x14ac:dyDescent="0.3">
      <c r="A16" t="str">
        <f>B4</f>
        <v>Jequié</v>
      </c>
      <c r="B16" t="s">
        <v>28</v>
      </c>
      <c r="C16" t="str">
        <f>B5</f>
        <v>Fluminense</v>
      </c>
    </row>
    <row r="17" spans="1:18" x14ac:dyDescent="0.3">
      <c r="L17" t="s">
        <v>27</v>
      </c>
    </row>
    <row r="18" spans="1:18" x14ac:dyDescent="0.3">
      <c r="A18" t="s">
        <v>33</v>
      </c>
      <c r="L18" t="str">
        <f>M6</f>
        <v>Colo Colo</v>
      </c>
      <c r="M18" t="s">
        <v>65</v>
      </c>
      <c r="N18" t="str">
        <f>M3</f>
        <v>Barreiras</v>
      </c>
      <c r="P18" t="str">
        <f>M3</f>
        <v>Barreiras</v>
      </c>
      <c r="Q18" t="s">
        <v>157</v>
      </c>
      <c r="R18" t="str">
        <f>M6</f>
        <v>Colo Colo</v>
      </c>
    </row>
    <row r="19" spans="1:18" x14ac:dyDescent="0.3">
      <c r="A19" t="s">
        <v>129</v>
      </c>
      <c r="B19" t="s">
        <v>141</v>
      </c>
      <c r="C19" t="s">
        <v>139</v>
      </c>
      <c r="L19" t="str">
        <f>M5</f>
        <v>SSA</v>
      </c>
      <c r="M19" t="s">
        <v>44</v>
      </c>
      <c r="N19" t="str">
        <f>M4</f>
        <v>Itabuna</v>
      </c>
      <c r="P19" t="str">
        <f>M4</f>
        <v>Itabuna</v>
      </c>
      <c r="Q19" t="s">
        <v>54</v>
      </c>
      <c r="R19" t="str">
        <f>M5</f>
        <v>SSA</v>
      </c>
    </row>
    <row r="21" spans="1:18" x14ac:dyDescent="0.3">
      <c r="A21" t="s">
        <v>38</v>
      </c>
      <c r="L21" t="s">
        <v>33</v>
      </c>
    </row>
    <row r="22" spans="1:18" x14ac:dyDescent="0.3">
      <c r="A22" t="s">
        <v>129</v>
      </c>
      <c r="L22" t="s">
        <v>152</v>
      </c>
      <c r="M22" t="s">
        <v>65</v>
      </c>
      <c r="N22" t="s">
        <v>147</v>
      </c>
      <c r="P22" t="s">
        <v>147</v>
      </c>
      <c r="Q22" t="s">
        <v>44</v>
      </c>
      <c r="R22" t="s">
        <v>152</v>
      </c>
    </row>
    <row r="23" spans="1:18" x14ac:dyDescent="0.3">
      <c r="A23" t="s">
        <v>139</v>
      </c>
    </row>
    <row r="24" spans="1:18" x14ac:dyDescent="0.3">
      <c r="A24" t="s">
        <v>133</v>
      </c>
    </row>
    <row r="26" spans="1:18" x14ac:dyDescent="0.3">
      <c r="A26" t="s">
        <v>39</v>
      </c>
    </row>
    <row r="27" spans="1:18" x14ac:dyDescent="0.3">
      <c r="A27" t="s">
        <v>129</v>
      </c>
    </row>
    <row r="28" spans="1:18" x14ac:dyDescent="0.3">
      <c r="A28" t="s">
        <v>139</v>
      </c>
    </row>
    <row r="29" spans="1:18" x14ac:dyDescent="0.3">
      <c r="A29" t="s">
        <v>133</v>
      </c>
    </row>
    <row r="30" spans="1:18" x14ac:dyDescent="0.3">
      <c r="A30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873F-74D3-4FB8-8586-12AD8C8D62CE}">
  <dimension ref="A1:AT60"/>
  <sheetViews>
    <sheetView workbookViewId="0">
      <selection activeCell="AT5" sqref="AT5"/>
    </sheetView>
  </sheetViews>
  <sheetFormatPr defaultRowHeight="14.4" x14ac:dyDescent="0.3"/>
  <sheetData>
    <row r="1" spans="1:46" x14ac:dyDescent="0.3">
      <c r="A1" t="s">
        <v>158</v>
      </c>
      <c r="L1" t="s">
        <v>174</v>
      </c>
      <c r="W1" t="s">
        <v>188</v>
      </c>
      <c r="AH1" t="s">
        <v>192</v>
      </c>
      <c r="AS1" t="s">
        <v>70</v>
      </c>
    </row>
    <row r="2" spans="1:46" x14ac:dyDescent="0.3">
      <c r="A2" t="s">
        <v>72</v>
      </c>
      <c r="L2" t="s">
        <v>72</v>
      </c>
      <c r="W2" t="s">
        <v>1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H2" t="s">
        <v>72</v>
      </c>
      <c r="AS2" t="s">
        <v>164</v>
      </c>
      <c r="AT2">
        <v>1</v>
      </c>
    </row>
    <row r="3" spans="1:4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L3" t="s">
        <v>1</v>
      </c>
      <c r="M3" t="s">
        <v>2</v>
      </c>
      <c r="N3" t="s">
        <v>3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W3" s="1" t="s">
        <v>11</v>
      </c>
      <c r="X3" t="s">
        <v>179</v>
      </c>
      <c r="Y3" s="2">
        <f>AA3*3+AB3</f>
        <v>10</v>
      </c>
      <c r="Z3">
        <v>6</v>
      </c>
      <c r="AA3">
        <v>3</v>
      </c>
      <c r="AB3">
        <v>1</v>
      </c>
      <c r="AC3">
        <f>Z3-AA3-AB3</f>
        <v>2</v>
      </c>
      <c r="AD3">
        <v>13</v>
      </c>
      <c r="AE3">
        <v>11</v>
      </c>
      <c r="AF3">
        <f>AD3-AE3</f>
        <v>2</v>
      </c>
      <c r="AH3" t="s">
        <v>1</v>
      </c>
      <c r="AI3" t="s">
        <v>2</v>
      </c>
      <c r="AJ3" t="s">
        <v>3</v>
      </c>
      <c r="AK3" t="s">
        <v>4</v>
      </c>
      <c r="AL3" t="s">
        <v>5</v>
      </c>
      <c r="AM3" t="s">
        <v>6</v>
      </c>
      <c r="AN3" t="s">
        <v>7</v>
      </c>
      <c r="AO3" t="s">
        <v>8</v>
      </c>
      <c r="AP3" t="s">
        <v>9</v>
      </c>
      <c r="AQ3" t="s">
        <v>10</v>
      </c>
      <c r="AS3" t="s">
        <v>182</v>
      </c>
      <c r="AT3">
        <v>3</v>
      </c>
    </row>
    <row r="4" spans="1:46" x14ac:dyDescent="0.3">
      <c r="A4" s="1" t="s">
        <v>11</v>
      </c>
      <c r="B4" t="s">
        <v>167</v>
      </c>
      <c r="C4" s="2">
        <f>E4*3+F4</f>
        <v>9</v>
      </c>
      <c r="D4">
        <v>4</v>
      </c>
      <c r="E4">
        <v>3</v>
      </c>
      <c r="F4">
        <v>0</v>
      </c>
      <c r="G4">
        <f>D4-E4-F4</f>
        <v>1</v>
      </c>
      <c r="H4">
        <v>7</v>
      </c>
      <c r="I4">
        <v>3</v>
      </c>
      <c r="J4">
        <f>H4-I4</f>
        <v>4</v>
      </c>
      <c r="L4" s="1" t="s">
        <v>11</v>
      </c>
      <c r="M4" t="s">
        <v>175</v>
      </c>
      <c r="N4" s="2">
        <f>P4*3+Q4</f>
        <v>15</v>
      </c>
      <c r="O4">
        <v>8</v>
      </c>
      <c r="P4">
        <v>5</v>
      </c>
      <c r="Q4">
        <v>0</v>
      </c>
      <c r="R4">
        <f>O4-P4-Q4</f>
        <v>3</v>
      </c>
      <c r="S4">
        <v>10</v>
      </c>
      <c r="T4">
        <v>8</v>
      </c>
      <c r="U4">
        <f>S4-T4</f>
        <v>2</v>
      </c>
      <c r="W4" s="1" t="s">
        <v>13</v>
      </c>
      <c r="X4" t="s">
        <v>190</v>
      </c>
      <c r="Y4" s="2">
        <f>AA4*3+AB4</f>
        <v>10</v>
      </c>
      <c r="Z4">
        <v>6</v>
      </c>
      <c r="AA4">
        <v>3</v>
      </c>
      <c r="AB4">
        <v>1</v>
      </c>
      <c r="AC4">
        <f t="shared" ref="AC4:AC6" si="0">Z4-AA4-AB4</f>
        <v>2</v>
      </c>
      <c r="AD4">
        <v>13</v>
      </c>
      <c r="AE4">
        <v>14</v>
      </c>
      <c r="AF4">
        <f t="shared" ref="AF4:AF6" si="1">AD4-AE4</f>
        <v>-1</v>
      </c>
      <c r="AH4" s="1" t="s">
        <v>11</v>
      </c>
      <c r="AI4" t="s">
        <v>168</v>
      </c>
      <c r="AJ4" s="2">
        <f t="shared" ref="AJ4:AJ9" si="2">AL4*3+AM4</f>
        <v>15</v>
      </c>
      <c r="AK4">
        <v>5</v>
      </c>
      <c r="AL4">
        <v>5</v>
      </c>
      <c r="AM4">
        <v>0</v>
      </c>
      <c r="AN4">
        <f>AK4-AL4-AM4</f>
        <v>0</v>
      </c>
      <c r="AO4">
        <v>8</v>
      </c>
      <c r="AP4">
        <v>1</v>
      </c>
      <c r="AQ4">
        <f>AO4-AP4</f>
        <v>7</v>
      </c>
      <c r="AS4" t="s">
        <v>190</v>
      </c>
      <c r="AT4">
        <v>3</v>
      </c>
    </row>
    <row r="5" spans="1:46" x14ac:dyDescent="0.3">
      <c r="A5" s="1" t="s">
        <v>13</v>
      </c>
      <c r="B5" t="s">
        <v>165</v>
      </c>
      <c r="C5" s="2">
        <f>E5*3+F5</f>
        <v>7</v>
      </c>
      <c r="D5">
        <v>4</v>
      </c>
      <c r="E5">
        <v>2</v>
      </c>
      <c r="F5">
        <v>1</v>
      </c>
      <c r="G5">
        <f t="shared" ref="G5:G8" si="3">D5-E5-F5</f>
        <v>1</v>
      </c>
      <c r="H5">
        <v>7</v>
      </c>
      <c r="I5">
        <v>7</v>
      </c>
      <c r="J5">
        <f t="shared" ref="J5:J8" si="4">H5-I5</f>
        <v>0</v>
      </c>
      <c r="L5" s="4" t="s">
        <v>13</v>
      </c>
      <c r="M5" t="s">
        <v>184</v>
      </c>
      <c r="N5" s="2">
        <f>P5*3+Q5</f>
        <v>13</v>
      </c>
      <c r="O5">
        <v>8</v>
      </c>
      <c r="P5">
        <v>4</v>
      </c>
      <c r="Q5">
        <v>1</v>
      </c>
      <c r="R5">
        <f t="shared" ref="R5:R8" si="5">O5-P5-Q5</f>
        <v>3</v>
      </c>
      <c r="S5">
        <v>10</v>
      </c>
      <c r="T5">
        <v>9</v>
      </c>
      <c r="U5">
        <f t="shared" ref="U5:U8" si="6">S5-T5</f>
        <v>1</v>
      </c>
      <c r="W5" t="s">
        <v>15</v>
      </c>
      <c r="X5" t="s">
        <v>178</v>
      </c>
      <c r="Y5" s="2">
        <f>AA5*3+AB5</f>
        <v>7</v>
      </c>
      <c r="Z5">
        <v>6</v>
      </c>
      <c r="AA5">
        <v>2</v>
      </c>
      <c r="AB5">
        <v>1</v>
      </c>
      <c r="AC5">
        <f t="shared" si="0"/>
        <v>3</v>
      </c>
      <c r="AD5">
        <v>8</v>
      </c>
      <c r="AE5">
        <v>8</v>
      </c>
      <c r="AF5">
        <f t="shared" si="1"/>
        <v>0</v>
      </c>
      <c r="AH5" s="4" t="s">
        <v>13</v>
      </c>
      <c r="AI5" t="s">
        <v>161</v>
      </c>
      <c r="AJ5" s="2">
        <f t="shared" si="2"/>
        <v>10</v>
      </c>
      <c r="AK5">
        <v>5</v>
      </c>
      <c r="AL5">
        <v>3</v>
      </c>
      <c r="AM5">
        <v>1</v>
      </c>
      <c r="AN5">
        <f t="shared" ref="AN5:AN9" si="7">AK5-AL5-AM5</f>
        <v>1</v>
      </c>
      <c r="AO5">
        <v>6</v>
      </c>
      <c r="AP5">
        <v>3</v>
      </c>
      <c r="AQ5">
        <f t="shared" ref="AQ5:AQ9" si="8">AO5-AP5</f>
        <v>3</v>
      </c>
      <c r="AS5" t="s">
        <v>42</v>
      </c>
      <c r="AT5">
        <v>1</v>
      </c>
    </row>
    <row r="6" spans="1:46" x14ac:dyDescent="0.3">
      <c r="A6" s="1" t="s">
        <v>15</v>
      </c>
      <c r="B6" t="s">
        <v>173</v>
      </c>
      <c r="C6" s="2">
        <f>E6*3+F6</f>
        <v>6</v>
      </c>
      <c r="D6">
        <v>4</v>
      </c>
      <c r="E6">
        <v>2</v>
      </c>
      <c r="F6">
        <v>0</v>
      </c>
      <c r="G6">
        <f t="shared" si="3"/>
        <v>2</v>
      </c>
      <c r="H6">
        <v>7</v>
      </c>
      <c r="I6">
        <v>7</v>
      </c>
      <c r="J6">
        <f t="shared" si="4"/>
        <v>0</v>
      </c>
      <c r="L6" s="4" t="s">
        <v>15</v>
      </c>
      <c r="M6" t="s">
        <v>180</v>
      </c>
      <c r="N6" s="2">
        <f>P6*3+Q6</f>
        <v>10</v>
      </c>
      <c r="O6">
        <v>8</v>
      </c>
      <c r="P6">
        <v>3</v>
      </c>
      <c r="Q6">
        <v>1</v>
      </c>
      <c r="R6">
        <f t="shared" si="5"/>
        <v>4</v>
      </c>
      <c r="S6">
        <v>9</v>
      </c>
      <c r="T6">
        <v>11</v>
      </c>
      <c r="U6">
        <f t="shared" si="6"/>
        <v>-2</v>
      </c>
      <c r="W6" t="s">
        <v>17</v>
      </c>
      <c r="X6" t="s">
        <v>189</v>
      </c>
      <c r="Y6" s="2">
        <f>AA6*3+AB6</f>
        <v>7</v>
      </c>
      <c r="Z6">
        <v>6</v>
      </c>
      <c r="AA6">
        <v>2</v>
      </c>
      <c r="AB6">
        <v>1</v>
      </c>
      <c r="AC6">
        <f t="shared" si="0"/>
        <v>3</v>
      </c>
      <c r="AD6">
        <v>9</v>
      </c>
      <c r="AE6">
        <v>10</v>
      </c>
      <c r="AF6">
        <f t="shared" si="1"/>
        <v>-1</v>
      </c>
      <c r="AH6" s="4" t="s">
        <v>15</v>
      </c>
      <c r="AI6" t="s">
        <v>165</v>
      </c>
      <c r="AJ6" s="2">
        <f t="shared" si="2"/>
        <v>7</v>
      </c>
      <c r="AK6">
        <v>5</v>
      </c>
      <c r="AL6">
        <v>2</v>
      </c>
      <c r="AM6">
        <v>1</v>
      </c>
      <c r="AN6">
        <f t="shared" si="7"/>
        <v>2</v>
      </c>
      <c r="AO6">
        <v>6</v>
      </c>
      <c r="AP6">
        <v>6</v>
      </c>
      <c r="AQ6">
        <f t="shared" si="8"/>
        <v>0</v>
      </c>
    </row>
    <row r="7" spans="1:46" x14ac:dyDescent="0.3">
      <c r="A7" s="5" t="s">
        <v>17</v>
      </c>
      <c r="B7" t="s">
        <v>160</v>
      </c>
      <c r="C7" s="2">
        <f>E7*3+F7</f>
        <v>6</v>
      </c>
      <c r="D7">
        <v>4</v>
      </c>
      <c r="E7">
        <v>2</v>
      </c>
      <c r="F7">
        <v>0</v>
      </c>
      <c r="G7">
        <f t="shared" si="3"/>
        <v>2</v>
      </c>
      <c r="H7">
        <v>7</v>
      </c>
      <c r="I7">
        <v>7</v>
      </c>
      <c r="J7">
        <f t="shared" si="4"/>
        <v>0</v>
      </c>
      <c r="L7" s="5" t="s">
        <v>17</v>
      </c>
      <c r="M7" t="s">
        <v>177</v>
      </c>
      <c r="N7" s="2">
        <f>P7*3+Q7</f>
        <v>9</v>
      </c>
      <c r="O7">
        <v>8</v>
      </c>
      <c r="P7">
        <v>2</v>
      </c>
      <c r="Q7">
        <v>3</v>
      </c>
      <c r="R7">
        <f t="shared" si="5"/>
        <v>3</v>
      </c>
      <c r="S7">
        <v>8</v>
      </c>
      <c r="T7">
        <v>8</v>
      </c>
      <c r="U7">
        <f t="shared" si="6"/>
        <v>0</v>
      </c>
      <c r="AH7" t="s">
        <v>17</v>
      </c>
      <c r="AI7" t="s">
        <v>159</v>
      </c>
      <c r="AJ7" s="2">
        <f t="shared" si="2"/>
        <v>6</v>
      </c>
      <c r="AK7">
        <v>5</v>
      </c>
      <c r="AL7">
        <v>2</v>
      </c>
      <c r="AM7">
        <v>0</v>
      </c>
      <c r="AN7">
        <f t="shared" si="7"/>
        <v>3</v>
      </c>
      <c r="AO7">
        <v>7</v>
      </c>
      <c r="AP7">
        <v>9</v>
      </c>
      <c r="AQ7">
        <f t="shared" si="8"/>
        <v>-2</v>
      </c>
    </row>
    <row r="8" spans="1:46" x14ac:dyDescent="0.3">
      <c r="A8" s="5" t="s">
        <v>19</v>
      </c>
      <c r="B8" t="s">
        <v>168</v>
      </c>
      <c r="C8" s="2">
        <f>E8*3+F8</f>
        <v>1</v>
      </c>
      <c r="D8">
        <v>4</v>
      </c>
      <c r="E8">
        <v>0</v>
      </c>
      <c r="F8">
        <v>1</v>
      </c>
      <c r="G8">
        <f t="shared" si="3"/>
        <v>3</v>
      </c>
      <c r="H8">
        <v>4</v>
      </c>
      <c r="I8">
        <v>8</v>
      </c>
      <c r="J8">
        <f t="shared" si="4"/>
        <v>-4</v>
      </c>
      <c r="L8" s="5" t="s">
        <v>19</v>
      </c>
      <c r="M8" t="s">
        <v>176</v>
      </c>
      <c r="N8" s="2">
        <f>P8*3+Q8</f>
        <v>9</v>
      </c>
      <c r="O8">
        <v>8</v>
      </c>
      <c r="P8">
        <v>2</v>
      </c>
      <c r="Q8">
        <v>3</v>
      </c>
      <c r="R8">
        <f t="shared" si="5"/>
        <v>3</v>
      </c>
      <c r="S8">
        <v>9</v>
      </c>
      <c r="T8">
        <v>10</v>
      </c>
      <c r="U8">
        <f t="shared" si="6"/>
        <v>-1</v>
      </c>
      <c r="W8" t="s">
        <v>33</v>
      </c>
      <c r="AH8" t="s">
        <v>19</v>
      </c>
      <c r="AI8" t="s">
        <v>163</v>
      </c>
      <c r="AJ8" s="2">
        <f t="shared" si="2"/>
        <v>6</v>
      </c>
      <c r="AK8">
        <v>5</v>
      </c>
      <c r="AL8">
        <v>2</v>
      </c>
      <c r="AM8">
        <v>0</v>
      </c>
      <c r="AN8">
        <f>AK8-AL8-AM8</f>
        <v>3</v>
      </c>
      <c r="AO8">
        <v>5</v>
      </c>
      <c r="AP8">
        <v>7</v>
      </c>
      <c r="AQ8">
        <f>AO8-AP8</f>
        <v>-2</v>
      </c>
    </row>
    <row r="9" spans="1:46" x14ac:dyDescent="0.3">
      <c r="W9" t="str">
        <f>X4</f>
        <v>Pacatuba</v>
      </c>
      <c r="X9" t="s">
        <v>31</v>
      </c>
      <c r="Y9" t="str">
        <f>X3</f>
        <v>Guarani</v>
      </c>
      <c r="AA9" t="str">
        <f>X3</f>
        <v>Guarani</v>
      </c>
      <c r="AB9" t="s">
        <v>191</v>
      </c>
      <c r="AC9" t="str">
        <f>X4</f>
        <v>Pacatuba</v>
      </c>
      <c r="AH9" t="s">
        <v>21</v>
      </c>
      <c r="AI9" t="s">
        <v>177</v>
      </c>
      <c r="AJ9" s="2">
        <f t="shared" si="2"/>
        <v>0</v>
      </c>
      <c r="AK9">
        <v>5</v>
      </c>
      <c r="AL9">
        <v>0</v>
      </c>
      <c r="AM9">
        <v>0</v>
      </c>
      <c r="AN9">
        <f t="shared" si="7"/>
        <v>5</v>
      </c>
      <c r="AO9">
        <v>4</v>
      </c>
      <c r="AP9">
        <v>10</v>
      </c>
      <c r="AQ9">
        <f t="shared" si="8"/>
        <v>-6</v>
      </c>
    </row>
    <row r="10" spans="1:46" x14ac:dyDescent="0.3">
      <c r="A10" t="s">
        <v>73</v>
      </c>
      <c r="L10" t="s">
        <v>73</v>
      </c>
    </row>
    <row r="11" spans="1:46" x14ac:dyDescent="0.3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L11" t="s">
        <v>1</v>
      </c>
      <c r="M11" t="s">
        <v>2</v>
      </c>
      <c r="N11" t="s">
        <v>3</v>
      </c>
      <c r="O11" t="s">
        <v>4</v>
      </c>
      <c r="P11" t="s">
        <v>5</v>
      </c>
      <c r="Q11" t="s">
        <v>6</v>
      </c>
      <c r="R11" t="s">
        <v>7</v>
      </c>
      <c r="S11" t="s">
        <v>8</v>
      </c>
      <c r="T11" t="s">
        <v>9</v>
      </c>
      <c r="U11" t="s">
        <v>10</v>
      </c>
      <c r="AH11" t="s">
        <v>73</v>
      </c>
    </row>
    <row r="12" spans="1:46" x14ac:dyDescent="0.3">
      <c r="A12" s="1" t="s">
        <v>11</v>
      </c>
      <c r="B12" t="s">
        <v>164</v>
      </c>
      <c r="C12" s="2">
        <f>E12*3+F12</f>
        <v>10</v>
      </c>
      <c r="D12">
        <v>4</v>
      </c>
      <c r="E12">
        <v>3</v>
      </c>
      <c r="F12">
        <v>1</v>
      </c>
      <c r="G12">
        <f>D12-E12-F12</f>
        <v>0</v>
      </c>
      <c r="H12">
        <v>8</v>
      </c>
      <c r="I12">
        <v>3</v>
      </c>
      <c r="J12">
        <f>H12-I12</f>
        <v>5</v>
      </c>
      <c r="L12" s="1" t="s">
        <v>11</v>
      </c>
      <c r="M12" t="s">
        <v>183</v>
      </c>
      <c r="N12" s="2">
        <f>P12*3+Q12</f>
        <v>19</v>
      </c>
      <c r="O12">
        <v>8</v>
      </c>
      <c r="P12">
        <v>6</v>
      </c>
      <c r="Q12">
        <v>1</v>
      </c>
      <c r="R12">
        <f>O12-P12-Q12</f>
        <v>1</v>
      </c>
      <c r="S12">
        <v>13</v>
      </c>
      <c r="T12">
        <v>5</v>
      </c>
      <c r="U12">
        <f>S12-T12</f>
        <v>8</v>
      </c>
      <c r="AH12" t="s">
        <v>1</v>
      </c>
      <c r="AI12" t="s">
        <v>2</v>
      </c>
      <c r="AJ12" t="s">
        <v>3</v>
      </c>
      <c r="AK12" t="s">
        <v>4</v>
      </c>
      <c r="AL12" t="s">
        <v>5</v>
      </c>
      <c r="AM12" t="s">
        <v>6</v>
      </c>
      <c r="AN12" t="s">
        <v>7</v>
      </c>
      <c r="AO12" t="s">
        <v>8</v>
      </c>
      <c r="AP12" t="s">
        <v>9</v>
      </c>
      <c r="AQ12" t="s">
        <v>10</v>
      </c>
    </row>
    <row r="13" spans="1:46" x14ac:dyDescent="0.3">
      <c r="A13" s="1" t="s">
        <v>13</v>
      </c>
      <c r="B13" t="s">
        <v>159</v>
      </c>
      <c r="C13" s="2">
        <f>E13*3+F13</f>
        <v>10</v>
      </c>
      <c r="D13">
        <v>4</v>
      </c>
      <c r="E13">
        <v>3</v>
      </c>
      <c r="F13">
        <v>1</v>
      </c>
      <c r="G13">
        <f>D13-E13-F13</f>
        <v>0</v>
      </c>
      <c r="H13">
        <v>7</v>
      </c>
      <c r="I13">
        <v>2</v>
      </c>
      <c r="J13">
        <f>H13-I13</f>
        <v>5</v>
      </c>
      <c r="L13" s="4" t="s">
        <v>13</v>
      </c>
      <c r="M13" t="s">
        <v>182</v>
      </c>
      <c r="N13" s="2">
        <f>P13*3+Q13</f>
        <v>11</v>
      </c>
      <c r="O13">
        <v>8</v>
      </c>
      <c r="P13">
        <v>3</v>
      </c>
      <c r="Q13">
        <v>2</v>
      </c>
      <c r="R13">
        <f>O13-P13-Q13</f>
        <v>3</v>
      </c>
      <c r="S13">
        <v>10</v>
      </c>
      <c r="T13">
        <v>11</v>
      </c>
      <c r="U13">
        <f>S13-T13</f>
        <v>-1</v>
      </c>
      <c r="AH13" s="1" t="s">
        <v>11</v>
      </c>
      <c r="AI13" t="s">
        <v>160</v>
      </c>
      <c r="AJ13" s="2">
        <f t="shared" ref="AJ13:AJ18" si="9">AL13*3+AM13</f>
        <v>11</v>
      </c>
      <c r="AK13">
        <v>5</v>
      </c>
      <c r="AL13">
        <v>3</v>
      </c>
      <c r="AM13">
        <v>2</v>
      </c>
      <c r="AN13">
        <f>AK13-AL13-AM13</f>
        <v>0</v>
      </c>
      <c r="AO13">
        <v>7</v>
      </c>
      <c r="AP13">
        <v>2</v>
      </c>
      <c r="AQ13">
        <f>AO13-AP13</f>
        <v>5</v>
      </c>
    </row>
    <row r="14" spans="1:46" x14ac:dyDescent="0.3">
      <c r="A14" s="1" t="s">
        <v>15</v>
      </c>
      <c r="B14" t="s">
        <v>161</v>
      </c>
      <c r="C14" s="2">
        <f>E14*3+F14</f>
        <v>6</v>
      </c>
      <c r="D14">
        <v>4</v>
      </c>
      <c r="E14">
        <v>2</v>
      </c>
      <c r="F14">
        <v>0</v>
      </c>
      <c r="G14">
        <f>D14-E14-F14</f>
        <v>2</v>
      </c>
      <c r="H14">
        <v>4</v>
      </c>
      <c r="I14">
        <v>5</v>
      </c>
      <c r="J14">
        <f>H14-I14</f>
        <v>-1</v>
      </c>
      <c r="L14" s="4" t="s">
        <v>15</v>
      </c>
      <c r="M14" t="s">
        <v>163</v>
      </c>
      <c r="N14" s="2">
        <f>P14*3+Q14</f>
        <v>10</v>
      </c>
      <c r="O14">
        <v>8</v>
      </c>
      <c r="P14">
        <v>3</v>
      </c>
      <c r="Q14">
        <v>1</v>
      </c>
      <c r="R14">
        <f>O14-P14-Q14</f>
        <v>4</v>
      </c>
      <c r="S14">
        <v>9</v>
      </c>
      <c r="T14">
        <v>10</v>
      </c>
      <c r="U14">
        <f>S14-T14</f>
        <v>-1</v>
      </c>
      <c r="AH14" s="4" t="s">
        <v>13</v>
      </c>
      <c r="AI14" t="s">
        <v>42</v>
      </c>
      <c r="AJ14" s="2">
        <f t="shared" si="9"/>
        <v>9</v>
      </c>
      <c r="AK14">
        <v>5</v>
      </c>
      <c r="AL14">
        <v>3</v>
      </c>
      <c r="AM14">
        <v>0</v>
      </c>
      <c r="AN14">
        <f t="shared" ref="AN14:AN16" si="10">AK14-AL14-AM14</f>
        <v>2</v>
      </c>
      <c r="AO14">
        <v>7</v>
      </c>
      <c r="AP14">
        <v>4</v>
      </c>
      <c r="AQ14">
        <f t="shared" ref="AQ14:AQ16" si="11">AO14-AP14</f>
        <v>3</v>
      </c>
    </row>
    <row r="15" spans="1:46" x14ac:dyDescent="0.3">
      <c r="A15" s="5" t="s">
        <v>17</v>
      </c>
      <c r="B15" t="s">
        <v>166</v>
      </c>
      <c r="C15" s="2">
        <f>E15*3+F15</f>
        <v>3</v>
      </c>
      <c r="D15">
        <v>4</v>
      </c>
      <c r="E15">
        <v>1</v>
      </c>
      <c r="F15">
        <v>0</v>
      </c>
      <c r="G15">
        <f>D15-E15-F15</f>
        <v>3</v>
      </c>
      <c r="H15">
        <v>2</v>
      </c>
      <c r="I15">
        <v>5</v>
      </c>
      <c r="J15">
        <f>H15-I15</f>
        <v>-3</v>
      </c>
      <c r="L15" s="5" t="s">
        <v>17</v>
      </c>
      <c r="M15" t="s">
        <v>181</v>
      </c>
      <c r="N15" s="2">
        <f>P15*3+Q15</f>
        <v>8</v>
      </c>
      <c r="O15">
        <v>8</v>
      </c>
      <c r="P15">
        <v>2</v>
      </c>
      <c r="Q15">
        <v>2</v>
      </c>
      <c r="R15">
        <f>O15-P15-Q15</f>
        <v>4</v>
      </c>
      <c r="S15">
        <v>10</v>
      </c>
      <c r="T15">
        <v>12</v>
      </c>
      <c r="U15">
        <f>S15-T15</f>
        <v>-2</v>
      </c>
      <c r="AH15" s="4" t="s">
        <v>15</v>
      </c>
      <c r="AI15" t="s">
        <v>167</v>
      </c>
      <c r="AJ15" s="2">
        <f t="shared" si="9"/>
        <v>7</v>
      </c>
      <c r="AK15">
        <v>5</v>
      </c>
      <c r="AL15">
        <v>2</v>
      </c>
      <c r="AM15">
        <v>1</v>
      </c>
      <c r="AN15">
        <f t="shared" si="10"/>
        <v>2</v>
      </c>
      <c r="AO15">
        <v>5</v>
      </c>
      <c r="AP15">
        <v>3</v>
      </c>
      <c r="AQ15">
        <f t="shared" si="11"/>
        <v>2</v>
      </c>
    </row>
    <row r="16" spans="1:46" x14ac:dyDescent="0.3">
      <c r="A16" s="5" t="s">
        <v>19</v>
      </c>
      <c r="B16" t="s">
        <v>42</v>
      </c>
      <c r="C16" s="2">
        <f>E16*3+F16</f>
        <v>0</v>
      </c>
      <c r="D16">
        <v>4</v>
      </c>
      <c r="E16">
        <v>0</v>
      </c>
      <c r="F16">
        <v>0</v>
      </c>
      <c r="G16">
        <f>D16-E16-F16</f>
        <v>4</v>
      </c>
      <c r="H16">
        <v>0</v>
      </c>
      <c r="I16">
        <v>6</v>
      </c>
      <c r="J16">
        <f>H16-I16</f>
        <v>-6</v>
      </c>
      <c r="L16" s="5" t="s">
        <v>19</v>
      </c>
      <c r="M16" t="s">
        <v>162</v>
      </c>
      <c r="N16" s="2">
        <f>P16*3+Q16</f>
        <v>8</v>
      </c>
      <c r="O16">
        <v>8</v>
      </c>
      <c r="P16">
        <v>2</v>
      </c>
      <c r="Q16">
        <v>2</v>
      </c>
      <c r="R16">
        <f>O16-P16-Q16</f>
        <v>4</v>
      </c>
      <c r="S16">
        <v>10</v>
      </c>
      <c r="T16">
        <v>14</v>
      </c>
      <c r="U16">
        <f>S16-T16</f>
        <v>-4</v>
      </c>
      <c r="AH16" t="s">
        <v>17</v>
      </c>
      <c r="AI16" t="s">
        <v>162</v>
      </c>
      <c r="AJ16" s="2">
        <f t="shared" si="9"/>
        <v>6</v>
      </c>
      <c r="AK16">
        <v>5</v>
      </c>
      <c r="AL16">
        <v>2</v>
      </c>
      <c r="AM16">
        <v>0</v>
      </c>
      <c r="AN16">
        <f t="shared" si="10"/>
        <v>3</v>
      </c>
      <c r="AO16">
        <v>4</v>
      </c>
      <c r="AP16">
        <v>8</v>
      </c>
      <c r="AQ16">
        <f t="shared" si="11"/>
        <v>-4</v>
      </c>
    </row>
    <row r="17" spans="1:43" x14ac:dyDescent="0.3">
      <c r="AH17" t="s">
        <v>19</v>
      </c>
      <c r="AI17" t="s">
        <v>182</v>
      </c>
      <c r="AJ17" s="2">
        <f t="shared" si="9"/>
        <v>5</v>
      </c>
      <c r="AK17">
        <v>5</v>
      </c>
      <c r="AL17">
        <v>1</v>
      </c>
      <c r="AM17">
        <v>2</v>
      </c>
      <c r="AN17">
        <f>AK17-AL17-AM17</f>
        <v>2</v>
      </c>
      <c r="AO17">
        <v>3</v>
      </c>
      <c r="AP17">
        <v>4</v>
      </c>
      <c r="AQ17">
        <f>AO17-AP17</f>
        <v>-1</v>
      </c>
    </row>
    <row r="18" spans="1:43" x14ac:dyDescent="0.3">
      <c r="A18" t="s">
        <v>169</v>
      </c>
      <c r="L18" t="s">
        <v>86</v>
      </c>
      <c r="AH18" t="s">
        <v>21</v>
      </c>
      <c r="AI18" t="s">
        <v>173</v>
      </c>
      <c r="AJ18" s="2">
        <f t="shared" si="9"/>
        <v>4</v>
      </c>
      <c r="AK18">
        <v>5</v>
      </c>
      <c r="AL18">
        <v>1</v>
      </c>
      <c r="AM18">
        <v>1</v>
      </c>
      <c r="AN18">
        <f t="shared" ref="AN18" si="12">AK18-AL18-AM18</f>
        <v>3</v>
      </c>
      <c r="AO18">
        <v>2</v>
      </c>
      <c r="AP18">
        <v>7</v>
      </c>
      <c r="AQ18">
        <f t="shared" ref="AQ18" si="13">AO18-AP18</f>
        <v>-5</v>
      </c>
    </row>
    <row r="19" spans="1:43" x14ac:dyDescent="0.3">
      <c r="A19" t="s">
        <v>72</v>
      </c>
      <c r="L19" t="str">
        <f>M5</f>
        <v>Esporte Limoeiro</v>
      </c>
      <c r="M19" t="s">
        <v>30</v>
      </c>
      <c r="N19" t="str">
        <f>M14</f>
        <v>Maracanã</v>
      </c>
    </row>
    <row r="20" spans="1:43" x14ac:dyDescent="0.3">
      <c r="A20" t="s">
        <v>1</v>
      </c>
      <c r="B20" t="s">
        <v>2</v>
      </c>
      <c r="C20" t="s">
        <v>3</v>
      </c>
      <c r="D20" t="s">
        <v>4</v>
      </c>
      <c r="E20" t="s">
        <v>5</v>
      </c>
      <c r="F20" t="s">
        <v>6</v>
      </c>
      <c r="G20" t="s">
        <v>7</v>
      </c>
      <c r="H20" t="s">
        <v>8</v>
      </c>
      <c r="I20" t="s">
        <v>9</v>
      </c>
      <c r="J20" t="s">
        <v>10</v>
      </c>
      <c r="L20" t="str">
        <f>M13</f>
        <v>Itapipoca</v>
      </c>
      <c r="M20" t="s">
        <v>65</v>
      </c>
      <c r="N20" t="str">
        <f>M6</f>
        <v>Crateús</v>
      </c>
      <c r="AH20" t="s">
        <v>86</v>
      </c>
    </row>
    <row r="21" spans="1:43" x14ac:dyDescent="0.3">
      <c r="A21" s="1" t="s">
        <v>11</v>
      </c>
      <c r="B21" t="s">
        <v>173</v>
      </c>
      <c r="C21" s="2">
        <f>E21*3+F21</f>
        <v>6</v>
      </c>
      <c r="D21">
        <v>3</v>
      </c>
      <c r="E21">
        <v>2</v>
      </c>
      <c r="F21">
        <v>0</v>
      </c>
      <c r="G21">
        <f>D21-E21-F21</f>
        <v>1</v>
      </c>
      <c r="H21">
        <v>4</v>
      </c>
      <c r="I21">
        <v>3</v>
      </c>
      <c r="J21">
        <f>H21-I21</f>
        <v>1</v>
      </c>
      <c r="AH21" t="str">
        <f>AI5</f>
        <v>Quixadá</v>
      </c>
      <c r="AI21" t="s">
        <v>193</v>
      </c>
      <c r="AJ21" t="str">
        <f>AI15</f>
        <v>Ceará</v>
      </c>
    </row>
    <row r="22" spans="1:43" x14ac:dyDescent="0.3">
      <c r="A22" s="1" t="s">
        <v>13</v>
      </c>
      <c r="B22" t="s">
        <v>167</v>
      </c>
      <c r="C22" s="2">
        <f>E22*3+F22</f>
        <v>4</v>
      </c>
      <c r="D22">
        <v>3</v>
      </c>
      <c r="E22">
        <v>1</v>
      </c>
      <c r="F22">
        <v>1</v>
      </c>
      <c r="G22">
        <f>D22-E22-F22</f>
        <v>1</v>
      </c>
      <c r="H22">
        <v>4</v>
      </c>
      <c r="I22">
        <v>4</v>
      </c>
      <c r="J22">
        <f>H22-I22</f>
        <v>0</v>
      </c>
      <c r="L22" t="s">
        <v>27</v>
      </c>
      <c r="AH22" t="str">
        <f>AI14</f>
        <v>Atlético</v>
      </c>
      <c r="AI22" t="s">
        <v>36</v>
      </c>
      <c r="AJ22" t="str">
        <f>AI6</f>
        <v>Tirol</v>
      </c>
    </row>
    <row r="23" spans="1:43" x14ac:dyDescent="0.3">
      <c r="A23" t="s">
        <v>15</v>
      </c>
      <c r="B23" t="s">
        <v>165</v>
      </c>
      <c r="C23" s="2">
        <f>E23*3+F23</f>
        <v>1</v>
      </c>
      <c r="D23">
        <v>3</v>
      </c>
      <c r="E23">
        <v>0</v>
      </c>
      <c r="F23">
        <v>1</v>
      </c>
      <c r="G23">
        <f>D23-E23-F23</f>
        <v>2</v>
      </c>
      <c r="H23">
        <v>1</v>
      </c>
      <c r="I23">
        <v>6</v>
      </c>
      <c r="J23">
        <f>H23-I23</f>
        <v>-5</v>
      </c>
      <c r="L23" t="s">
        <v>182</v>
      </c>
      <c r="M23" t="s">
        <v>30</v>
      </c>
      <c r="N23" t="str">
        <f>M4</f>
        <v>Crato</v>
      </c>
      <c r="P23" t="str">
        <f>M4</f>
        <v>Crato</v>
      </c>
      <c r="Q23" t="s">
        <v>186</v>
      </c>
      <c r="R23" t="s">
        <v>182</v>
      </c>
    </row>
    <row r="24" spans="1:43" x14ac:dyDescent="0.3">
      <c r="C24" s="2"/>
      <c r="L24" t="s">
        <v>184</v>
      </c>
      <c r="M24" t="s">
        <v>65</v>
      </c>
      <c r="N24" t="str">
        <f>M12</f>
        <v>Vila Real</v>
      </c>
      <c r="P24" t="str">
        <f>M12</f>
        <v>Vila Real</v>
      </c>
      <c r="Q24" t="s">
        <v>44</v>
      </c>
      <c r="R24" t="s">
        <v>184</v>
      </c>
      <c r="AH24" t="s">
        <v>27</v>
      </c>
    </row>
    <row r="25" spans="1:43" x14ac:dyDescent="0.3">
      <c r="A25" t="s">
        <v>73</v>
      </c>
      <c r="C25" s="2"/>
      <c r="AH25" t="str">
        <f>AI4</f>
        <v>Iguatu</v>
      </c>
      <c r="AI25" t="s">
        <v>28</v>
      </c>
      <c r="AJ25" t="s">
        <v>42</v>
      </c>
    </row>
    <row r="26" spans="1:43" x14ac:dyDescent="0.3">
      <c r="A26" t="s">
        <v>1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  <c r="G26" t="s">
        <v>7</v>
      </c>
      <c r="H26" t="s">
        <v>8</v>
      </c>
      <c r="I26" t="s">
        <v>9</v>
      </c>
      <c r="J26" t="s">
        <v>10</v>
      </c>
      <c r="L26" t="s">
        <v>33</v>
      </c>
      <c r="AH26" t="str">
        <f>AI13</f>
        <v>Ferroviário</v>
      </c>
      <c r="AI26" t="s">
        <v>36</v>
      </c>
      <c r="AJ26" t="s">
        <v>167</v>
      </c>
    </row>
    <row r="27" spans="1:43" x14ac:dyDescent="0.3">
      <c r="A27" s="1" t="s">
        <v>11</v>
      </c>
      <c r="B27" t="s">
        <v>159</v>
      </c>
      <c r="C27" s="2">
        <f>E27*3+F27</f>
        <v>7</v>
      </c>
      <c r="D27">
        <v>3</v>
      </c>
      <c r="E27">
        <v>2</v>
      </c>
      <c r="F27">
        <v>1</v>
      </c>
      <c r="G27">
        <f>D27-E27-F27</f>
        <v>0</v>
      </c>
      <c r="H27">
        <v>7</v>
      </c>
      <c r="I27">
        <v>1</v>
      </c>
      <c r="J27">
        <f>H27-I27</f>
        <v>6</v>
      </c>
      <c r="L27" t="s">
        <v>182</v>
      </c>
      <c r="M27" t="s">
        <v>30</v>
      </c>
      <c r="N27" t="s">
        <v>184</v>
      </c>
      <c r="P27" t="s">
        <v>184</v>
      </c>
      <c r="Q27" t="s">
        <v>28</v>
      </c>
      <c r="R27" t="s">
        <v>182</v>
      </c>
    </row>
    <row r="28" spans="1:43" x14ac:dyDescent="0.3">
      <c r="A28" s="1" t="s">
        <v>13</v>
      </c>
      <c r="B28" t="s">
        <v>164</v>
      </c>
      <c r="C28" s="2">
        <f>E28*3+F28</f>
        <v>4</v>
      </c>
      <c r="D28">
        <v>3</v>
      </c>
      <c r="E28">
        <v>1</v>
      </c>
      <c r="F28">
        <v>1</v>
      </c>
      <c r="G28">
        <f t="shared" ref="G28:G29" si="14">D28-E28-F28</f>
        <v>1</v>
      </c>
      <c r="H28">
        <v>4</v>
      </c>
      <c r="I28">
        <v>1</v>
      </c>
      <c r="J28">
        <f t="shared" ref="J28:J29" si="15">H28-I28</f>
        <v>3</v>
      </c>
      <c r="AH28" t="s">
        <v>33</v>
      </c>
    </row>
    <row r="29" spans="1:43" x14ac:dyDescent="0.3">
      <c r="A29" t="s">
        <v>15</v>
      </c>
      <c r="B29" t="s">
        <v>161</v>
      </c>
      <c r="C29" s="2">
        <f>E29*3+F29</f>
        <v>3</v>
      </c>
      <c r="D29">
        <v>3</v>
      </c>
      <c r="E29">
        <v>1</v>
      </c>
      <c r="F29">
        <v>0</v>
      </c>
      <c r="G29">
        <f t="shared" si="14"/>
        <v>2</v>
      </c>
      <c r="H29">
        <v>2</v>
      </c>
      <c r="I29">
        <v>7</v>
      </c>
      <c r="J29">
        <f t="shared" si="15"/>
        <v>-5</v>
      </c>
      <c r="L29" t="s">
        <v>185</v>
      </c>
      <c r="AH29" t="s">
        <v>160</v>
      </c>
      <c r="AI29" t="s">
        <v>28</v>
      </c>
      <c r="AJ29" t="s">
        <v>42</v>
      </c>
    </row>
    <row r="30" spans="1:43" x14ac:dyDescent="0.3">
      <c r="L30" t="str">
        <f>M7</f>
        <v>Icasa</v>
      </c>
      <c r="M30" t="s">
        <v>28</v>
      </c>
      <c r="N30" t="str">
        <f>M16</f>
        <v>Horizonte</v>
      </c>
    </row>
    <row r="31" spans="1:43" x14ac:dyDescent="0.3">
      <c r="A31" t="s">
        <v>170</v>
      </c>
      <c r="L31" t="str">
        <f>M15</f>
        <v>Caucaia</v>
      </c>
      <c r="M31" t="s">
        <v>187</v>
      </c>
      <c r="N31" t="str">
        <f>M8</f>
        <v>Cariri</v>
      </c>
    </row>
    <row r="32" spans="1:43" x14ac:dyDescent="0.3">
      <c r="A32" t="s">
        <v>161</v>
      </c>
      <c r="B32" t="s">
        <v>54</v>
      </c>
      <c r="C32" t="s">
        <v>165</v>
      </c>
    </row>
    <row r="34" spans="1:10" x14ac:dyDescent="0.3">
      <c r="A34" t="s">
        <v>27</v>
      </c>
    </row>
    <row r="35" spans="1:10" x14ac:dyDescent="0.3">
      <c r="A35" t="str">
        <f>B28</f>
        <v>Maranguape</v>
      </c>
      <c r="B35" t="s">
        <v>30</v>
      </c>
      <c r="C35" t="str">
        <f>B21</f>
        <v>Guarany</v>
      </c>
      <c r="E35" t="str">
        <f>B21</f>
        <v>Guarany</v>
      </c>
      <c r="F35" t="s">
        <v>57</v>
      </c>
      <c r="G35" t="str">
        <f>B28</f>
        <v>Maranguape</v>
      </c>
    </row>
    <row r="36" spans="1:10" x14ac:dyDescent="0.3">
      <c r="A36" t="str">
        <f>B22</f>
        <v>Ceará</v>
      </c>
      <c r="B36" t="s">
        <v>31</v>
      </c>
      <c r="C36" t="str">
        <f>B27</f>
        <v>Fortaleza</v>
      </c>
      <c r="E36" t="str">
        <f>B27</f>
        <v>Fortaleza</v>
      </c>
      <c r="F36" t="s">
        <v>43</v>
      </c>
      <c r="G36" t="str">
        <f>B22</f>
        <v>Ceará</v>
      </c>
    </row>
    <row r="38" spans="1:10" x14ac:dyDescent="0.3">
      <c r="A38" t="s">
        <v>32</v>
      </c>
    </row>
    <row r="39" spans="1:10" x14ac:dyDescent="0.3">
      <c r="A39" t="s">
        <v>167</v>
      </c>
      <c r="B39" t="s">
        <v>171</v>
      </c>
      <c r="C39" t="s">
        <v>173</v>
      </c>
    </row>
    <row r="41" spans="1:10" x14ac:dyDescent="0.3">
      <c r="A41" t="s">
        <v>33</v>
      </c>
    </row>
    <row r="42" spans="1:10" x14ac:dyDescent="0.3">
      <c r="A42" t="s">
        <v>164</v>
      </c>
      <c r="B42" t="s">
        <v>29</v>
      </c>
      <c r="C42" t="s">
        <v>159</v>
      </c>
      <c r="E42" t="s">
        <v>159</v>
      </c>
      <c r="F42" t="s">
        <v>28</v>
      </c>
      <c r="G42" t="s">
        <v>164</v>
      </c>
    </row>
    <row r="44" spans="1:10" x14ac:dyDescent="0.3">
      <c r="A44" t="s">
        <v>172</v>
      </c>
    </row>
    <row r="45" spans="1:10" x14ac:dyDescent="0.3">
      <c r="A45" t="s">
        <v>1</v>
      </c>
      <c r="B45" t="s">
        <v>2</v>
      </c>
      <c r="C45" t="s">
        <v>3</v>
      </c>
      <c r="D45" t="s">
        <v>4</v>
      </c>
      <c r="E45" t="s">
        <v>5</v>
      </c>
      <c r="F45" t="s">
        <v>6</v>
      </c>
      <c r="G45" t="s">
        <v>7</v>
      </c>
      <c r="H45" t="s">
        <v>8</v>
      </c>
      <c r="I45" t="s">
        <v>9</v>
      </c>
      <c r="J45" t="s">
        <v>10</v>
      </c>
    </row>
    <row r="46" spans="1:10" x14ac:dyDescent="0.3">
      <c r="A46" t="s">
        <v>11</v>
      </c>
      <c r="B46" t="s">
        <v>168</v>
      </c>
      <c r="C46" s="2">
        <f>E46*3+F46</f>
        <v>6</v>
      </c>
      <c r="D46">
        <v>3</v>
      </c>
      <c r="E46">
        <v>2</v>
      </c>
      <c r="F46">
        <v>0</v>
      </c>
      <c r="G46">
        <f>D46-E46-F46</f>
        <v>1</v>
      </c>
      <c r="H46">
        <v>5</v>
      </c>
      <c r="I46">
        <v>1</v>
      </c>
      <c r="J46">
        <f>H46-I46</f>
        <v>4</v>
      </c>
    </row>
    <row r="47" spans="1:10" x14ac:dyDescent="0.3">
      <c r="A47" t="s">
        <v>13</v>
      </c>
      <c r="B47" t="s">
        <v>42</v>
      </c>
      <c r="C47" s="2">
        <f>E47*3+F47</f>
        <v>6</v>
      </c>
      <c r="D47">
        <v>3</v>
      </c>
      <c r="E47">
        <v>2</v>
      </c>
      <c r="F47">
        <v>0</v>
      </c>
      <c r="G47">
        <f t="shared" ref="G47:G49" si="16">D47-E47-F47</f>
        <v>1</v>
      </c>
      <c r="H47">
        <v>5</v>
      </c>
      <c r="I47">
        <v>3</v>
      </c>
      <c r="J47">
        <f t="shared" ref="J47:J49" si="17">H47-I47</f>
        <v>2</v>
      </c>
    </row>
    <row r="48" spans="1:10" x14ac:dyDescent="0.3">
      <c r="A48" s="3" t="s">
        <v>15</v>
      </c>
      <c r="B48" t="s">
        <v>166</v>
      </c>
      <c r="C48" s="2">
        <f>E48*3+F48</f>
        <v>3</v>
      </c>
      <c r="D48">
        <v>3</v>
      </c>
      <c r="E48">
        <v>1</v>
      </c>
      <c r="F48">
        <v>0</v>
      </c>
      <c r="G48">
        <f t="shared" si="16"/>
        <v>2</v>
      </c>
      <c r="H48">
        <v>1</v>
      </c>
      <c r="I48">
        <v>3</v>
      </c>
      <c r="J48">
        <f t="shared" si="17"/>
        <v>-2</v>
      </c>
    </row>
    <row r="49" spans="1:10" x14ac:dyDescent="0.3">
      <c r="A49" s="3" t="s">
        <v>17</v>
      </c>
      <c r="B49" t="s">
        <v>160</v>
      </c>
      <c r="C49" s="2">
        <f>E49*3+F49</f>
        <v>3</v>
      </c>
      <c r="D49">
        <v>3</v>
      </c>
      <c r="E49">
        <v>1</v>
      </c>
      <c r="F49">
        <v>0</v>
      </c>
      <c r="G49">
        <f t="shared" si="16"/>
        <v>2</v>
      </c>
      <c r="H49">
        <v>2</v>
      </c>
      <c r="I49">
        <v>6</v>
      </c>
      <c r="J49">
        <f t="shared" si="17"/>
        <v>-4</v>
      </c>
    </row>
    <row r="51" spans="1:10" x14ac:dyDescent="0.3">
      <c r="A51" t="s">
        <v>38</v>
      </c>
    </row>
    <row r="52" spans="1:10" x14ac:dyDescent="0.3">
      <c r="A52" t="s">
        <v>164</v>
      </c>
    </row>
    <row r="53" spans="1:10" x14ac:dyDescent="0.3">
      <c r="A53" t="s">
        <v>173</v>
      </c>
    </row>
    <row r="54" spans="1:10" x14ac:dyDescent="0.3">
      <c r="A54" t="s">
        <v>161</v>
      </c>
    </row>
    <row r="56" spans="1:10" x14ac:dyDescent="0.3">
      <c r="A56" t="s">
        <v>39</v>
      </c>
    </row>
    <row r="57" spans="1:10" x14ac:dyDescent="0.3">
      <c r="A57" t="s">
        <v>164</v>
      </c>
    </row>
    <row r="58" spans="1:10" x14ac:dyDescent="0.3">
      <c r="A58" t="s">
        <v>159</v>
      </c>
    </row>
    <row r="59" spans="1:10" x14ac:dyDescent="0.3">
      <c r="A59" t="s">
        <v>167</v>
      </c>
    </row>
    <row r="60" spans="1:10" x14ac:dyDescent="0.3">
      <c r="A60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8761-CD3D-40F9-8C72-B47610643663}">
  <dimension ref="A1:X28"/>
  <sheetViews>
    <sheetView workbookViewId="0">
      <selection activeCell="C3" sqref="C3:C12"/>
    </sheetView>
  </sheetViews>
  <sheetFormatPr defaultRowHeight="14.4" x14ac:dyDescent="0.3"/>
  <sheetData>
    <row r="1" spans="1:24" x14ac:dyDescent="0.3">
      <c r="A1" t="s">
        <v>194</v>
      </c>
      <c r="L1" t="s">
        <v>206</v>
      </c>
      <c r="W1" t="s">
        <v>70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51</v>
      </c>
      <c r="X2">
        <v>1</v>
      </c>
    </row>
    <row r="3" spans="1:24" x14ac:dyDescent="0.3">
      <c r="A3" s="1" t="s">
        <v>11</v>
      </c>
      <c r="B3" t="s">
        <v>51</v>
      </c>
      <c r="C3" s="2">
        <f t="shared" ref="C3:C12" si="0">E3*3+F3</f>
        <v>22</v>
      </c>
      <c r="D3">
        <v>9</v>
      </c>
      <c r="E3">
        <v>7</v>
      </c>
      <c r="F3">
        <v>1</v>
      </c>
      <c r="G3">
        <f>D3-E3-F3</f>
        <v>1</v>
      </c>
      <c r="H3">
        <v>23</v>
      </c>
      <c r="I3">
        <v>11</v>
      </c>
      <c r="J3">
        <f>H3-I3</f>
        <v>12</v>
      </c>
      <c r="L3" s="1" t="s">
        <v>11</v>
      </c>
      <c r="M3" t="s">
        <v>203</v>
      </c>
      <c r="N3" s="2">
        <f>P3*3+Q3</f>
        <v>14</v>
      </c>
      <c r="O3">
        <v>7</v>
      </c>
      <c r="P3">
        <v>4</v>
      </c>
      <c r="Q3">
        <v>2</v>
      </c>
      <c r="R3">
        <f>O3-P3-Q3</f>
        <v>1</v>
      </c>
      <c r="S3">
        <v>14</v>
      </c>
      <c r="T3">
        <v>9</v>
      </c>
      <c r="U3">
        <f>S3-T3</f>
        <v>5</v>
      </c>
      <c r="W3" t="s">
        <v>203</v>
      </c>
      <c r="X3">
        <v>1</v>
      </c>
    </row>
    <row r="4" spans="1:24" x14ac:dyDescent="0.3">
      <c r="A4" s="1" t="s">
        <v>13</v>
      </c>
      <c r="B4" t="s">
        <v>197</v>
      </c>
      <c r="C4" s="2">
        <f t="shared" si="0"/>
        <v>15</v>
      </c>
      <c r="D4">
        <v>9</v>
      </c>
      <c r="E4">
        <v>5</v>
      </c>
      <c r="F4">
        <v>0</v>
      </c>
      <c r="G4">
        <f t="shared" ref="G4:G12" si="1">D4-E4-F4</f>
        <v>4</v>
      </c>
      <c r="H4">
        <v>15</v>
      </c>
      <c r="I4">
        <v>13</v>
      </c>
      <c r="J4">
        <f t="shared" ref="J4:J12" si="2">H4-I4</f>
        <v>2</v>
      </c>
      <c r="L4" s="1" t="s">
        <v>13</v>
      </c>
      <c r="M4" t="s">
        <v>208</v>
      </c>
      <c r="N4" s="2">
        <f t="shared" ref="N4:N10" si="3">P4*3+Q4</f>
        <v>13</v>
      </c>
      <c r="O4">
        <v>7</v>
      </c>
      <c r="P4">
        <v>4</v>
      </c>
      <c r="Q4">
        <v>1</v>
      </c>
      <c r="R4">
        <f t="shared" ref="R4:R10" si="4">O4-P4-Q4</f>
        <v>2</v>
      </c>
      <c r="S4">
        <v>15</v>
      </c>
      <c r="T4">
        <v>9</v>
      </c>
      <c r="U4">
        <f t="shared" ref="U4:U10" si="5">S4-T4</f>
        <v>6</v>
      </c>
    </row>
    <row r="5" spans="1:24" x14ac:dyDescent="0.3">
      <c r="A5" s="1" t="s">
        <v>15</v>
      </c>
      <c r="B5" t="s">
        <v>195</v>
      </c>
      <c r="C5" s="2">
        <f t="shared" si="0"/>
        <v>15</v>
      </c>
      <c r="D5">
        <v>9</v>
      </c>
      <c r="E5">
        <v>5</v>
      </c>
      <c r="F5">
        <v>0</v>
      </c>
      <c r="G5">
        <f t="shared" si="1"/>
        <v>4</v>
      </c>
      <c r="H5">
        <v>12</v>
      </c>
      <c r="I5">
        <v>11</v>
      </c>
      <c r="J5">
        <f t="shared" si="2"/>
        <v>1</v>
      </c>
      <c r="L5" t="s">
        <v>15</v>
      </c>
      <c r="M5" t="s">
        <v>210</v>
      </c>
      <c r="N5" s="2">
        <f t="shared" si="3"/>
        <v>13</v>
      </c>
      <c r="O5">
        <v>7</v>
      </c>
      <c r="P5">
        <v>4</v>
      </c>
      <c r="Q5">
        <v>1</v>
      </c>
      <c r="R5">
        <f t="shared" si="4"/>
        <v>2</v>
      </c>
      <c r="S5">
        <v>9</v>
      </c>
      <c r="T5">
        <v>6</v>
      </c>
      <c r="U5">
        <f t="shared" si="5"/>
        <v>3</v>
      </c>
    </row>
    <row r="6" spans="1:24" x14ac:dyDescent="0.3">
      <c r="A6" s="1" t="s">
        <v>17</v>
      </c>
      <c r="B6" t="s">
        <v>201</v>
      </c>
      <c r="C6" s="2">
        <f t="shared" si="0"/>
        <v>15</v>
      </c>
      <c r="D6">
        <v>9</v>
      </c>
      <c r="E6">
        <v>4</v>
      </c>
      <c r="F6">
        <v>3</v>
      </c>
      <c r="G6">
        <f t="shared" si="1"/>
        <v>2</v>
      </c>
      <c r="H6">
        <v>17</v>
      </c>
      <c r="I6">
        <v>12</v>
      </c>
      <c r="J6">
        <f t="shared" si="2"/>
        <v>5</v>
      </c>
      <c r="L6" t="s">
        <v>17</v>
      </c>
      <c r="M6" t="s">
        <v>207</v>
      </c>
      <c r="N6" s="2">
        <f t="shared" si="3"/>
        <v>11</v>
      </c>
      <c r="O6">
        <v>7</v>
      </c>
      <c r="P6">
        <v>3</v>
      </c>
      <c r="Q6">
        <v>2</v>
      </c>
      <c r="R6">
        <f t="shared" si="4"/>
        <v>2</v>
      </c>
      <c r="S6">
        <v>7</v>
      </c>
      <c r="T6">
        <v>9</v>
      </c>
      <c r="U6">
        <f t="shared" si="5"/>
        <v>-2</v>
      </c>
    </row>
    <row r="7" spans="1:24" x14ac:dyDescent="0.3">
      <c r="A7" t="s">
        <v>19</v>
      </c>
      <c r="B7" t="s">
        <v>200</v>
      </c>
      <c r="C7" s="2">
        <f t="shared" si="0"/>
        <v>15</v>
      </c>
      <c r="D7">
        <v>9</v>
      </c>
      <c r="E7">
        <v>4</v>
      </c>
      <c r="F7">
        <v>3</v>
      </c>
      <c r="G7">
        <f t="shared" si="1"/>
        <v>2</v>
      </c>
      <c r="H7">
        <v>14</v>
      </c>
      <c r="I7">
        <v>12</v>
      </c>
      <c r="J7">
        <f t="shared" si="2"/>
        <v>2</v>
      </c>
      <c r="L7" t="s">
        <v>19</v>
      </c>
      <c r="M7" t="s">
        <v>211</v>
      </c>
      <c r="N7" s="2">
        <f t="shared" si="3"/>
        <v>10</v>
      </c>
      <c r="O7">
        <v>7</v>
      </c>
      <c r="P7">
        <v>3</v>
      </c>
      <c r="Q7">
        <v>1</v>
      </c>
      <c r="R7">
        <f t="shared" si="4"/>
        <v>3</v>
      </c>
      <c r="S7">
        <v>11</v>
      </c>
      <c r="T7">
        <v>11</v>
      </c>
      <c r="U7">
        <f t="shared" si="5"/>
        <v>0</v>
      </c>
    </row>
    <row r="8" spans="1:24" x14ac:dyDescent="0.3">
      <c r="A8" t="s">
        <v>21</v>
      </c>
      <c r="B8" t="s">
        <v>194</v>
      </c>
      <c r="C8" s="2">
        <f t="shared" si="0"/>
        <v>13</v>
      </c>
      <c r="D8">
        <v>9</v>
      </c>
      <c r="E8">
        <v>4</v>
      </c>
      <c r="F8">
        <v>1</v>
      </c>
      <c r="G8">
        <f t="shared" si="1"/>
        <v>4</v>
      </c>
      <c r="H8">
        <v>16</v>
      </c>
      <c r="I8">
        <v>17</v>
      </c>
      <c r="J8">
        <f t="shared" si="2"/>
        <v>-1</v>
      </c>
      <c r="L8" t="s">
        <v>21</v>
      </c>
      <c r="M8" t="s">
        <v>202</v>
      </c>
      <c r="N8" s="2">
        <f t="shared" si="3"/>
        <v>8</v>
      </c>
      <c r="O8">
        <v>7</v>
      </c>
      <c r="P8">
        <v>2</v>
      </c>
      <c r="Q8">
        <v>2</v>
      </c>
      <c r="R8">
        <f t="shared" si="4"/>
        <v>3</v>
      </c>
      <c r="S8">
        <v>7</v>
      </c>
      <c r="T8">
        <v>7</v>
      </c>
      <c r="U8">
        <f t="shared" si="5"/>
        <v>0</v>
      </c>
    </row>
    <row r="9" spans="1:24" x14ac:dyDescent="0.3">
      <c r="A9" t="s">
        <v>23</v>
      </c>
      <c r="B9" t="s">
        <v>204</v>
      </c>
      <c r="C9" s="2">
        <f t="shared" si="0"/>
        <v>12</v>
      </c>
      <c r="D9">
        <v>9</v>
      </c>
      <c r="E9">
        <v>4</v>
      </c>
      <c r="F9">
        <v>0</v>
      </c>
      <c r="G9">
        <f>D9-E9-F9</f>
        <v>5</v>
      </c>
      <c r="H9">
        <v>12</v>
      </c>
      <c r="I9">
        <v>16</v>
      </c>
      <c r="J9">
        <f t="shared" si="2"/>
        <v>-4</v>
      </c>
      <c r="L9" t="s">
        <v>23</v>
      </c>
      <c r="M9" t="s">
        <v>209</v>
      </c>
      <c r="N9" s="2">
        <f t="shared" si="3"/>
        <v>7</v>
      </c>
      <c r="O9">
        <v>7</v>
      </c>
      <c r="P9">
        <v>2</v>
      </c>
      <c r="Q9">
        <v>1</v>
      </c>
      <c r="R9">
        <f t="shared" si="4"/>
        <v>4</v>
      </c>
      <c r="S9">
        <v>6</v>
      </c>
      <c r="T9">
        <v>12</v>
      </c>
      <c r="U9">
        <f t="shared" si="5"/>
        <v>-6</v>
      </c>
    </row>
    <row r="10" spans="1:24" x14ac:dyDescent="0.3">
      <c r="A10" t="s">
        <v>25</v>
      </c>
      <c r="B10" t="s">
        <v>198</v>
      </c>
      <c r="C10" s="2">
        <f t="shared" si="0"/>
        <v>11</v>
      </c>
      <c r="D10">
        <v>9</v>
      </c>
      <c r="E10">
        <v>3</v>
      </c>
      <c r="F10">
        <v>2</v>
      </c>
      <c r="G10">
        <f t="shared" si="1"/>
        <v>4</v>
      </c>
      <c r="H10">
        <v>13</v>
      </c>
      <c r="I10">
        <v>13</v>
      </c>
      <c r="J10">
        <f t="shared" si="2"/>
        <v>0</v>
      </c>
      <c r="L10" t="s">
        <v>25</v>
      </c>
      <c r="M10" t="s">
        <v>212</v>
      </c>
      <c r="N10" s="2">
        <f t="shared" si="3"/>
        <v>3</v>
      </c>
      <c r="O10">
        <v>7</v>
      </c>
      <c r="P10">
        <v>1</v>
      </c>
      <c r="Q10">
        <v>0</v>
      </c>
      <c r="R10">
        <f t="shared" si="4"/>
        <v>6</v>
      </c>
      <c r="S10">
        <v>4</v>
      </c>
      <c r="T10">
        <v>10</v>
      </c>
      <c r="U10">
        <f t="shared" si="5"/>
        <v>-6</v>
      </c>
    </row>
    <row r="11" spans="1:24" x14ac:dyDescent="0.3">
      <c r="A11" s="3" t="s">
        <v>66</v>
      </c>
      <c r="B11" t="s">
        <v>196</v>
      </c>
      <c r="C11" s="2">
        <f t="shared" si="0"/>
        <v>10</v>
      </c>
      <c r="D11">
        <v>9</v>
      </c>
      <c r="E11">
        <v>3</v>
      </c>
      <c r="F11">
        <v>1</v>
      </c>
      <c r="G11">
        <f t="shared" si="1"/>
        <v>5</v>
      </c>
      <c r="H11">
        <v>10</v>
      </c>
      <c r="I11">
        <v>13</v>
      </c>
      <c r="J11">
        <f t="shared" si="2"/>
        <v>-3</v>
      </c>
    </row>
    <row r="12" spans="1:24" x14ac:dyDescent="0.3">
      <c r="A12" s="3" t="s">
        <v>137</v>
      </c>
      <c r="B12" t="s">
        <v>199</v>
      </c>
      <c r="C12" s="2">
        <f t="shared" si="0"/>
        <v>1</v>
      </c>
      <c r="D12">
        <v>9</v>
      </c>
      <c r="E12">
        <v>0</v>
      </c>
      <c r="F12">
        <v>1</v>
      </c>
      <c r="G12">
        <f t="shared" si="1"/>
        <v>8</v>
      </c>
      <c r="H12">
        <v>8</v>
      </c>
      <c r="I12">
        <v>22</v>
      </c>
      <c r="J12">
        <f t="shared" si="2"/>
        <v>-14</v>
      </c>
    </row>
    <row r="14" spans="1:24" x14ac:dyDescent="0.3">
      <c r="A14" t="s">
        <v>27</v>
      </c>
    </row>
    <row r="15" spans="1:24" x14ac:dyDescent="0.3">
      <c r="A15" t="str">
        <f>B6</f>
        <v>Brasília</v>
      </c>
      <c r="B15" t="s">
        <v>69</v>
      </c>
      <c r="C15" t="str">
        <f>B3</f>
        <v>Cruzeiro</v>
      </c>
      <c r="E15" t="str">
        <f>B3</f>
        <v>Cruzeiro</v>
      </c>
      <c r="F15" t="s">
        <v>43</v>
      </c>
      <c r="G15" t="str">
        <f>B6</f>
        <v>Brasília</v>
      </c>
    </row>
    <row r="16" spans="1:24" x14ac:dyDescent="0.3">
      <c r="A16" t="str">
        <f>B5</f>
        <v>Sobradinho</v>
      </c>
      <c r="B16" t="s">
        <v>30</v>
      </c>
      <c r="C16" t="str">
        <f>B4</f>
        <v>Real Brasília</v>
      </c>
      <c r="E16" t="str">
        <f>B4</f>
        <v>Real Brasília</v>
      </c>
      <c r="F16" t="s">
        <v>28</v>
      </c>
      <c r="G16" t="str">
        <f>B5</f>
        <v>Sobradinho</v>
      </c>
    </row>
    <row r="18" spans="1:3" x14ac:dyDescent="0.3">
      <c r="A18" t="s">
        <v>33</v>
      </c>
    </row>
    <row r="19" spans="1:3" x14ac:dyDescent="0.3">
      <c r="A19" t="s">
        <v>51</v>
      </c>
      <c r="B19" t="s">
        <v>205</v>
      </c>
      <c r="C19" t="s">
        <v>195</v>
      </c>
    </row>
    <row r="21" spans="1:3" x14ac:dyDescent="0.3">
      <c r="A21" t="s">
        <v>38</v>
      </c>
    </row>
    <row r="22" spans="1:3" x14ac:dyDescent="0.3">
      <c r="A22" t="s">
        <v>51</v>
      </c>
    </row>
    <row r="23" spans="1:3" x14ac:dyDescent="0.3">
      <c r="A23" t="s">
        <v>195</v>
      </c>
    </row>
    <row r="25" spans="1:3" x14ac:dyDescent="0.3">
      <c r="A25" t="s">
        <v>39</v>
      </c>
    </row>
    <row r="26" spans="1:3" x14ac:dyDescent="0.3">
      <c r="A26" t="s">
        <v>51</v>
      </c>
    </row>
    <row r="27" spans="1:3" x14ac:dyDescent="0.3">
      <c r="A27" t="s">
        <v>195</v>
      </c>
    </row>
    <row r="28" spans="1:3" x14ac:dyDescent="0.3">
      <c r="A28" t="s">
        <v>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01C3-748D-448B-A218-7CF7644AF4C1}">
  <dimension ref="A1:AI34"/>
  <sheetViews>
    <sheetView workbookViewId="0">
      <selection activeCell="C3" sqref="C3:C6"/>
    </sheetView>
  </sheetViews>
  <sheetFormatPr defaultRowHeight="14.4" x14ac:dyDescent="0.3"/>
  <sheetData>
    <row r="1" spans="1:35" x14ac:dyDescent="0.3">
      <c r="A1" t="s">
        <v>213</v>
      </c>
      <c r="L1" t="s">
        <v>226</v>
      </c>
      <c r="W1" t="s">
        <v>238</v>
      </c>
      <c r="AH1" t="s">
        <v>70</v>
      </c>
    </row>
    <row r="2" spans="1:3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72</v>
      </c>
      <c r="W2" t="s">
        <v>1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H2" t="s">
        <v>213</v>
      </c>
      <c r="AI2">
        <v>1</v>
      </c>
    </row>
    <row r="3" spans="1:35" x14ac:dyDescent="0.3">
      <c r="A3" s="1" t="s">
        <v>11</v>
      </c>
      <c r="B3" t="s">
        <v>218</v>
      </c>
      <c r="C3" s="2">
        <f t="shared" ref="C3:C12" si="0">E3*3+F3</f>
        <v>22</v>
      </c>
      <c r="D3">
        <v>9</v>
      </c>
      <c r="E3">
        <v>7</v>
      </c>
      <c r="F3">
        <v>1</v>
      </c>
      <c r="G3">
        <f>D3-E3-F3</f>
        <v>1</v>
      </c>
      <c r="H3">
        <v>15</v>
      </c>
      <c r="I3">
        <v>6</v>
      </c>
      <c r="J3">
        <f>H3-I3</f>
        <v>9</v>
      </c>
      <c r="L3" t="s">
        <v>1</v>
      </c>
      <c r="M3" t="s">
        <v>2</v>
      </c>
      <c r="N3" t="s">
        <v>3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W3" s="1" t="s">
        <v>11</v>
      </c>
      <c r="X3" t="s">
        <v>135</v>
      </c>
      <c r="Y3" s="2">
        <f t="shared" ref="Y3:Y14" si="1">AA3*3+AB3</f>
        <v>20</v>
      </c>
      <c r="Z3">
        <v>11</v>
      </c>
      <c r="AA3">
        <v>6</v>
      </c>
      <c r="AB3">
        <v>2</v>
      </c>
      <c r="AC3">
        <f>Z3-AA3-AB3</f>
        <v>3</v>
      </c>
      <c r="AD3">
        <v>19</v>
      </c>
      <c r="AE3">
        <v>12</v>
      </c>
      <c r="AF3">
        <f>AD3-AE3</f>
        <v>7</v>
      </c>
      <c r="AH3" t="s">
        <v>233</v>
      </c>
      <c r="AI3">
        <v>2</v>
      </c>
    </row>
    <row r="4" spans="1:35" x14ac:dyDescent="0.3">
      <c r="A4" s="1" t="s">
        <v>13</v>
      </c>
      <c r="B4" t="s">
        <v>214</v>
      </c>
      <c r="C4" s="2">
        <f t="shared" si="0"/>
        <v>15</v>
      </c>
      <c r="D4">
        <v>9</v>
      </c>
      <c r="E4">
        <v>5</v>
      </c>
      <c r="F4">
        <v>0</v>
      </c>
      <c r="G4">
        <f t="shared" ref="G4:G12" si="2">D4-E4-F4</f>
        <v>4</v>
      </c>
      <c r="H4">
        <v>12</v>
      </c>
      <c r="I4">
        <v>8</v>
      </c>
      <c r="J4">
        <f t="shared" ref="J4:J12" si="3">H4-I4</f>
        <v>4</v>
      </c>
      <c r="L4" s="1" t="s">
        <v>11</v>
      </c>
      <c r="M4" t="s">
        <v>220</v>
      </c>
      <c r="N4" s="2">
        <f t="shared" ref="N4:N9" si="4">P4*3+Q4</f>
        <v>18</v>
      </c>
      <c r="O4">
        <v>10</v>
      </c>
      <c r="P4">
        <v>5</v>
      </c>
      <c r="Q4">
        <v>3</v>
      </c>
      <c r="R4">
        <f>O4-P4-Q4</f>
        <v>2</v>
      </c>
      <c r="S4">
        <v>10</v>
      </c>
      <c r="T4">
        <v>7</v>
      </c>
      <c r="U4">
        <f>S4-T4</f>
        <v>3</v>
      </c>
      <c r="W4" s="1" t="s">
        <v>13</v>
      </c>
      <c r="X4" t="s">
        <v>215</v>
      </c>
      <c r="Y4" s="2">
        <f t="shared" si="1"/>
        <v>20</v>
      </c>
      <c r="Z4">
        <v>11</v>
      </c>
      <c r="AA4">
        <v>6</v>
      </c>
      <c r="AB4">
        <v>2</v>
      </c>
      <c r="AC4">
        <f t="shared" ref="AC4:AC14" si="5">Z4-AA4-AB4</f>
        <v>3</v>
      </c>
      <c r="AD4">
        <v>13</v>
      </c>
      <c r="AE4">
        <v>9</v>
      </c>
      <c r="AF4">
        <f t="shared" ref="AF4:AF14" si="6">AD4-AE4</f>
        <v>4</v>
      </c>
      <c r="AH4" t="s">
        <v>213</v>
      </c>
      <c r="AI4">
        <v>1</v>
      </c>
    </row>
    <row r="5" spans="1:35" x14ac:dyDescent="0.3">
      <c r="A5" s="1" t="s">
        <v>15</v>
      </c>
      <c r="B5" t="s">
        <v>219</v>
      </c>
      <c r="C5" s="2">
        <f t="shared" si="0"/>
        <v>15</v>
      </c>
      <c r="D5">
        <v>9</v>
      </c>
      <c r="E5">
        <v>5</v>
      </c>
      <c r="F5">
        <v>0</v>
      </c>
      <c r="G5">
        <f t="shared" si="2"/>
        <v>4</v>
      </c>
      <c r="H5">
        <v>13</v>
      </c>
      <c r="I5">
        <v>13</v>
      </c>
      <c r="J5">
        <f t="shared" si="3"/>
        <v>0</v>
      </c>
      <c r="L5" s="1" t="s">
        <v>13</v>
      </c>
      <c r="M5" t="s">
        <v>233</v>
      </c>
      <c r="N5" s="2">
        <f t="shared" si="4"/>
        <v>17</v>
      </c>
      <c r="O5">
        <v>10</v>
      </c>
      <c r="P5">
        <v>5</v>
      </c>
      <c r="Q5">
        <v>2</v>
      </c>
      <c r="R5">
        <f t="shared" ref="R5:R9" si="7">O5-P5-Q5</f>
        <v>3</v>
      </c>
      <c r="S5">
        <v>17</v>
      </c>
      <c r="T5">
        <v>13</v>
      </c>
      <c r="U5">
        <f t="shared" ref="U5:U9" si="8">S5-T5</f>
        <v>4</v>
      </c>
      <c r="W5" s="1" t="s">
        <v>15</v>
      </c>
      <c r="X5" t="s">
        <v>214</v>
      </c>
      <c r="Y5" s="2">
        <f t="shared" si="1"/>
        <v>20</v>
      </c>
      <c r="Z5">
        <v>11</v>
      </c>
      <c r="AA5">
        <v>6</v>
      </c>
      <c r="AB5">
        <v>2</v>
      </c>
      <c r="AC5">
        <f t="shared" si="5"/>
        <v>3</v>
      </c>
      <c r="AD5">
        <v>15</v>
      </c>
      <c r="AE5">
        <v>12</v>
      </c>
      <c r="AF5">
        <f t="shared" si="6"/>
        <v>3</v>
      </c>
    </row>
    <row r="6" spans="1:35" x14ac:dyDescent="0.3">
      <c r="A6" s="1" t="s">
        <v>17</v>
      </c>
      <c r="B6" t="s">
        <v>135</v>
      </c>
      <c r="C6" s="2">
        <f t="shared" si="0"/>
        <v>13</v>
      </c>
      <c r="D6">
        <v>9</v>
      </c>
      <c r="E6">
        <v>4</v>
      </c>
      <c r="F6">
        <v>1</v>
      </c>
      <c r="G6">
        <f t="shared" si="2"/>
        <v>4</v>
      </c>
      <c r="H6">
        <v>13</v>
      </c>
      <c r="I6">
        <v>11</v>
      </c>
      <c r="J6">
        <f t="shared" si="3"/>
        <v>2</v>
      </c>
      <c r="L6" t="s">
        <v>15</v>
      </c>
      <c r="M6" t="s">
        <v>230</v>
      </c>
      <c r="N6" s="2">
        <f t="shared" si="4"/>
        <v>16</v>
      </c>
      <c r="O6">
        <v>10</v>
      </c>
      <c r="P6">
        <v>5</v>
      </c>
      <c r="Q6">
        <v>1</v>
      </c>
      <c r="R6">
        <f t="shared" si="7"/>
        <v>4</v>
      </c>
      <c r="S6">
        <v>11</v>
      </c>
      <c r="T6">
        <v>11</v>
      </c>
      <c r="U6">
        <f t="shared" si="8"/>
        <v>0</v>
      </c>
      <c r="W6" s="1" t="s">
        <v>17</v>
      </c>
      <c r="X6" t="s">
        <v>219</v>
      </c>
      <c r="Y6" s="2">
        <f t="shared" si="1"/>
        <v>20</v>
      </c>
      <c r="Z6">
        <v>11</v>
      </c>
      <c r="AA6">
        <v>6</v>
      </c>
      <c r="AB6">
        <v>2</v>
      </c>
      <c r="AC6">
        <f t="shared" si="5"/>
        <v>3</v>
      </c>
      <c r="AD6">
        <v>13</v>
      </c>
      <c r="AE6">
        <v>10</v>
      </c>
      <c r="AF6">
        <f t="shared" si="6"/>
        <v>3</v>
      </c>
    </row>
    <row r="7" spans="1:35" x14ac:dyDescent="0.3">
      <c r="A7" s="1" t="s">
        <v>19</v>
      </c>
      <c r="B7" t="s">
        <v>216</v>
      </c>
      <c r="C7" s="2">
        <f t="shared" si="0"/>
        <v>13</v>
      </c>
      <c r="D7">
        <v>9</v>
      </c>
      <c r="E7">
        <v>4</v>
      </c>
      <c r="F7">
        <v>1</v>
      </c>
      <c r="G7">
        <f t="shared" si="2"/>
        <v>4</v>
      </c>
      <c r="H7">
        <v>12</v>
      </c>
      <c r="I7">
        <v>13</v>
      </c>
      <c r="J7">
        <f t="shared" si="3"/>
        <v>-1</v>
      </c>
      <c r="L7" t="s">
        <v>17</v>
      </c>
      <c r="M7" t="s">
        <v>227</v>
      </c>
      <c r="N7" s="2">
        <f t="shared" si="4"/>
        <v>13</v>
      </c>
      <c r="O7">
        <v>10</v>
      </c>
      <c r="P7">
        <v>4</v>
      </c>
      <c r="Q7">
        <v>1</v>
      </c>
      <c r="R7">
        <f t="shared" si="7"/>
        <v>5</v>
      </c>
      <c r="S7">
        <v>12</v>
      </c>
      <c r="T7">
        <v>13</v>
      </c>
      <c r="U7">
        <f t="shared" si="8"/>
        <v>-1</v>
      </c>
      <c r="W7" s="1" t="s">
        <v>19</v>
      </c>
      <c r="X7" t="s">
        <v>216</v>
      </c>
      <c r="Y7" s="2">
        <f t="shared" si="1"/>
        <v>18</v>
      </c>
      <c r="Z7">
        <v>11</v>
      </c>
      <c r="AA7">
        <v>5</v>
      </c>
      <c r="AB7">
        <v>3</v>
      </c>
      <c r="AC7">
        <f t="shared" si="5"/>
        <v>3</v>
      </c>
      <c r="AD7">
        <v>13</v>
      </c>
      <c r="AE7">
        <v>13</v>
      </c>
      <c r="AF7">
        <f t="shared" si="6"/>
        <v>0</v>
      </c>
    </row>
    <row r="8" spans="1:35" x14ac:dyDescent="0.3">
      <c r="A8" s="1" t="s">
        <v>21</v>
      </c>
      <c r="B8" t="s">
        <v>222</v>
      </c>
      <c r="C8" s="2">
        <f t="shared" si="0"/>
        <v>13</v>
      </c>
      <c r="D8">
        <v>9</v>
      </c>
      <c r="E8">
        <v>4</v>
      </c>
      <c r="F8">
        <v>1</v>
      </c>
      <c r="G8">
        <f t="shared" si="2"/>
        <v>4</v>
      </c>
      <c r="H8">
        <v>7</v>
      </c>
      <c r="I8">
        <v>8</v>
      </c>
      <c r="J8">
        <f t="shared" si="3"/>
        <v>-1</v>
      </c>
      <c r="L8" t="s">
        <v>19</v>
      </c>
      <c r="M8" t="s">
        <v>234</v>
      </c>
      <c r="N8" s="2">
        <f t="shared" si="4"/>
        <v>13</v>
      </c>
      <c r="O8">
        <v>10</v>
      </c>
      <c r="P8">
        <v>4</v>
      </c>
      <c r="Q8">
        <v>1</v>
      </c>
      <c r="R8">
        <f t="shared" si="7"/>
        <v>5</v>
      </c>
      <c r="S8">
        <v>10</v>
      </c>
      <c r="T8">
        <v>11</v>
      </c>
      <c r="U8">
        <f t="shared" si="8"/>
        <v>-1</v>
      </c>
      <c r="W8" s="1" t="s">
        <v>21</v>
      </c>
      <c r="X8" t="s">
        <v>220</v>
      </c>
      <c r="Y8" s="2">
        <f t="shared" si="1"/>
        <v>17</v>
      </c>
      <c r="Z8">
        <v>11</v>
      </c>
      <c r="AA8">
        <v>5</v>
      </c>
      <c r="AB8">
        <v>2</v>
      </c>
      <c r="AC8">
        <f t="shared" si="5"/>
        <v>4</v>
      </c>
      <c r="AD8">
        <v>10</v>
      </c>
      <c r="AE8">
        <v>8</v>
      </c>
      <c r="AF8">
        <f t="shared" si="6"/>
        <v>2</v>
      </c>
    </row>
    <row r="9" spans="1:35" x14ac:dyDescent="0.3">
      <c r="A9" s="1" t="s">
        <v>23</v>
      </c>
      <c r="B9" t="s">
        <v>213</v>
      </c>
      <c r="C9" s="2">
        <f t="shared" si="0"/>
        <v>12</v>
      </c>
      <c r="D9">
        <v>9</v>
      </c>
      <c r="E9">
        <v>4</v>
      </c>
      <c r="F9">
        <v>0</v>
      </c>
      <c r="G9">
        <f t="shared" si="2"/>
        <v>5</v>
      </c>
      <c r="H9">
        <v>14</v>
      </c>
      <c r="I9">
        <v>13</v>
      </c>
      <c r="J9">
        <f t="shared" si="3"/>
        <v>1</v>
      </c>
      <c r="L9" t="s">
        <v>21</v>
      </c>
      <c r="M9" t="s">
        <v>235</v>
      </c>
      <c r="N9" s="2">
        <f t="shared" si="4"/>
        <v>8</v>
      </c>
      <c r="O9">
        <v>10</v>
      </c>
      <c r="P9">
        <v>2</v>
      </c>
      <c r="Q9">
        <v>2</v>
      </c>
      <c r="R9">
        <f t="shared" si="7"/>
        <v>6</v>
      </c>
      <c r="S9">
        <v>11</v>
      </c>
      <c r="T9">
        <v>16</v>
      </c>
      <c r="U9">
        <f t="shared" si="8"/>
        <v>-5</v>
      </c>
      <c r="W9" s="1" t="s">
        <v>23</v>
      </c>
      <c r="X9" t="s">
        <v>213</v>
      </c>
      <c r="Y9" s="2">
        <f t="shared" si="1"/>
        <v>14</v>
      </c>
      <c r="Z9">
        <v>11</v>
      </c>
      <c r="AA9">
        <v>4</v>
      </c>
      <c r="AB9">
        <v>2</v>
      </c>
      <c r="AC9">
        <f t="shared" si="5"/>
        <v>5</v>
      </c>
      <c r="AD9">
        <v>16</v>
      </c>
      <c r="AE9">
        <v>13</v>
      </c>
      <c r="AF9">
        <f t="shared" si="6"/>
        <v>3</v>
      </c>
    </row>
    <row r="10" spans="1:35" x14ac:dyDescent="0.3">
      <c r="A10" s="1" t="s">
        <v>25</v>
      </c>
      <c r="B10" t="s">
        <v>217</v>
      </c>
      <c r="C10" s="2">
        <f t="shared" si="0"/>
        <v>11</v>
      </c>
      <c r="D10">
        <v>9</v>
      </c>
      <c r="E10">
        <v>3</v>
      </c>
      <c r="F10">
        <v>2</v>
      </c>
      <c r="G10">
        <f t="shared" si="2"/>
        <v>4</v>
      </c>
      <c r="H10">
        <v>17</v>
      </c>
      <c r="I10">
        <v>18</v>
      </c>
      <c r="J10">
        <f t="shared" si="3"/>
        <v>-1</v>
      </c>
      <c r="W10" s="1" t="s">
        <v>25</v>
      </c>
      <c r="X10" t="s">
        <v>14</v>
      </c>
      <c r="Y10" s="2">
        <f t="shared" si="1"/>
        <v>14</v>
      </c>
      <c r="Z10">
        <v>11</v>
      </c>
      <c r="AA10">
        <v>4</v>
      </c>
      <c r="AB10">
        <v>2</v>
      </c>
      <c r="AC10">
        <f t="shared" si="5"/>
        <v>5</v>
      </c>
      <c r="AD10">
        <v>12</v>
      </c>
      <c r="AE10">
        <v>10</v>
      </c>
      <c r="AF10">
        <f t="shared" si="6"/>
        <v>2</v>
      </c>
    </row>
    <row r="11" spans="1:35" x14ac:dyDescent="0.3">
      <c r="A11" s="3" t="s">
        <v>66</v>
      </c>
      <c r="B11" t="s">
        <v>223</v>
      </c>
      <c r="C11" s="2">
        <f t="shared" si="0"/>
        <v>9</v>
      </c>
      <c r="D11">
        <v>9</v>
      </c>
      <c r="E11">
        <v>3</v>
      </c>
      <c r="F11">
        <v>0</v>
      </c>
      <c r="G11">
        <f t="shared" si="2"/>
        <v>6</v>
      </c>
      <c r="H11">
        <v>7</v>
      </c>
      <c r="I11">
        <v>14</v>
      </c>
      <c r="J11">
        <f t="shared" si="3"/>
        <v>-7</v>
      </c>
      <c r="L11" t="s">
        <v>73</v>
      </c>
      <c r="W11" t="s">
        <v>66</v>
      </c>
      <c r="X11" t="s">
        <v>218</v>
      </c>
      <c r="Y11" s="2">
        <f t="shared" si="1"/>
        <v>14</v>
      </c>
      <c r="Z11">
        <v>11</v>
      </c>
      <c r="AA11">
        <v>4</v>
      </c>
      <c r="AB11">
        <v>2</v>
      </c>
      <c r="AC11">
        <f>Z11-AA11-AB11</f>
        <v>5</v>
      </c>
      <c r="AD11">
        <v>13</v>
      </c>
      <c r="AE11">
        <v>15</v>
      </c>
      <c r="AF11">
        <f>AD11-AE11</f>
        <v>-2</v>
      </c>
    </row>
    <row r="12" spans="1:35" x14ac:dyDescent="0.3">
      <c r="A12" s="3" t="s">
        <v>137</v>
      </c>
      <c r="B12" t="s">
        <v>215</v>
      </c>
      <c r="C12" s="2">
        <f t="shared" si="0"/>
        <v>8</v>
      </c>
      <c r="D12">
        <v>9</v>
      </c>
      <c r="E12">
        <v>2</v>
      </c>
      <c r="F12">
        <v>2</v>
      </c>
      <c r="G12">
        <f t="shared" si="2"/>
        <v>5</v>
      </c>
      <c r="H12">
        <v>15</v>
      </c>
      <c r="I12">
        <v>21</v>
      </c>
      <c r="J12">
        <f t="shared" si="3"/>
        <v>-6</v>
      </c>
      <c r="L12" t="s">
        <v>1</v>
      </c>
      <c r="M12" t="s">
        <v>2</v>
      </c>
      <c r="N12" t="s">
        <v>3</v>
      </c>
      <c r="O12" t="s">
        <v>4</v>
      </c>
      <c r="P12" t="s">
        <v>5</v>
      </c>
      <c r="Q12" t="s">
        <v>6</v>
      </c>
      <c r="R12" t="s">
        <v>7</v>
      </c>
      <c r="S12" t="s">
        <v>8</v>
      </c>
      <c r="T12" t="s">
        <v>9</v>
      </c>
      <c r="U12" t="s">
        <v>10</v>
      </c>
      <c r="W12" t="s">
        <v>137</v>
      </c>
      <c r="X12" t="s">
        <v>217</v>
      </c>
      <c r="Y12" s="2">
        <f t="shared" si="1"/>
        <v>12</v>
      </c>
      <c r="Z12">
        <v>11</v>
      </c>
      <c r="AA12">
        <v>3</v>
      </c>
      <c r="AB12">
        <v>3</v>
      </c>
      <c r="AC12">
        <f t="shared" si="5"/>
        <v>5</v>
      </c>
      <c r="AD12">
        <v>15</v>
      </c>
      <c r="AE12">
        <v>20</v>
      </c>
      <c r="AF12">
        <f t="shared" si="6"/>
        <v>-5</v>
      </c>
    </row>
    <row r="13" spans="1:35" x14ac:dyDescent="0.3">
      <c r="L13" s="1" t="s">
        <v>11</v>
      </c>
      <c r="M13" t="s">
        <v>229</v>
      </c>
      <c r="N13" s="2">
        <f t="shared" ref="N13:N18" si="9">P13*3+Q13</f>
        <v>21</v>
      </c>
      <c r="O13">
        <v>10</v>
      </c>
      <c r="P13">
        <v>6</v>
      </c>
      <c r="Q13">
        <v>3</v>
      </c>
      <c r="R13">
        <f>O13-P13-Q13</f>
        <v>1</v>
      </c>
      <c r="S13">
        <v>16</v>
      </c>
      <c r="T13">
        <v>8</v>
      </c>
      <c r="U13">
        <f>S13-T13</f>
        <v>8</v>
      </c>
      <c r="W13" t="s">
        <v>149</v>
      </c>
      <c r="X13" t="s">
        <v>228</v>
      </c>
      <c r="Y13" s="2">
        <f t="shared" si="1"/>
        <v>11</v>
      </c>
      <c r="Z13">
        <v>11</v>
      </c>
      <c r="AA13">
        <v>3</v>
      </c>
      <c r="AB13">
        <v>2</v>
      </c>
      <c r="AC13">
        <f t="shared" si="5"/>
        <v>6</v>
      </c>
      <c r="AD13">
        <v>12</v>
      </c>
      <c r="AE13">
        <v>18</v>
      </c>
      <c r="AF13">
        <f t="shared" si="6"/>
        <v>-6</v>
      </c>
    </row>
    <row r="14" spans="1:35" x14ac:dyDescent="0.3">
      <c r="A14" t="s">
        <v>221</v>
      </c>
      <c r="L14" s="1" t="s">
        <v>13</v>
      </c>
      <c r="M14" t="s">
        <v>14</v>
      </c>
      <c r="N14" s="2">
        <f t="shared" si="9"/>
        <v>16</v>
      </c>
      <c r="O14">
        <v>10</v>
      </c>
      <c r="P14">
        <v>5</v>
      </c>
      <c r="Q14">
        <v>1</v>
      </c>
      <c r="R14">
        <f t="shared" ref="R14:R18" si="10">O14-P14-Q14</f>
        <v>4</v>
      </c>
      <c r="S14">
        <v>13</v>
      </c>
      <c r="T14">
        <v>11</v>
      </c>
      <c r="U14">
        <f t="shared" ref="U14:U18" si="11">S14-T14</f>
        <v>2</v>
      </c>
      <c r="W14" t="s">
        <v>150</v>
      </c>
      <c r="X14" t="s">
        <v>233</v>
      </c>
      <c r="Y14" s="2">
        <f t="shared" si="1"/>
        <v>5</v>
      </c>
      <c r="Z14">
        <v>11</v>
      </c>
      <c r="AA14">
        <v>1</v>
      </c>
      <c r="AB14">
        <v>2</v>
      </c>
      <c r="AC14">
        <f t="shared" si="5"/>
        <v>8</v>
      </c>
      <c r="AD14">
        <v>10</v>
      </c>
      <c r="AE14">
        <v>21</v>
      </c>
      <c r="AF14">
        <f t="shared" si="6"/>
        <v>-11</v>
      </c>
    </row>
    <row r="15" spans="1:35" x14ac:dyDescent="0.3">
      <c r="A15" t="str">
        <f>B10</f>
        <v>Vilavelhense</v>
      </c>
      <c r="B15" t="s">
        <v>36</v>
      </c>
      <c r="C15" t="str">
        <f>B3</f>
        <v>Serra</v>
      </c>
      <c r="E15" t="str">
        <f>B3</f>
        <v>Serra</v>
      </c>
      <c r="F15" t="s">
        <v>44</v>
      </c>
      <c r="G15" t="str">
        <f>B10</f>
        <v>Vilavelhense</v>
      </c>
      <c r="L15" t="s">
        <v>15</v>
      </c>
      <c r="M15" t="s">
        <v>236</v>
      </c>
      <c r="N15" s="2">
        <f t="shared" si="9"/>
        <v>16</v>
      </c>
      <c r="O15">
        <v>10</v>
      </c>
      <c r="P15">
        <v>5</v>
      </c>
      <c r="Q15">
        <v>1</v>
      </c>
      <c r="R15">
        <f t="shared" si="10"/>
        <v>4</v>
      </c>
      <c r="S15">
        <v>9</v>
      </c>
      <c r="T15">
        <v>9</v>
      </c>
      <c r="U15">
        <f t="shared" si="11"/>
        <v>0</v>
      </c>
    </row>
    <row r="16" spans="1:35" x14ac:dyDescent="0.3">
      <c r="A16" t="str">
        <f>B9</f>
        <v>Capixaba</v>
      </c>
      <c r="B16" t="s">
        <v>57</v>
      </c>
      <c r="C16" t="str">
        <f>B4</f>
        <v>Porto Vitória</v>
      </c>
      <c r="E16" t="str">
        <f>B4</f>
        <v>Porto Vitória</v>
      </c>
      <c r="F16" t="s">
        <v>28</v>
      </c>
      <c r="G16" t="str">
        <f>B9</f>
        <v>Capixaba</v>
      </c>
      <c r="L16" t="s">
        <v>17</v>
      </c>
      <c r="M16" t="s">
        <v>232</v>
      </c>
      <c r="N16" s="2">
        <f t="shared" si="9"/>
        <v>11</v>
      </c>
      <c r="O16">
        <v>10</v>
      </c>
      <c r="P16">
        <v>3</v>
      </c>
      <c r="Q16">
        <v>2</v>
      </c>
      <c r="R16">
        <f t="shared" si="10"/>
        <v>5</v>
      </c>
      <c r="S16">
        <v>10</v>
      </c>
      <c r="T16">
        <v>11</v>
      </c>
      <c r="U16">
        <f t="shared" si="11"/>
        <v>-1</v>
      </c>
      <c r="W16" t="s">
        <v>221</v>
      </c>
    </row>
    <row r="17" spans="1:29" x14ac:dyDescent="0.3">
      <c r="A17" t="str">
        <f>B8</f>
        <v>Nova Venécia</v>
      </c>
      <c r="B17" t="s">
        <v>65</v>
      </c>
      <c r="C17" t="str">
        <f>B5</f>
        <v>Rio Branco VN</v>
      </c>
      <c r="E17" t="str">
        <f>B5</f>
        <v>Rio Branco VN</v>
      </c>
      <c r="F17" t="s">
        <v>224</v>
      </c>
      <c r="G17" t="str">
        <f>B8</f>
        <v>Nova Venécia</v>
      </c>
      <c r="L17" t="s">
        <v>19</v>
      </c>
      <c r="M17" t="s">
        <v>228</v>
      </c>
      <c r="N17" s="2">
        <f t="shared" si="9"/>
        <v>11</v>
      </c>
      <c r="O17">
        <v>10</v>
      </c>
      <c r="P17">
        <v>3</v>
      </c>
      <c r="Q17">
        <v>2</v>
      </c>
      <c r="R17">
        <f t="shared" si="10"/>
        <v>5</v>
      </c>
      <c r="S17">
        <v>7</v>
      </c>
      <c r="T17">
        <v>11</v>
      </c>
      <c r="U17">
        <f t="shared" si="11"/>
        <v>-4</v>
      </c>
      <c r="W17" t="str">
        <f>X10</f>
        <v>Rio Branco</v>
      </c>
      <c r="X17" t="s">
        <v>69</v>
      </c>
      <c r="Y17" t="str">
        <f>X3</f>
        <v>Vitória</v>
      </c>
      <c r="AA17" t="str">
        <f>X3</f>
        <v>Vitória</v>
      </c>
      <c r="AB17" t="s">
        <v>36</v>
      </c>
      <c r="AC17" t="str">
        <f>X10</f>
        <v>Rio Branco</v>
      </c>
    </row>
    <row r="18" spans="1:29" x14ac:dyDescent="0.3">
      <c r="A18" t="str">
        <f>B7</f>
        <v>Forte</v>
      </c>
      <c r="B18" t="s">
        <v>28</v>
      </c>
      <c r="C18" t="str">
        <f>B6</f>
        <v>Vitória</v>
      </c>
      <c r="E18" t="str">
        <f>B6</f>
        <v>Vitória</v>
      </c>
      <c r="F18" t="s">
        <v>57</v>
      </c>
      <c r="G18" t="str">
        <f>B7</f>
        <v>Forte</v>
      </c>
      <c r="L18" t="s">
        <v>21</v>
      </c>
      <c r="M18" t="s">
        <v>231</v>
      </c>
      <c r="N18" s="2">
        <f t="shared" si="9"/>
        <v>10</v>
      </c>
      <c r="O18">
        <v>10</v>
      </c>
      <c r="P18">
        <v>3</v>
      </c>
      <c r="Q18">
        <v>1</v>
      </c>
      <c r="R18">
        <f t="shared" si="10"/>
        <v>6</v>
      </c>
      <c r="S18">
        <v>14</v>
      </c>
      <c r="T18">
        <v>19</v>
      </c>
      <c r="U18">
        <f t="shared" si="11"/>
        <v>-5</v>
      </c>
      <c r="W18" t="str">
        <f>X9</f>
        <v>Capixaba</v>
      </c>
      <c r="X18" t="s">
        <v>54</v>
      </c>
      <c r="Y18" t="str">
        <f>X4</f>
        <v>Desportiva Ferroviária</v>
      </c>
      <c r="AA18" t="str">
        <f>X4</f>
        <v>Desportiva Ferroviária</v>
      </c>
      <c r="AB18" t="s">
        <v>36</v>
      </c>
      <c r="AC18" t="str">
        <f>X9</f>
        <v>Capixaba</v>
      </c>
    </row>
    <row r="19" spans="1:29" x14ac:dyDescent="0.3">
      <c r="W19" t="str">
        <f>X8</f>
        <v>Real Noroeste</v>
      </c>
      <c r="X19" t="s">
        <v>57</v>
      </c>
      <c r="Y19" t="str">
        <f>X5</f>
        <v>Porto Vitória</v>
      </c>
      <c r="AA19" t="str">
        <f>X5</f>
        <v>Porto Vitória</v>
      </c>
      <c r="AB19" t="s">
        <v>28</v>
      </c>
      <c r="AC19" t="str">
        <f>X8</f>
        <v>Real Noroeste</v>
      </c>
    </row>
    <row r="20" spans="1:29" x14ac:dyDescent="0.3">
      <c r="A20" t="s">
        <v>27</v>
      </c>
      <c r="L20" t="s">
        <v>27</v>
      </c>
      <c r="W20" t="str">
        <f>X7</f>
        <v>Forte</v>
      </c>
      <c r="X20" t="s">
        <v>36</v>
      </c>
      <c r="Y20" t="str">
        <f>X6</f>
        <v>Rio Branco VN</v>
      </c>
      <c r="AA20" t="str">
        <f>X6</f>
        <v>Rio Branco VN</v>
      </c>
      <c r="AB20" t="s">
        <v>29</v>
      </c>
      <c r="AC20" t="str">
        <f>X7</f>
        <v>Forte</v>
      </c>
    </row>
    <row r="21" spans="1:29" x14ac:dyDescent="0.3">
      <c r="A21" t="s">
        <v>217</v>
      </c>
      <c r="B21" t="s">
        <v>28</v>
      </c>
      <c r="C21" t="s">
        <v>135</v>
      </c>
      <c r="E21" t="s">
        <v>135</v>
      </c>
      <c r="F21" t="s">
        <v>57</v>
      </c>
      <c r="G21" t="s">
        <v>217</v>
      </c>
      <c r="L21" t="str">
        <f>M14</f>
        <v>Rio Branco</v>
      </c>
      <c r="M21" t="s">
        <v>30</v>
      </c>
      <c r="N21" t="str">
        <f>M4</f>
        <v>Real Noroeste</v>
      </c>
      <c r="P21" t="str">
        <f>M4</f>
        <v>Real Noroeste</v>
      </c>
      <c r="Q21" t="s">
        <v>28</v>
      </c>
      <c r="R21" t="str">
        <f>M14</f>
        <v>Rio Branco</v>
      </c>
    </row>
    <row r="22" spans="1:29" x14ac:dyDescent="0.3">
      <c r="A22" t="s">
        <v>213</v>
      </c>
      <c r="B22" t="s">
        <v>36</v>
      </c>
      <c r="C22" t="s">
        <v>219</v>
      </c>
      <c r="E22" t="s">
        <v>219</v>
      </c>
      <c r="F22" t="s">
        <v>31</v>
      </c>
      <c r="G22" t="s">
        <v>213</v>
      </c>
      <c r="L22" t="str">
        <f>M5</f>
        <v>Colatina</v>
      </c>
      <c r="M22" t="s">
        <v>57</v>
      </c>
      <c r="N22" t="str">
        <f>M13</f>
        <v>Grêmio Laranjeiras</v>
      </c>
      <c r="P22" t="str">
        <f>M13</f>
        <v>Grêmio Laranjeiras</v>
      </c>
      <c r="Q22" t="s">
        <v>28</v>
      </c>
      <c r="R22" t="str">
        <f>M5</f>
        <v>Colatina</v>
      </c>
      <c r="W22" t="s">
        <v>27</v>
      </c>
    </row>
    <row r="23" spans="1:29" x14ac:dyDescent="0.3">
      <c r="W23" t="s">
        <v>216</v>
      </c>
      <c r="X23" t="s">
        <v>30</v>
      </c>
      <c r="Y23" t="s">
        <v>135</v>
      </c>
      <c r="AA23" t="s">
        <v>135</v>
      </c>
      <c r="AB23" t="s">
        <v>31</v>
      </c>
      <c r="AC23" t="s">
        <v>216</v>
      </c>
    </row>
    <row r="24" spans="1:29" x14ac:dyDescent="0.3">
      <c r="A24" t="s">
        <v>33</v>
      </c>
      <c r="L24" t="s">
        <v>33</v>
      </c>
      <c r="W24" t="s">
        <v>213</v>
      </c>
      <c r="X24" t="s">
        <v>171</v>
      </c>
      <c r="Y24" t="s">
        <v>220</v>
      </c>
      <c r="AA24" t="s">
        <v>220</v>
      </c>
      <c r="AB24" t="s">
        <v>36</v>
      </c>
      <c r="AC24" t="s">
        <v>213</v>
      </c>
    </row>
    <row r="25" spans="1:29" x14ac:dyDescent="0.3">
      <c r="A25" t="s">
        <v>135</v>
      </c>
      <c r="B25" t="s">
        <v>57</v>
      </c>
      <c r="C25" t="s">
        <v>213</v>
      </c>
      <c r="E25" t="s">
        <v>213</v>
      </c>
      <c r="F25" t="s">
        <v>225</v>
      </c>
      <c r="G25" t="s">
        <v>135</v>
      </c>
      <c r="L25" t="s">
        <v>14</v>
      </c>
      <c r="M25" t="s">
        <v>237</v>
      </c>
      <c r="N25" t="s">
        <v>233</v>
      </c>
    </row>
    <row r="26" spans="1:29" x14ac:dyDescent="0.3">
      <c r="W26" t="s">
        <v>33</v>
      </c>
    </row>
    <row r="27" spans="1:29" x14ac:dyDescent="0.3">
      <c r="A27" t="s">
        <v>38</v>
      </c>
      <c r="W27" t="s">
        <v>216</v>
      </c>
      <c r="X27" t="s">
        <v>239</v>
      </c>
      <c r="Y27" t="s">
        <v>213</v>
      </c>
    </row>
    <row r="28" spans="1:29" x14ac:dyDescent="0.3">
      <c r="A28" t="s">
        <v>213</v>
      </c>
    </row>
    <row r="29" spans="1:29" x14ac:dyDescent="0.3">
      <c r="A29" t="s">
        <v>216</v>
      </c>
    </row>
    <row r="31" spans="1:29" x14ac:dyDescent="0.3">
      <c r="A31" t="s">
        <v>39</v>
      </c>
    </row>
    <row r="32" spans="1:29" x14ac:dyDescent="0.3">
      <c r="A32" t="s">
        <v>213</v>
      </c>
    </row>
    <row r="33" spans="1:1" x14ac:dyDescent="0.3">
      <c r="A33" t="s">
        <v>135</v>
      </c>
    </row>
    <row r="34" spans="1:1" x14ac:dyDescent="0.3">
      <c r="A34" t="s">
        <v>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3384-497A-4C03-9185-C61797E03D03}">
  <dimension ref="A1:AP53"/>
  <sheetViews>
    <sheetView workbookViewId="0">
      <selection activeCell="AP3" sqref="AP3"/>
    </sheetView>
  </sheetViews>
  <sheetFormatPr defaultRowHeight="14.4" x14ac:dyDescent="0.3"/>
  <sheetData>
    <row r="1" spans="1:42" x14ac:dyDescent="0.3">
      <c r="A1" t="s">
        <v>240</v>
      </c>
      <c r="L1" t="s">
        <v>241</v>
      </c>
      <c r="S1" t="s">
        <v>261</v>
      </c>
      <c r="AD1" t="s">
        <v>262</v>
      </c>
      <c r="AO1" t="s">
        <v>70</v>
      </c>
    </row>
    <row r="2" spans="1:42" x14ac:dyDescent="0.3">
      <c r="A2" t="s">
        <v>72</v>
      </c>
      <c r="L2" s="1" t="s">
        <v>11</v>
      </c>
      <c r="M2" t="s">
        <v>256</v>
      </c>
      <c r="S2" t="s">
        <v>1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8</v>
      </c>
      <c r="AA2" t="s">
        <v>9</v>
      </c>
      <c r="AB2" t="s">
        <v>10</v>
      </c>
      <c r="AD2" t="s">
        <v>1</v>
      </c>
      <c r="AE2" t="s">
        <v>2</v>
      </c>
      <c r="AF2" t="s">
        <v>3</v>
      </c>
      <c r="AG2" t="s">
        <v>4</v>
      </c>
      <c r="AH2" t="s">
        <v>5</v>
      </c>
      <c r="AI2" t="s">
        <v>6</v>
      </c>
      <c r="AJ2" t="s">
        <v>7</v>
      </c>
      <c r="AK2" t="s">
        <v>8</v>
      </c>
      <c r="AL2" t="s">
        <v>9</v>
      </c>
      <c r="AM2" t="s">
        <v>10</v>
      </c>
      <c r="AO2" t="s">
        <v>249</v>
      </c>
      <c r="AP2">
        <v>29</v>
      </c>
    </row>
    <row r="3" spans="1:42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L3" s="1" t="s">
        <v>13</v>
      </c>
      <c r="M3" t="s">
        <v>255</v>
      </c>
      <c r="S3" s="1" t="s">
        <v>11</v>
      </c>
      <c r="T3" t="s">
        <v>274</v>
      </c>
      <c r="U3" s="2">
        <f>W3*3+X3</f>
        <v>17</v>
      </c>
      <c r="V3">
        <v>9</v>
      </c>
      <c r="W3">
        <v>5</v>
      </c>
      <c r="X3">
        <v>2</v>
      </c>
      <c r="Y3">
        <f>V3-W3-X3</f>
        <v>2</v>
      </c>
      <c r="Z3">
        <v>15</v>
      </c>
      <c r="AA3">
        <v>10</v>
      </c>
      <c r="AB3">
        <f>Z3-AA3</f>
        <v>5</v>
      </c>
      <c r="AD3" s="1" t="s">
        <v>11</v>
      </c>
      <c r="AE3" t="s">
        <v>279</v>
      </c>
      <c r="AF3" s="2">
        <f>AH3*3+AI3</f>
        <v>19</v>
      </c>
      <c r="AG3">
        <v>9</v>
      </c>
      <c r="AH3">
        <v>6</v>
      </c>
      <c r="AI3">
        <v>1</v>
      </c>
      <c r="AJ3">
        <f>AG3-AH3-AI3</f>
        <v>2</v>
      </c>
      <c r="AK3">
        <v>16</v>
      </c>
      <c r="AL3">
        <v>11</v>
      </c>
      <c r="AM3">
        <f>AK3-AL3</f>
        <v>5</v>
      </c>
      <c r="AO3" t="s">
        <v>274</v>
      </c>
      <c r="AP3">
        <v>2</v>
      </c>
    </row>
    <row r="4" spans="1:42" x14ac:dyDescent="0.3">
      <c r="A4" t="s">
        <v>11</v>
      </c>
      <c r="B4" t="s">
        <v>244</v>
      </c>
      <c r="C4" s="2">
        <f>E4*3+F4</f>
        <v>13</v>
      </c>
      <c r="D4">
        <v>8</v>
      </c>
      <c r="E4">
        <v>4</v>
      </c>
      <c r="F4">
        <v>1</v>
      </c>
      <c r="G4">
        <f>D4-E4-F4</f>
        <v>3</v>
      </c>
      <c r="H4">
        <v>12</v>
      </c>
      <c r="I4">
        <v>7</v>
      </c>
      <c r="J4">
        <f>H4-I4</f>
        <v>5</v>
      </c>
      <c r="L4" s="1" t="s">
        <v>15</v>
      </c>
      <c r="M4" t="s">
        <v>249</v>
      </c>
      <c r="S4" s="1" t="s">
        <v>13</v>
      </c>
      <c r="T4" t="s">
        <v>264</v>
      </c>
      <c r="U4" s="2">
        <f>W4*3+X4</f>
        <v>16</v>
      </c>
      <c r="V4">
        <v>9</v>
      </c>
      <c r="W4">
        <v>5</v>
      </c>
      <c r="X4">
        <v>1</v>
      </c>
      <c r="Y4">
        <f t="shared" ref="Y4:Y12" si="0">V4-W4-X4</f>
        <v>3</v>
      </c>
      <c r="Z4">
        <v>22</v>
      </c>
      <c r="AA4">
        <v>17</v>
      </c>
      <c r="AB4">
        <f t="shared" ref="AB4:AB12" si="1">Z4-AA4</f>
        <v>5</v>
      </c>
      <c r="AD4" s="1" t="s">
        <v>13</v>
      </c>
      <c r="AE4" t="s">
        <v>266</v>
      </c>
      <c r="AF4" s="2">
        <f>AH4*3+AI4</f>
        <v>16</v>
      </c>
      <c r="AG4">
        <v>9</v>
      </c>
      <c r="AH4">
        <v>5</v>
      </c>
      <c r="AI4">
        <v>1</v>
      </c>
      <c r="AJ4">
        <f t="shared" ref="AJ4:AJ12" si="2">AG4-AH4-AI4</f>
        <v>3</v>
      </c>
      <c r="AK4">
        <v>15</v>
      </c>
      <c r="AL4">
        <v>11</v>
      </c>
      <c r="AM4">
        <f t="shared" ref="AM4:AM12" si="3">AK4-AL4</f>
        <v>4</v>
      </c>
      <c r="AO4" t="s">
        <v>279</v>
      </c>
      <c r="AP4">
        <v>1</v>
      </c>
    </row>
    <row r="5" spans="1:42" x14ac:dyDescent="0.3">
      <c r="A5" t="s">
        <v>13</v>
      </c>
      <c r="B5" t="s">
        <v>245</v>
      </c>
      <c r="C5" s="2">
        <f>E5*3+F5</f>
        <v>12</v>
      </c>
      <c r="D5">
        <v>8</v>
      </c>
      <c r="E5">
        <v>4</v>
      </c>
      <c r="F5">
        <v>0</v>
      </c>
      <c r="G5">
        <f>D5-E5-F5</f>
        <v>4</v>
      </c>
      <c r="H5">
        <v>9</v>
      </c>
      <c r="I5">
        <v>8</v>
      </c>
      <c r="J5">
        <f>H5-I5</f>
        <v>1</v>
      </c>
      <c r="L5" s="1" t="s">
        <v>17</v>
      </c>
      <c r="M5" t="s">
        <v>244</v>
      </c>
      <c r="S5" t="s">
        <v>15</v>
      </c>
      <c r="T5" t="s">
        <v>252</v>
      </c>
      <c r="U5" s="2">
        <f>W5*3+X5</f>
        <v>16</v>
      </c>
      <c r="V5">
        <v>9</v>
      </c>
      <c r="W5">
        <v>5</v>
      </c>
      <c r="X5">
        <v>1</v>
      </c>
      <c r="Y5">
        <f t="shared" si="0"/>
        <v>3</v>
      </c>
      <c r="Z5">
        <v>20</v>
      </c>
      <c r="AA5">
        <v>15</v>
      </c>
      <c r="AB5">
        <f t="shared" si="1"/>
        <v>5</v>
      </c>
      <c r="AD5" t="s">
        <v>15</v>
      </c>
      <c r="AE5" t="s">
        <v>268</v>
      </c>
      <c r="AF5" s="2">
        <f>AH5*3+AI5</f>
        <v>15</v>
      </c>
      <c r="AG5">
        <v>9</v>
      </c>
      <c r="AH5">
        <v>5</v>
      </c>
      <c r="AI5">
        <v>0</v>
      </c>
      <c r="AJ5">
        <f t="shared" si="2"/>
        <v>4</v>
      </c>
      <c r="AK5">
        <v>16</v>
      </c>
      <c r="AL5">
        <v>12</v>
      </c>
      <c r="AM5">
        <f t="shared" si="3"/>
        <v>4</v>
      </c>
    </row>
    <row r="6" spans="1:42" x14ac:dyDescent="0.3">
      <c r="A6" t="s">
        <v>15</v>
      </c>
      <c r="B6" t="s">
        <v>247</v>
      </c>
      <c r="C6" s="2">
        <f>E6*3+F6</f>
        <v>10</v>
      </c>
      <c r="D6">
        <v>8</v>
      </c>
      <c r="E6">
        <v>3</v>
      </c>
      <c r="F6">
        <v>1</v>
      </c>
      <c r="G6">
        <f>D6-E6-F6</f>
        <v>4</v>
      </c>
      <c r="H6">
        <v>10</v>
      </c>
      <c r="I6">
        <v>11</v>
      </c>
      <c r="J6">
        <f>H6-I6</f>
        <v>-1</v>
      </c>
      <c r="L6" s="1" t="s">
        <v>19</v>
      </c>
      <c r="M6" t="s">
        <v>243</v>
      </c>
      <c r="S6" t="s">
        <v>17</v>
      </c>
      <c r="T6" t="s">
        <v>263</v>
      </c>
      <c r="U6" s="2">
        <f>W6*3+X6</f>
        <v>16</v>
      </c>
      <c r="V6">
        <v>9</v>
      </c>
      <c r="W6">
        <v>5</v>
      </c>
      <c r="X6">
        <v>1</v>
      </c>
      <c r="Y6">
        <f t="shared" si="0"/>
        <v>3</v>
      </c>
      <c r="Z6">
        <v>16</v>
      </c>
      <c r="AA6">
        <v>13</v>
      </c>
      <c r="AB6">
        <f t="shared" si="1"/>
        <v>3</v>
      </c>
      <c r="AD6" t="s">
        <v>17</v>
      </c>
      <c r="AE6" t="s">
        <v>271</v>
      </c>
      <c r="AF6" s="2">
        <f>AH6*3+AI6</f>
        <v>15</v>
      </c>
      <c r="AG6">
        <v>9</v>
      </c>
      <c r="AH6">
        <v>5</v>
      </c>
      <c r="AI6">
        <v>0</v>
      </c>
      <c r="AJ6">
        <f t="shared" si="2"/>
        <v>4</v>
      </c>
      <c r="AK6">
        <v>10</v>
      </c>
      <c r="AL6">
        <v>10</v>
      </c>
      <c r="AM6">
        <f t="shared" si="3"/>
        <v>0</v>
      </c>
    </row>
    <row r="7" spans="1:42" x14ac:dyDescent="0.3">
      <c r="A7" t="s">
        <v>17</v>
      </c>
      <c r="B7" t="s">
        <v>251</v>
      </c>
      <c r="C7" s="2">
        <f>E7*3+F7</f>
        <v>5</v>
      </c>
      <c r="D7">
        <v>8</v>
      </c>
      <c r="E7">
        <v>1</v>
      </c>
      <c r="F7">
        <v>2</v>
      </c>
      <c r="G7">
        <f>D7-E7-F7</f>
        <v>5</v>
      </c>
      <c r="H7">
        <v>4</v>
      </c>
      <c r="I7">
        <v>9</v>
      </c>
      <c r="J7">
        <f>H7-I7</f>
        <v>-5</v>
      </c>
      <c r="L7" s="1" t="s">
        <v>21</v>
      </c>
      <c r="M7" t="s">
        <v>245</v>
      </c>
      <c r="S7" t="s">
        <v>19</v>
      </c>
      <c r="T7" t="s">
        <v>265</v>
      </c>
      <c r="U7" s="2">
        <f t="shared" ref="U7:U12" si="4">W7*3+X7</f>
        <v>14</v>
      </c>
      <c r="V7">
        <v>9</v>
      </c>
      <c r="W7">
        <v>4</v>
      </c>
      <c r="X7">
        <v>2</v>
      </c>
      <c r="Y7">
        <f t="shared" si="0"/>
        <v>3</v>
      </c>
      <c r="Z7">
        <v>10</v>
      </c>
      <c r="AA7">
        <v>9</v>
      </c>
      <c r="AB7">
        <f t="shared" si="1"/>
        <v>1</v>
      </c>
      <c r="AD7" t="s">
        <v>19</v>
      </c>
      <c r="AE7" t="s">
        <v>275</v>
      </c>
      <c r="AF7" s="2">
        <f t="shared" ref="AF7:AF12" si="5">AH7*3+AI7</f>
        <v>14</v>
      </c>
      <c r="AG7">
        <v>9</v>
      </c>
      <c r="AH7">
        <v>4</v>
      </c>
      <c r="AI7">
        <v>2</v>
      </c>
      <c r="AJ7">
        <f t="shared" si="2"/>
        <v>3</v>
      </c>
      <c r="AK7">
        <v>12</v>
      </c>
      <c r="AL7">
        <v>10</v>
      </c>
      <c r="AM7">
        <f t="shared" si="3"/>
        <v>2</v>
      </c>
    </row>
    <row r="8" spans="1:42" x14ac:dyDescent="0.3">
      <c r="L8" s="1" t="s">
        <v>23</v>
      </c>
      <c r="M8" t="s">
        <v>42</v>
      </c>
      <c r="S8" t="s">
        <v>21</v>
      </c>
      <c r="T8" t="s">
        <v>267</v>
      </c>
      <c r="U8" s="2">
        <f t="shared" si="4"/>
        <v>12</v>
      </c>
      <c r="V8">
        <v>9</v>
      </c>
      <c r="W8">
        <v>3</v>
      </c>
      <c r="X8">
        <v>3</v>
      </c>
      <c r="Y8">
        <f t="shared" si="0"/>
        <v>3</v>
      </c>
      <c r="Z8">
        <v>13</v>
      </c>
      <c r="AA8">
        <v>12</v>
      </c>
      <c r="AB8">
        <f t="shared" si="1"/>
        <v>1</v>
      </c>
      <c r="AD8" t="s">
        <v>21</v>
      </c>
      <c r="AE8" t="s">
        <v>278</v>
      </c>
      <c r="AF8" s="2">
        <f t="shared" si="5"/>
        <v>13</v>
      </c>
      <c r="AG8">
        <v>9</v>
      </c>
      <c r="AH8">
        <v>4</v>
      </c>
      <c r="AI8">
        <v>1</v>
      </c>
      <c r="AJ8">
        <f t="shared" si="2"/>
        <v>4</v>
      </c>
      <c r="AK8">
        <v>15</v>
      </c>
      <c r="AL8">
        <v>15</v>
      </c>
      <c r="AM8">
        <f t="shared" si="3"/>
        <v>0</v>
      </c>
    </row>
    <row r="9" spans="1:42" x14ac:dyDescent="0.3">
      <c r="A9" t="s">
        <v>73</v>
      </c>
      <c r="L9" s="1" t="s">
        <v>25</v>
      </c>
      <c r="M9" t="s">
        <v>247</v>
      </c>
      <c r="S9" t="s">
        <v>23</v>
      </c>
      <c r="T9" t="s">
        <v>269</v>
      </c>
      <c r="U9" s="2">
        <f t="shared" si="4"/>
        <v>11</v>
      </c>
      <c r="V9">
        <v>9</v>
      </c>
      <c r="W9">
        <v>3</v>
      </c>
      <c r="X9">
        <v>2</v>
      </c>
      <c r="Y9">
        <f t="shared" si="0"/>
        <v>4</v>
      </c>
      <c r="Z9">
        <v>14</v>
      </c>
      <c r="AA9">
        <v>16</v>
      </c>
      <c r="AB9">
        <f t="shared" si="1"/>
        <v>-2</v>
      </c>
      <c r="AD9" t="s">
        <v>23</v>
      </c>
      <c r="AE9" t="s">
        <v>276</v>
      </c>
      <c r="AF9" s="2">
        <f t="shared" si="5"/>
        <v>11</v>
      </c>
      <c r="AG9">
        <v>9</v>
      </c>
      <c r="AH9">
        <v>3</v>
      </c>
      <c r="AI9">
        <v>2</v>
      </c>
      <c r="AJ9">
        <f t="shared" si="2"/>
        <v>4</v>
      </c>
      <c r="AK9">
        <v>17</v>
      </c>
      <c r="AL9">
        <v>17</v>
      </c>
      <c r="AM9">
        <f t="shared" si="3"/>
        <v>0</v>
      </c>
    </row>
    <row r="10" spans="1:42" x14ac:dyDescent="0.3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L10" t="s">
        <v>66</v>
      </c>
      <c r="M10" t="s">
        <v>250</v>
      </c>
      <c r="S10" t="s">
        <v>25</v>
      </c>
      <c r="T10" t="s">
        <v>236</v>
      </c>
      <c r="U10" s="2">
        <f t="shared" si="4"/>
        <v>9</v>
      </c>
      <c r="V10">
        <v>9</v>
      </c>
      <c r="W10">
        <v>3</v>
      </c>
      <c r="X10">
        <v>0</v>
      </c>
      <c r="Y10">
        <f t="shared" si="0"/>
        <v>6</v>
      </c>
      <c r="Z10">
        <v>10</v>
      </c>
      <c r="AA10">
        <v>15</v>
      </c>
      <c r="AB10">
        <f t="shared" si="1"/>
        <v>-5</v>
      </c>
      <c r="AD10" t="s">
        <v>25</v>
      </c>
      <c r="AE10" t="s">
        <v>270</v>
      </c>
      <c r="AF10" s="2">
        <f t="shared" si="5"/>
        <v>10</v>
      </c>
      <c r="AG10">
        <v>9</v>
      </c>
      <c r="AH10">
        <v>3</v>
      </c>
      <c r="AI10">
        <v>1</v>
      </c>
      <c r="AJ10">
        <f t="shared" si="2"/>
        <v>5</v>
      </c>
      <c r="AK10">
        <v>15</v>
      </c>
      <c r="AL10">
        <v>18</v>
      </c>
      <c r="AM10">
        <f t="shared" si="3"/>
        <v>-3</v>
      </c>
    </row>
    <row r="11" spans="1:42" x14ac:dyDescent="0.3">
      <c r="A11" t="s">
        <v>11</v>
      </c>
      <c r="B11" t="s">
        <v>256</v>
      </c>
      <c r="C11" s="2">
        <f>E11*3+F11</f>
        <v>19</v>
      </c>
      <c r="D11">
        <v>8</v>
      </c>
      <c r="E11">
        <v>6</v>
      </c>
      <c r="F11">
        <v>1</v>
      </c>
      <c r="G11">
        <f>D11-E11-F11</f>
        <v>1</v>
      </c>
      <c r="H11">
        <v>12</v>
      </c>
      <c r="I11">
        <v>5</v>
      </c>
      <c r="J11">
        <f>H11-I11</f>
        <v>7</v>
      </c>
      <c r="L11" s="5" t="s">
        <v>137</v>
      </c>
      <c r="M11" t="s">
        <v>242</v>
      </c>
      <c r="S11" s="3" t="s">
        <v>66</v>
      </c>
      <c r="T11" t="s">
        <v>248</v>
      </c>
      <c r="U11" s="2">
        <f t="shared" si="4"/>
        <v>9</v>
      </c>
      <c r="V11">
        <v>9</v>
      </c>
      <c r="W11">
        <v>2</v>
      </c>
      <c r="X11">
        <v>3</v>
      </c>
      <c r="Y11">
        <f t="shared" si="0"/>
        <v>4</v>
      </c>
      <c r="Z11">
        <v>8</v>
      </c>
      <c r="AA11">
        <v>11</v>
      </c>
      <c r="AB11">
        <f t="shared" si="1"/>
        <v>-3</v>
      </c>
      <c r="AD11" t="s">
        <v>66</v>
      </c>
      <c r="AE11" t="s">
        <v>273</v>
      </c>
      <c r="AF11" s="2">
        <f t="shared" si="5"/>
        <v>10</v>
      </c>
      <c r="AG11">
        <v>9</v>
      </c>
      <c r="AH11">
        <v>3</v>
      </c>
      <c r="AI11">
        <v>1</v>
      </c>
      <c r="AJ11">
        <f t="shared" si="2"/>
        <v>5</v>
      </c>
      <c r="AK11">
        <v>8</v>
      </c>
      <c r="AL11">
        <v>14</v>
      </c>
      <c r="AM11">
        <f t="shared" si="3"/>
        <v>-6</v>
      </c>
    </row>
    <row r="12" spans="1:42" x14ac:dyDescent="0.3">
      <c r="A12" t="s">
        <v>13</v>
      </c>
      <c r="B12" t="s">
        <v>255</v>
      </c>
      <c r="C12" s="2">
        <f>E12*3+F12</f>
        <v>14</v>
      </c>
      <c r="D12">
        <v>8</v>
      </c>
      <c r="E12">
        <v>4</v>
      </c>
      <c r="F12">
        <v>2</v>
      </c>
      <c r="G12">
        <f>D12-E12-F12</f>
        <v>2</v>
      </c>
      <c r="H12">
        <v>8</v>
      </c>
      <c r="I12">
        <v>3</v>
      </c>
      <c r="J12">
        <f>H12-I12</f>
        <v>5</v>
      </c>
      <c r="L12" s="5" t="s">
        <v>149</v>
      </c>
      <c r="M12" t="s">
        <v>246</v>
      </c>
      <c r="S12" s="3" t="s">
        <v>137</v>
      </c>
      <c r="T12" t="s">
        <v>272</v>
      </c>
      <c r="U12" s="2">
        <f t="shared" si="4"/>
        <v>7</v>
      </c>
      <c r="V12">
        <v>9</v>
      </c>
      <c r="W12">
        <v>2</v>
      </c>
      <c r="X12">
        <v>1</v>
      </c>
      <c r="Y12">
        <f t="shared" si="0"/>
        <v>6</v>
      </c>
      <c r="Z12">
        <v>9</v>
      </c>
      <c r="AA12">
        <v>19</v>
      </c>
      <c r="AB12">
        <f t="shared" si="1"/>
        <v>-10</v>
      </c>
      <c r="AD12" t="s">
        <v>137</v>
      </c>
      <c r="AE12" t="s">
        <v>277</v>
      </c>
      <c r="AF12" s="2">
        <f t="shared" si="5"/>
        <v>7</v>
      </c>
      <c r="AG12">
        <v>9</v>
      </c>
      <c r="AH12">
        <v>2</v>
      </c>
      <c r="AI12">
        <v>1</v>
      </c>
      <c r="AJ12">
        <f t="shared" si="2"/>
        <v>6</v>
      </c>
      <c r="AK12">
        <v>12</v>
      </c>
      <c r="AL12">
        <v>18</v>
      </c>
      <c r="AM12">
        <f t="shared" si="3"/>
        <v>-6</v>
      </c>
    </row>
    <row r="13" spans="1:42" x14ac:dyDescent="0.3">
      <c r="A13" t="s">
        <v>15</v>
      </c>
      <c r="B13" t="s">
        <v>249</v>
      </c>
      <c r="C13" s="2">
        <f>E13*3+F13</f>
        <v>14</v>
      </c>
      <c r="D13">
        <v>8</v>
      </c>
      <c r="E13">
        <v>4</v>
      </c>
      <c r="F13">
        <v>2</v>
      </c>
      <c r="G13">
        <f>D13-E13-F13</f>
        <v>2</v>
      </c>
      <c r="H13">
        <v>9</v>
      </c>
      <c r="I13">
        <v>10</v>
      </c>
      <c r="J13">
        <f>H13-I13</f>
        <v>-1</v>
      </c>
      <c r="L13" s="3" t="s">
        <v>150</v>
      </c>
      <c r="M13" t="s">
        <v>251</v>
      </c>
    </row>
    <row r="14" spans="1:42" x14ac:dyDescent="0.3">
      <c r="A14" t="s">
        <v>17</v>
      </c>
      <c r="B14" t="s">
        <v>246</v>
      </c>
      <c r="C14" s="2">
        <f>E14*3+F14</f>
        <v>7</v>
      </c>
      <c r="D14">
        <v>8</v>
      </c>
      <c r="E14">
        <v>2</v>
      </c>
      <c r="F14">
        <v>1</v>
      </c>
      <c r="G14">
        <f>D14-E14-F14</f>
        <v>5</v>
      </c>
      <c r="H14">
        <v>6</v>
      </c>
      <c r="I14">
        <v>11</v>
      </c>
      <c r="J14">
        <f>H14-I14</f>
        <v>-5</v>
      </c>
    </row>
    <row r="15" spans="1:42" x14ac:dyDescent="0.3">
      <c r="L15" t="s">
        <v>253</v>
      </c>
    </row>
    <row r="16" spans="1:42" x14ac:dyDescent="0.3">
      <c r="A16" t="s">
        <v>254</v>
      </c>
      <c r="L16" t="str">
        <f>M12</f>
        <v>CRAC</v>
      </c>
      <c r="M16" t="s">
        <v>90</v>
      </c>
      <c r="N16" t="str">
        <f>M11</f>
        <v>Aparecidense</v>
      </c>
      <c r="P16" t="str">
        <f>M11</f>
        <v>Aparecidense</v>
      </c>
      <c r="Q16" t="s">
        <v>260</v>
      </c>
      <c r="R16" t="str">
        <f>M12</f>
        <v>CRAC</v>
      </c>
    </row>
    <row r="17" spans="1:10" x14ac:dyDescent="0.3">
      <c r="A17" t="s">
        <v>1</v>
      </c>
      <c r="B17" t="s">
        <v>2</v>
      </c>
      <c r="C17" t="s">
        <v>3</v>
      </c>
      <c r="D17" t="s">
        <v>4</v>
      </c>
      <c r="E17" t="s">
        <v>5</v>
      </c>
      <c r="F17" t="s">
        <v>6</v>
      </c>
      <c r="G17" t="s">
        <v>7</v>
      </c>
      <c r="H17" t="s">
        <v>8</v>
      </c>
      <c r="I17" t="s">
        <v>9</v>
      </c>
      <c r="J17" t="s">
        <v>10</v>
      </c>
    </row>
    <row r="18" spans="1:10" x14ac:dyDescent="0.3">
      <c r="A18" t="s">
        <v>11</v>
      </c>
      <c r="B18" t="s">
        <v>243</v>
      </c>
      <c r="C18" s="2">
        <f>E18*3+F18</f>
        <v>13</v>
      </c>
      <c r="D18">
        <v>8</v>
      </c>
      <c r="E18">
        <v>4</v>
      </c>
      <c r="F18">
        <v>1</v>
      </c>
      <c r="G18">
        <f>D18-E18-F18</f>
        <v>3</v>
      </c>
      <c r="H18">
        <v>10</v>
      </c>
      <c r="I18">
        <v>8</v>
      </c>
      <c r="J18">
        <f>H18-I18</f>
        <v>2</v>
      </c>
    </row>
    <row r="19" spans="1:10" x14ac:dyDescent="0.3">
      <c r="A19" t="s">
        <v>13</v>
      </c>
      <c r="B19" t="s">
        <v>42</v>
      </c>
      <c r="C19" s="2">
        <f>E19*3+F19</f>
        <v>12</v>
      </c>
      <c r="D19">
        <v>8</v>
      </c>
      <c r="E19">
        <v>3</v>
      </c>
      <c r="F19">
        <v>3</v>
      </c>
      <c r="G19">
        <f>D19-E19-F19</f>
        <v>2</v>
      </c>
      <c r="H19">
        <v>4</v>
      </c>
      <c r="I19">
        <v>5</v>
      </c>
      <c r="J19">
        <f>H19-I19</f>
        <v>-1</v>
      </c>
    </row>
    <row r="20" spans="1:10" x14ac:dyDescent="0.3">
      <c r="A20" t="s">
        <v>15</v>
      </c>
      <c r="B20" t="s">
        <v>250</v>
      </c>
      <c r="C20" s="2">
        <f>E20*3+F20</f>
        <v>8</v>
      </c>
      <c r="D20">
        <v>8</v>
      </c>
      <c r="E20">
        <v>2</v>
      </c>
      <c r="F20">
        <v>2</v>
      </c>
      <c r="G20">
        <f>D20-E20-F20</f>
        <v>4</v>
      </c>
      <c r="H20">
        <v>5</v>
      </c>
      <c r="I20">
        <v>8</v>
      </c>
      <c r="J20">
        <f>H20-I20</f>
        <v>-3</v>
      </c>
    </row>
    <row r="21" spans="1:10" x14ac:dyDescent="0.3">
      <c r="A21" t="s">
        <v>17</v>
      </c>
      <c r="B21" t="s">
        <v>242</v>
      </c>
      <c r="C21" s="2">
        <f>E21*3+F21</f>
        <v>8</v>
      </c>
      <c r="D21">
        <v>8</v>
      </c>
      <c r="E21">
        <v>2</v>
      </c>
      <c r="F21">
        <v>2</v>
      </c>
      <c r="G21">
        <f>D21-E21-F21</f>
        <v>4</v>
      </c>
      <c r="H21">
        <v>9</v>
      </c>
      <c r="I21">
        <v>13</v>
      </c>
      <c r="J21">
        <f>H21-I21</f>
        <v>-4</v>
      </c>
    </row>
    <row r="23" spans="1:10" x14ac:dyDescent="0.3">
      <c r="A23" t="s">
        <v>221</v>
      </c>
    </row>
    <row r="24" spans="1:10" x14ac:dyDescent="0.3">
      <c r="A24" t="str">
        <f>M9</f>
        <v>Ouvidorense</v>
      </c>
      <c r="B24" t="s">
        <v>28</v>
      </c>
      <c r="C24" t="str">
        <f>M2</f>
        <v>Mineiros</v>
      </c>
      <c r="E24" t="str">
        <f>M2</f>
        <v>Mineiros</v>
      </c>
      <c r="F24" t="s">
        <v>257</v>
      </c>
      <c r="G24" t="str">
        <f>M9</f>
        <v>Ouvidorense</v>
      </c>
    </row>
    <row r="25" spans="1:10" x14ac:dyDescent="0.3">
      <c r="A25" t="str">
        <f>M6</f>
        <v>Inhumas</v>
      </c>
      <c r="B25" t="s">
        <v>30</v>
      </c>
      <c r="C25" t="str">
        <f>M5</f>
        <v>Jataiense</v>
      </c>
      <c r="E25" t="str">
        <f>M5</f>
        <v>Jataiense</v>
      </c>
      <c r="F25" t="s">
        <v>36</v>
      </c>
      <c r="G25" t="str">
        <f>M6</f>
        <v>Inhumas</v>
      </c>
    </row>
    <row r="26" spans="1:10" x14ac:dyDescent="0.3">
      <c r="A26" t="str">
        <f>M8</f>
        <v>Atlético</v>
      </c>
      <c r="B26" t="s">
        <v>57</v>
      </c>
      <c r="C26" t="str">
        <f>M3</f>
        <v>Goiânia</v>
      </c>
      <c r="E26" t="str">
        <f>M3</f>
        <v>Goiânia</v>
      </c>
      <c r="F26" t="s">
        <v>54</v>
      </c>
      <c r="G26" t="str">
        <f>M8</f>
        <v>Atlético</v>
      </c>
    </row>
    <row r="27" spans="1:10" x14ac:dyDescent="0.3">
      <c r="A27" t="str">
        <f>M7</f>
        <v>Goiatuba</v>
      </c>
      <c r="B27" t="s">
        <v>31</v>
      </c>
      <c r="C27" t="str">
        <f>M4</f>
        <v>Goiás</v>
      </c>
      <c r="E27" t="str">
        <f>M4</f>
        <v>Goiás</v>
      </c>
      <c r="F27" t="s">
        <v>30</v>
      </c>
      <c r="G27" t="str">
        <f>M7</f>
        <v>Goiatuba</v>
      </c>
    </row>
    <row r="29" spans="1:10" x14ac:dyDescent="0.3">
      <c r="A29" t="s">
        <v>258</v>
      </c>
    </row>
    <row r="30" spans="1:10" x14ac:dyDescent="0.3">
      <c r="A30" t="s">
        <v>27</v>
      </c>
    </row>
    <row r="31" spans="1:10" x14ac:dyDescent="0.3">
      <c r="A31" t="s">
        <v>245</v>
      </c>
      <c r="B31" t="s">
        <v>44</v>
      </c>
      <c r="C31" t="s">
        <v>243</v>
      </c>
      <c r="E31" t="s">
        <v>243</v>
      </c>
      <c r="F31" t="s">
        <v>259</v>
      </c>
      <c r="G31" t="s">
        <v>245</v>
      </c>
    </row>
    <row r="32" spans="1:10" x14ac:dyDescent="0.3">
      <c r="A32" t="s">
        <v>42</v>
      </c>
      <c r="B32" t="s">
        <v>30</v>
      </c>
      <c r="C32" t="s">
        <v>247</v>
      </c>
      <c r="E32" t="s">
        <v>247</v>
      </c>
      <c r="F32" t="s">
        <v>44</v>
      </c>
      <c r="G32" t="s">
        <v>42</v>
      </c>
    </row>
    <row r="34" spans="1:7" x14ac:dyDescent="0.3">
      <c r="A34" t="s">
        <v>33</v>
      </c>
    </row>
    <row r="35" spans="1:7" x14ac:dyDescent="0.3">
      <c r="A35" t="s">
        <v>42</v>
      </c>
      <c r="B35" t="s">
        <v>28</v>
      </c>
      <c r="C35" t="s">
        <v>243</v>
      </c>
      <c r="E35" t="s">
        <v>243</v>
      </c>
      <c r="F35" t="s">
        <v>57</v>
      </c>
      <c r="G35" t="s">
        <v>42</v>
      </c>
    </row>
    <row r="37" spans="1:7" x14ac:dyDescent="0.3">
      <c r="A37" t="s">
        <v>27</v>
      </c>
    </row>
    <row r="38" spans="1:7" x14ac:dyDescent="0.3">
      <c r="A38" t="s">
        <v>244</v>
      </c>
      <c r="B38" t="s">
        <v>90</v>
      </c>
      <c r="C38" t="s">
        <v>256</v>
      </c>
      <c r="E38" t="s">
        <v>256</v>
      </c>
      <c r="F38" t="s">
        <v>28</v>
      </c>
      <c r="G38" t="s">
        <v>244</v>
      </c>
    </row>
    <row r="39" spans="1:7" x14ac:dyDescent="0.3">
      <c r="A39" t="s">
        <v>255</v>
      </c>
      <c r="B39" t="s">
        <v>57</v>
      </c>
      <c r="C39" t="s">
        <v>249</v>
      </c>
      <c r="E39" t="s">
        <v>249</v>
      </c>
      <c r="F39" t="s">
        <v>65</v>
      </c>
      <c r="G39" t="s">
        <v>255</v>
      </c>
    </row>
    <row r="41" spans="1:7" x14ac:dyDescent="0.3">
      <c r="A41" t="s">
        <v>33</v>
      </c>
    </row>
    <row r="42" spans="1:7" x14ac:dyDescent="0.3">
      <c r="A42" t="s">
        <v>244</v>
      </c>
      <c r="B42" t="s">
        <v>56</v>
      </c>
      <c r="C42" t="s">
        <v>249</v>
      </c>
      <c r="E42" t="s">
        <v>249</v>
      </c>
      <c r="F42" t="s">
        <v>43</v>
      </c>
      <c r="G42" t="s">
        <v>244</v>
      </c>
    </row>
    <row r="44" spans="1:7" x14ac:dyDescent="0.3">
      <c r="A44" t="s">
        <v>38</v>
      </c>
    </row>
    <row r="45" spans="1:7" x14ac:dyDescent="0.3">
      <c r="A45" t="s">
        <v>244</v>
      </c>
    </row>
    <row r="46" spans="1:7" x14ac:dyDescent="0.3">
      <c r="A46" t="s">
        <v>256</v>
      </c>
    </row>
    <row r="47" spans="1:7" x14ac:dyDescent="0.3">
      <c r="A47" t="s">
        <v>255</v>
      </c>
    </row>
    <row r="49" spans="1:1" x14ac:dyDescent="0.3">
      <c r="A49" t="s">
        <v>39</v>
      </c>
    </row>
    <row r="50" spans="1:1" x14ac:dyDescent="0.3">
      <c r="A50" t="s">
        <v>249</v>
      </c>
    </row>
    <row r="51" spans="1:1" x14ac:dyDescent="0.3">
      <c r="A51" t="s">
        <v>244</v>
      </c>
    </row>
    <row r="52" spans="1:1" x14ac:dyDescent="0.3">
      <c r="A52" t="s">
        <v>256</v>
      </c>
    </row>
    <row r="53" spans="1:1" x14ac:dyDescent="0.3">
      <c r="A53" t="s">
        <v>255</v>
      </c>
    </row>
  </sheetData>
  <sortState xmlns:xlrd2="http://schemas.microsoft.com/office/spreadsheetml/2017/richdata2" ref="B11:J14">
    <sortCondition descending="1" ref="C11:C14"/>
    <sortCondition descending="1" ref="J11:J1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C2674-335C-4782-BD93-CE5326168E3B}">
  <dimension ref="A1:X33"/>
  <sheetViews>
    <sheetView workbookViewId="0">
      <selection activeCell="N3" sqref="N3:N6"/>
    </sheetView>
  </sheetViews>
  <sheetFormatPr defaultRowHeight="14.4" x14ac:dyDescent="0.3"/>
  <sheetData>
    <row r="1" spans="1:24" x14ac:dyDescent="0.3">
      <c r="A1" t="s">
        <v>280</v>
      </c>
      <c r="L1" t="s">
        <v>72</v>
      </c>
      <c r="W1" t="s">
        <v>70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284</v>
      </c>
      <c r="X2">
        <v>1</v>
      </c>
    </row>
    <row r="3" spans="1:24" x14ac:dyDescent="0.3">
      <c r="A3" s="1" t="s">
        <v>11</v>
      </c>
      <c r="B3" t="s">
        <v>281</v>
      </c>
      <c r="C3" s="2">
        <f>E3*3+F3</f>
        <v>18</v>
      </c>
      <c r="D3">
        <v>7</v>
      </c>
      <c r="E3">
        <v>6</v>
      </c>
      <c r="F3">
        <v>0</v>
      </c>
      <c r="G3">
        <f>D3-E3-F3</f>
        <v>1</v>
      </c>
      <c r="H3">
        <v>13</v>
      </c>
      <c r="I3">
        <v>5</v>
      </c>
      <c r="J3">
        <f>H3-I3</f>
        <v>8</v>
      </c>
      <c r="L3" s="1" t="s">
        <v>11</v>
      </c>
      <c r="M3" t="s">
        <v>295</v>
      </c>
      <c r="N3" s="2">
        <f>P3*3+Q3</f>
        <v>7</v>
      </c>
      <c r="O3">
        <v>4</v>
      </c>
      <c r="P3">
        <v>2</v>
      </c>
      <c r="Q3">
        <v>1</v>
      </c>
      <c r="R3">
        <f>O3-P3-Q3</f>
        <v>1</v>
      </c>
      <c r="S3">
        <v>8</v>
      </c>
      <c r="T3">
        <v>6</v>
      </c>
      <c r="U3">
        <f>S3-T3</f>
        <v>2</v>
      </c>
      <c r="W3" t="s">
        <v>296</v>
      </c>
      <c r="X3">
        <v>1</v>
      </c>
    </row>
    <row r="4" spans="1:24" x14ac:dyDescent="0.3">
      <c r="A4" s="1" t="s">
        <v>13</v>
      </c>
      <c r="B4" t="s">
        <v>287</v>
      </c>
      <c r="C4" s="2">
        <f t="shared" ref="C4:C10" si="0">E4*3+F4</f>
        <v>14</v>
      </c>
      <c r="D4">
        <v>7</v>
      </c>
      <c r="E4">
        <v>4</v>
      </c>
      <c r="F4">
        <v>2</v>
      </c>
      <c r="G4">
        <f t="shared" ref="G4:G10" si="1">D4-E4-F4</f>
        <v>1</v>
      </c>
      <c r="H4">
        <v>10</v>
      </c>
      <c r="I4">
        <v>6</v>
      </c>
      <c r="J4">
        <f t="shared" ref="J4:J10" si="2">H4-I4</f>
        <v>4</v>
      </c>
      <c r="L4" s="1" t="s">
        <v>13</v>
      </c>
      <c r="M4" t="s">
        <v>288</v>
      </c>
      <c r="N4" s="2">
        <f t="shared" ref="N4:N7" si="3">P4*3+Q4</f>
        <v>6</v>
      </c>
      <c r="O4">
        <v>4</v>
      </c>
      <c r="P4">
        <v>2</v>
      </c>
      <c r="Q4">
        <v>0</v>
      </c>
      <c r="R4">
        <f>O4-P4-Q4</f>
        <v>2</v>
      </c>
      <c r="S4">
        <v>5</v>
      </c>
      <c r="T4">
        <v>5</v>
      </c>
      <c r="U4">
        <f>S4-T4</f>
        <v>0</v>
      </c>
    </row>
    <row r="5" spans="1:24" x14ac:dyDescent="0.3">
      <c r="A5" s="1" t="s">
        <v>15</v>
      </c>
      <c r="B5" t="s">
        <v>284</v>
      </c>
      <c r="C5" s="2">
        <f t="shared" si="0"/>
        <v>12</v>
      </c>
      <c r="D5">
        <v>7</v>
      </c>
      <c r="E5">
        <v>4</v>
      </c>
      <c r="F5">
        <v>0</v>
      </c>
      <c r="G5">
        <f t="shared" si="1"/>
        <v>3</v>
      </c>
      <c r="H5">
        <v>12</v>
      </c>
      <c r="I5">
        <v>6</v>
      </c>
      <c r="J5">
        <f t="shared" si="2"/>
        <v>6</v>
      </c>
      <c r="L5" s="1" t="s">
        <v>15</v>
      </c>
      <c r="M5" t="s">
        <v>292</v>
      </c>
      <c r="N5" s="2">
        <f t="shared" si="3"/>
        <v>6</v>
      </c>
      <c r="O5">
        <v>4</v>
      </c>
      <c r="P5">
        <v>2</v>
      </c>
      <c r="Q5">
        <v>0</v>
      </c>
      <c r="R5">
        <f>O5-P5-Q5</f>
        <v>2</v>
      </c>
      <c r="S5">
        <v>4</v>
      </c>
      <c r="T5">
        <v>4</v>
      </c>
      <c r="U5">
        <f>S5-T5</f>
        <v>0</v>
      </c>
    </row>
    <row r="6" spans="1:24" x14ac:dyDescent="0.3">
      <c r="A6" s="1" t="s">
        <v>17</v>
      </c>
      <c r="B6" t="s">
        <v>283</v>
      </c>
      <c r="C6" s="2">
        <f t="shared" si="0"/>
        <v>10</v>
      </c>
      <c r="D6">
        <v>7</v>
      </c>
      <c r="E6">
        <v>3</v>
      </c>
      <c r="F6">
        <v>1</v>
      </c>
      <c r="G6">
        <f t="shared" si="1"/>
        <v>3</v>
      </c>
      <c r="H6">
        <v>8</v>
      </c>
      <c r="I6">
        <v>9</v>
      </c>
      <c r="J6">
        <f t="shared" si="2"/>
        <v>-1</v>
      </c>
      <c r="L6" t="s">
        <v>17</v>
      </c>
      <c r="M6" t="s">
        <v>294</v>
      </c>
      <c r="N6" s="2">
        <f t="shared" si="3"/>
        <v>6</v>
      </c>
      <c r="O6">
        <v>4</v>
      </c>
      <c r="P6">
        <v>2</v>
      </c>
      <c r="Q6">
        <v>0</v>
      </c>
      <c r="R6">
        <f>O6-P6-Q6</f>
        <v>2</v>
      </c>
      <c r="S6">
        <v>4</v>
      </c>
      <c r="T6">
        <v>5</v>
      </c>
      <c r="U6">
        <f>S6-T6</f>
        <v>-1</v>
      </c>
    </row>
    <row r="7" spans="1:24" x14ac:dyDescent="0.3">
      <c r="A7" t="s">
        <v>19</v>
      </c>
      <c r="B7" t="s">
        <v>289</v>
      </c>
      <c r="C7" s="2">
        <f t="shared" si="0"/>
        <v>9</v>
      </c>
      <c r="D7">
        <v>7</v>
      </c>
      <c r="E7">
        <v>3</v>
      </c>
      <c r="F7">
        <v>0</v>
      </c>
      <c r="G7">
        <f t="shared" si="1"/>
        <v>4</v>
      </c>
      <c r="H7">
        <v>8</v>
      </c>
      <c r="I7">
        <v>10</v>
      </c>
      <c r="J7">
        <f t="shared" si="2"/>
        <v>-2</v>
      </c>
      <c r="L7" t="s">
        <v>19</v>
      </c>
      <c r="M7" t="s">
        <v>112</v>
      </c>
      <c r="N7" s="2">
        <f t="shared" si="3"/>
        <v>4</v>
      </c>
      <c r="O7">
        <v>4</v>
      </c>
      <c r="P7">
        <v>1</v>
      </c>
      <c r="Q7">
        <v>1</v>
      </c>
      <c r="R7">
        <f>O7-P7-Q7</f>
        <v>2</v>
      </c>
      <c r="S7">
        <v>6</v>
      </c>
      <c r="T7">
        <v>7</v>
      </c>
      <c r="U7">
        <f>S7-T7</f>
        <v>-1</v>
      </c>
    </row>
    <row r="8" spans="1:24" x14ac:dyDescent="0.3">
      <c r="A8" s="5" t="s">
        <v>21</v>
      </c>
      <c r="B8" t="s">
        <v>282</v>
      </c>
      <c r="C8" s="2">
        <f t="shared" si="0"/>
        <v>7</v>
      </c>
      <c r="D8">
        <v>7</v>
      </c>
      <c r="E8">
        <v>2</v>
      </c>
      <c r="F8">
        <v>1</v>
      </c>
      <c r="G8">
        <f t="shared" si="1"/>
        <v>4</v>
      </c>
      <c r="H8">
        <v>8</v>
      </c>
      <c r="I8">
        <v>12</v>
      </c>
      <c r="J8">
        <f t="shared" si="2"/>
        <v>-4</v>
      </c>
    </row>
    <row r="9" spans="1:24" x14ac:dyDescent="0.3">
      <c r="A9" s="5" t="s">
        <v>23</v>
      </c>
      <c r="B9" t="s">
        <v>285</v>
      </c>
      <c r="C9" s="2">
        <f t="shared" si="0"/>
        <v>6</v>
      </c>
      <c r="D9">
        <v>7</v>
      </c>
      <c r="E9">
        <v>1</v>
      </c>
      <c r="F9">
        <v>3</v>
      </c>
      <c r="G9">
        <f t="shared" si="1"/>
        <v>3</v>
      </c>
      <c r="H9">
        <v>5</v>
      </c>
      <c r="I9">
        <v>11</v>
      </c>
      <c r="J9">
        <f t="shared" si="2"/>
        <v>-6</v>
      </c>
      <c r="L9" t="s">
        <v>73</v>
      </c>
    </row>
    <row r="10" spans="1:24" x14ac:dyDescent="0.3">
      <c r="A10" s="3" t="s">
        <v>25</v>
      </c>
      <c r="B10" t="s">
        <v>290</v>
      </c>
      <c r="C10" s="2">
        <f t="shared" si="0"/>
        <v>4</v>
      </c>
      <c r="D10">
        <v>7</v>
      </c>
      <c r="E10">
        <v>1</v>
      </c>
      <c r="F10">
        <v>1</v>
      </c>
      <c r="G10">
        <f t="shared" si="1"/>
        <v>5</v>
      </c>
      <c r="H10">
        <v>5</v>
      </c>
      <c r="I10">
        <v>10</v>
      </c>
      <c r="J10">
        <f t="shared" si="2"/>
        <v>-5</v>
      </c>
      <c r="L10" t="s">
        <v>1</v>
      </c>
      <c r="M10" t="s">
        <v>2</v>
      </c>
      <c r="N10" t="s">
        <v>3</v>
      </c>
      <c r="O10" t="s">
        <v>4</v>
      </c>
      <c r="P10" t="s">
        <v>5</v>
      </c>
      <c r="Q10" t="s">
        <v>6</v>
      </c>
      <c r="R10" t="s">
        <v>7</v>
      </c>
      <c r="S10" t="s">
        <v>8</v>
      </c>
      <c r="T10" t="s">
        <v>9</v>
      </c>
      <c r="U10" t="s">
        <v>10</v>
      </c>
    </row>
    <row r="11" spans="1:24" x14ac:dyDescent="0.3">
      <c r="L11" s="1" t="s">
        <v>11</v>
      </c>
      <c r="M11" t="s">
        <v>296</v>
      </c>
      <c r="N11" s="2">
        <f>P11*3+Q11</f>
        <v>6</v>
      </c>
      <c r="O11">
        <v>3</v>
      </c>
      <c r="P11">
        <v>2</v>
      </c>
      <c r="Q11">
        <v>0</v>
      </c>
      <c r="R11">
        <f>O11-P11-Q11</f>
        <v>1</v>
      </c>
      <c r="S11">
        <v>10</v>
      </c>
      <c r="T11">
        <v>5</v>
      </c>
      <c r="U11">
        <f>S11-T11</f>
        <v>5</v>
      </c>
    </row>
    <row r="12" spans="1:24" x14ac:dyDescent="0.3">
      <c r="A12" t="s">
        <v>27</v>
      </c>
      <c r="L12" s="1" t="s">
        <v>13</v>
      </c>
      <c r="M12" t="s">
        <v>293</v>
      </c>
      <c r="N12" s="2">
        <f t="shared" ref="N12:N14" si="4">P12*3+Q12</f>
        <v>6</v>
      </c>
      <c r="O12">
        <v>3</v>
      </c>
      <c r="P12">
        <v>2</v>
      </c>
      <c r="Q12">
        <v>0</v>
      </c>
      <c r="R12">
        <f>O12-P12-Q12</f>
        <v>1</v>
      </c>
      <c r="S12">
        <v>5</v>
      </c>
      <c r="T12">
        <v>4</v>
      </c>
      <c r="U12">
        <f>S12-T12</f>
        <v>1</v>
      </c>
    </row>
    <row r="13" spans="1:24" x14ac:dyDescent="0.3">
      <c r="A13" t="str">
        <f>B6</f>
        <v>ITZ Sport</v>
      </c>
      <c r="B13" t="s">
        <v>44</v>
      </c>
      <c r="C13" t="str">
        <f>B3</f>
        <v>IAPE</v>
      </c>
      <c r="E13" t="str">
        <f>B3</f>
        <v>IAPE</v>
      </c>
      <c r="F13" t="s">
        <v>31</v>
      </c>
      <c r="G13" t="str">
        <f>B6</f>
        <v>ITZ Sport</v>
      </c>
      <c r="L13" s="1" t="s">
        <v>15</v>
      </c>
      <c r="M13" t="s">
        <v>299</v>
      </c>
      <c r="N13" s="2">
        <f t="shared" si="4"/>
        <v>3</v>
      </c>
      <c r="O13">
        <v>3</v>
      </c>
      <c r="P13">
        <v>1</v>
      </c>
      <c r="Q13">
        <v>0</v>
      </c>
      <c r="R13">
        <f>O13-P13-Q13</f>
        <v>2</v>
      </c>
      <c r="S13">
        <v>2</v>
      </c>
      <c r="T13">
        <v>4</v>
      </c>
      <c r="U13">
        <f>S13-T13</f>
        <v>-2</v>
      </c>
    </row>
    <row r="14" spans="1:24" x14ac:dyDescent="0.3">
      <c r="A14" t="str">
        <f>B5</f>
        <v>Tuntum</v>
      </c>
      <c r="B14" t="s">
        <v>44</v>
      </c>
      <c r="C14" t="str">
        <f>B4</f>
        <v>Luminense</v>
      </c>
      <c r="E14" t="str">
        <f>B4</f>
        <v>Luminense</v>
      </c>
      <c r="F14" t="s">
        <v>31</v>
      </c>
      <c r="G14" t="str">
        <f>B5</f>
        <v>Tuntum</v>
      </c>
      <c r="L14" t="s">
        <v>17</v>
      </c>
      <c r="M14" t="s">
        <v>291</v>
      </c>
      <c r="N14" s="2">
        <f t="shared" si="4"/>
        <v>3</v>
      </c>
      <c r="O14">
        <v>3</v>
      </c>
      <c r="P14">
        <v>1</v>
      </c>
      <c r="Q14">
        <v>0</v>
      </c>
      <c r="R14">
        <f>O14-P14-Q14</f>
        <v>2</v>
      </c>
      <c r="S14">
        <v>4</v>
      </c>
      <c r="T14">
        <v>8</v>
      </c>
      <c r="U14">
        <f>S14-T14</f>
        <v>-4</v>
      </c>
    </row>
    <row r="16" spans="1:24" x14ac:dyDescent="0.3">
      <c r="A16" t="s">
        <v>33</v>
      </c>
      <c r="L16" t="s">
        <v>254</v>
      </c>
    </row>
    <row r="17" spans="1:21" x14ac:dyDescent="0.3">
      <c r="A17" t="s">
        <v>283</v>
      </c>
      <c r="B17" t="s">
        <v>57</v>
      </c>
      <c r="C17" t="s">
        <v>284</v>
      </c>
      <c r="E17" t="s">
        <v>284</v>
      </c>
      <c r="F17" t="s">
        <v>30</v>
      </c>
      <c r="G17" t="s">
        <v>283</v>
      </c>
      <c r="L17" t="s">
        <v>1</v>
      </c>
      <c r="M17" t="s">
        <v>2</v>
      </c>
      <c r="N17" t="s">
        <v>3</v>
      </c>
      <c r="O17" t="s">
        <v>4</v>
      </c>
      <c r="P17" t="s">
        <v>5</v>
      </c>
      <c r="Q17" t="s">
        <v>6</v>
      </c>
      <c r="R17" t="s">
        <v>7</v>
      </c>
      <c r="S17" t="s">
        <v>8</v>
      </c>
      <c r="T17" t="s">
        <v>9</v>
      </c>
      <c r="U17" t="s">
        <v>10</v>
      </c>
    </row>
    <row r="18" spans="1:21" x14ac:dyDescent="0.3">
      <c r="L18" s="1" t="s">
        <v>11</v>
      </c>
      <c r="M18" t="s">
        <v>286</v>
      </c>
      <c r="N18" s="2">
        <f>P18*3+Q18</f>
        <v>10</v>
      </c>
      <c r="O18">
        <v>4</v>
      </c>
      <c r="P18">
        <v>3</v>
      </c>
      <c r="Q18">
        <v>1</v>
      </c>
      <c r="R18">
        <f>O18-P18-Q18</f>
        <v>0</v>
      </c>
      <c r="S18">
        <v>7</v>
      </c>
      <c r="T18">
        <v>2</v>
      </c>
      <c r="U18">
        <f>S18-T18</f>
        <v>5</v>
      </c>
    </row>
    <row r="19" spans="1:21" x14ac:dyDescent="0.3">
      <c r="A19" t="s">
        <v>253</v>
      </c>
      <c r="L19" s="1" t="s">
        <v>13</v>
      </c>
      <c r="M19" t="s">
        <v>297</v>
      </c>
      <c r="N19" s="2">
        <f t="shared" ref="N19:N20" si="5">P19*3+Q19</f>
        <v>7</v>
      </c>
      <c r="O19">
        <v>4</v>
      </c>
      <c r="P19">
        <v>2</v>
      </c>
      <c r="Q19">
        <v>1</v>
      </c>
      <c r="R19">
        <f>O19-P19-Q19</f>
        <v>1</v>
      </c>
      <c r="S19">
        <v>7</v>
      </c>
      <c r="T19">
        <v>4</v>
      </c>
      <c r="U19">
        <f>S19-T19</f>
        <v>3</v>
      </c>
    </row>
    <row r="20" spans="1:21" x14ac:dyDescent="0.3">
      <c r="A20" t="str">
        <f>B9</f>
        <v>Sampaio Corrêa</v>
      </c>
      <c r="B20" t="s">
        <v>36</v>
      </c>
      <c r="C20" t="str">
        <f>B8</f>
        <v>Maranhão</v>
      </c>
      <c r="E20" t="str">
        <f>B8</f>
        <v>Maranhão</v>
      </c>
      <c r="F20" t="s">
        <v>28</v>
      </c>
      <c r="G20" t="str">
        <f>B9</f>
        <v>Sampaio Corrêa</v>
      </c>
      <c r="L20" t="s">
        <v>15</v>
      </c>
      <c r="M20" t="s">
        <v>298</v>
      </c>
      <c r="N20" s="2">
        <f t="shared" si="5"/>
        <v>0</v>
      </c>
      <c r="O20">
        <v>4</v>
      </c>
      <c r="P20">
        <v>0</v>
      </c>
      <c r="Q20">
        <v>0</v>
      </c>
      <c r="R20">
        <f>O20-P20-Q20</f>
        <v>4</v>
      </c>
      <c r="S20">
        <v>2</v>
      </c>
      <c r="T20">
        <v>10</v>
      </c>
      <c r="U20">
        <f>S20-T20</f>
        <v>-8</v>
      </c>
    </row>
    <row r="21" spans="1:21" x14ac:dyDescent="0.3">
      <c r="N21" s="2"/>
    </row>
    <row r="22" spans="1:21" x14ac:dyDescent="0.3">
      <c r="A22" t="s">
        <v>38</v>
      </c>
      <c r="L22" t="s">
        <v>221</v>
      </c>
    </row>
    <row r="23" spans="1:21" x14ac:dyDescent="0.3">
      <c r="A23" t="s">
        <v>284</v>
      </c>
      <c r="L23" t="s">
        <v>299</v>
      </c>
      <c r="M23" t="s">
        <v>36</v>
      </c>
      <c r="N23" t="s">
        <v>286</v>
      </c>
      <c r="P23" t="s">
        <v>286</v>
      </c>
      <c r="Q23" t="s">
        <v>30</v>
      </c>
      <c r="R23" t="s">
        <v>299</v>
      </c>
    </row>
    <row r="24" spans="1:21" x14ac:dyDescent="0.3">
      <c r="A24" t="s">
        <v>283</v>
      </c>
      <c r="L24" t="s">
        <v>293</v>
      </c>
      <c r="M24" t="s">
        <v>57</v>
      </c>
      <c r="N24" t="s">
        <v>296</v>
      </c>
      <c r="P24" t="s">
        <v>296</v>
      </c>
      <c r="Q24" t="s">
        <v>300</v>
      </c>
      <c r="R24" t="s">
        <v>293</v>
      </c>
    </row>
    <row r="25" spans="1:21" x14ac:dyDescent="0.3">
      <c r="L25" t="s">
        <v>292</v>
      </c>
      <c r="M25" t="s">
        <v>57</v>
      </c>
      <c r="N25" t="s">
        <v>297</v>
      </c>
      <c r="P25" t="s">
        <v>297</v>
      </c>
      <c r="Q25" t="s">
        <v>301</v>
      </c>
      <c r="R25" t="s">
        <v>292</v>
      </c>
    </row>
    <row r="26" spans="1:21" x14ac:dyDescent="0.3">
      <c r="A26" t="s">
        <v>39</v>
      </c>
      <c r="L26" t="s">
        <v>288</v>
      </c>
      <c r="M26" t="s">
        <v>44</v>
      </c>
      <c r="N26" t="s">
        <v>295</v>
      </c>
      <c r="P26" t="s">
        <v>295</v>
      </c>
      <c r="Q26" t="s">
        <v>28</v>
      </c>
      <c r="R26" t="s">
        <v>288</v>
      </c>
    </row>
    <row r="27" spans="1:21" x14ac:dyDescent="0.3">
      <c r="A27" t="s">
        <v>284</v>
      </c>
    </row>
    <row r="28" spans="1:21" x14ac:dyDescent="0.3">
      <c r="A28" t="s">
        <v>283</v>
      </c>
      <c r="L28" t="s">
        <v>27</v>
      </c>
    </row>
    <row r="29" spans="1:21" x14ac:dyDescent="0.3">
      <c r="A29" t="s">
        <v>281</v>
      </c>
      <c r="L29" t="s">
        <v>299</v>
      </c>
      <c r="M29" t="s">
        <v>44</v>
      </c>
      <c r="N29" t="s">
        <v>296</v>
      </c>
      <c r="P29" t="s">
        <v>296</v>
      </c>
      <c r="Q29" t="s">
        <v>302</v>
      </c>
      <c r="R29" t="s">
        <v>299</v>
      </c>
    </row>
    <row r="30" spans="1:21" x14ac:dyDescent="0.3">
      <c r="L30" t="s">
        <v>288</v>
      </c>
      <c r="M30" t="s">
        <v>54</v>
      </c>
      <c r="N30" t="s">
        <v>297</v>
      </c>
      <c r="P30" t="s">
        <v>297</v>
      </c>
      <c r="Q30" t="s">
        <v>43</v>
      </c>
      <c r="R30" t="s">
        <v>288</v>
      </c>
    </row>
    <row r="32" spans="1:21" x14ac:dyDescent="0.3">
      <c r="L32" t="s">
        <v>33</v>
      </c>
    </row>
    <row r="33" spans="12:14" x14ac:dyDescent="0.3">
      <c r="L33" t="s">
        <v>288</v>
      </c>
      <c r="M33" t="s">
        <v>303</v>
      </c>
      <c r="N33" t="s">
        <v>296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706B-C69D-49F8-8EF4-F4F5EF7B9E17}">
  <dimension ref="A1:AI48"/>
  <sheetViews>
    <sheetView workbookViewId="0">
      <selection activeCell="A2" sqref="A2:J14"/>
    </sheetView>
  </sheetViews>
  <sheetFormatPr defaultRowHeight="14.4" x14ac:dyDescent="0.3"/>
  <sheetData>
    <row r="1" spans="1:35" x14ac:dyDescent="0.3">
      <c r="A1" t="s">
        <v>304</v>
      </c>
      <c r="L1" t="s">
        <v>316</v>
      </c>
      <c r="W1" t="s">
        <v>330</v>
      </c>
      <c r="AH1" t="s">
        <v>70</v>
      </c>
    </row>
    <row r="2" spans="1:35" x14ac:dyDescent="0.3">
      <c r="A2" t="s">
        <v>72</v>
      </c>
      <c r="L2" t="s">
        <v>72</v>
      </c>
      <c r="W2" t="s">
        <v>72</v>
      </c>
      <c r="AH2" t="s">
        <v>308</v>
      </c>
      <c r="AI2">
        <v>1</v>
      </c>
    </row>
    <row r="3" spans="1:3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L3" t="s">
        <v>1</v>
      </c>
      <c r="M3" t="s">
        <v>2</v>
      </c>
      <c r="N3" t="s">
        <v>3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W3" t="s">
        <v>1</v>
      </c>
      <c r="X3" t="s">
        <v>2</v>
      </c>
      <c r="Y3" t="s">
        <v>3</v>
      </c>
      <c r="Z3" t="s">
        <v>4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H3" t="s">
        <v>326</v>
      </c>
      <c r="AI3">
        <v>2</v>
      </c>
    </row>
    <row r="4" spans="1:35" x14ac:dyDescent="0.3">
      <c r="A4" s="1" t="s">
        <v>11</v>
      </c>
      <c r="B4" t="s">
        <v>308</v>
      </c>
      <c r="C4" s="2">
        <f>E4*3+F4</f>
        <v>12</v>
      </c>
      <c r="D4">
        <v>8</v>
      </c>
      <c r="E4">
        <v>3</v>
      </c>
      <c r="F4">
        <v>3</v>
      </c>
      <c r="G4">
        <f>D4-E4-F4</f>
        <v>2</v>
      </c>
      <c r="H4">
        <v>13</v>
      </c>
      <c r="I4">
        <v>10</v>
      </c>
      <c r="J4">
        <f>H4-I4</f>
        <v>3</v>
      </c>
      <c r="L4" s="1" t="s">
        <v>11</v>
      </c>
      <c r="M4" t="s">
        <v>326</v>
      </c>
      <c r="N4" s="2">
        <f t="shared" ref="N4:N9" si="0">P4*3+Q4</f>
        <v>19</v>
      </c>
      <c r="O4">
        <v>10</v>
      </c>
      <c r="P4">
        <v>6</v>
      </c>
      <c r="Q4">
        <v>1</v>
      </c>
      <c r="R4">
        <f>O4-P4-Q4</f>
        <v>3</v>
      </c>
      <c r="S4">
        <v>12</v>
      </c>
      <c r="T4">
        <v>5</v>
      </c>
      <c r="U4">
        <f>S4-T4</f>
        <v>7</v>
      </c>
      <c r="W4" s="1" t="s">
        <v>11</v>
      </c>
      <c r="X4" t="s">
        <v>336</v>
      </c>
      <c r="Y4" s="2">
        <f t="shared" ref="Y4:Y10" si="1">AA4*3+AB4</f>
        <v>16</v>
      </c>
      <c r="Z4">
        <v>6</v>
      </c>
      <c r="AA4">
        <v>5</v>
      </c>
      <c r="AB4">
        <v>1</v>
      </c>
      <c r="AC4">
        <f>Z4-AA4-AB4</f>
        <v>0</v>
      </c>
      <c r="AD4">
        <v>11</v>
      </c>
      <c r="AE4">
        <v>3</v>
      </c>
      <c r="AF4">
        <f>AD4-AE4</f>
        <v>8</v>
      </c>
      <c r="AH4" t="s">
        <v>338</v>
      </c>
      <c r="AI4">
        <v>1</v>
      </c>
    </row>
    <row r="5" spans="1:35" x14ac:dyDescent="0.3">
      <c r="A5" t="s">
        <v>13</v>
      </c>
      <c r="B5" t="s">
        <v>305</v>
      </c>
      <c r="C5" s="2">
        <f>E5*3+F5</f>
        <v>12</v>
      </c>
      <c r="D5">
        <v>8</v>
      </c>
      <c r="E5">
        <v>3</v>
      </c>
      <c r="F5">
        <v>3</v>
      </c>
      <c r="G5">
        <f>D5-E5-F5</f>
        <v>2</v>
      </c>
      <c r="H5">
        <v>13</v>
      </c>
      <c r="I5">
        <v>12</v>
      </c>
      <c r="J5">
        <f>H5-I5</f>
        <v>1</v>
      </c>
      <c r="L5" s="1" t="s">
        <v>13</v>
      </c>
      <c r="M5" t="s">
        <v>324</v>
      </c>
      <c r="N5" s="2">
        <f t="shared" si="0"/>
        <v>18</v>
      </c>
      <c r="O5">
        <v>10</v>
      </c>
      <c r="P5">
        <v>5</v>
      </c>
      <c r="Q5">
        <v>3</v>
      </c>
      <c r="R5">
        <f t="shared" ref="R5:R9" si="2">O5-P5-Q5</f>
        <v>2</v>
      </c>
      <c r="S5">
        <v>12</v>
      </c>
      <c r="T5">
        <v>8</v>
      </c>
      <c r="U5">
        <f t="shared" ref="U5:U9" si="3">S5-T5</f>
        <v>4</v>
      </c>
      <c r="W5" s="1" t="s">
        <v>13</v>
      </c>
      <c r="X5" t="s">
        <v>331</v>
      </c>
      <c r="Y5" s="2">
        <f t="shared" si="1"/>
        <v>13</v>
      </c>
      <c r="Z5">
        <v>6</v>
      </c>
      <c r="AA5">
        <v>4</v>
      </c>
      <c r="AB5">
        <v>1</v>
      </c>
      <c r="AC5">
        <f t="shared" ref="AC5:AC9" si="4">Z5-AA5-AB5</f>
        <v>1</v>
      </c>
      <c r="AD5">
        <v>11</v>
      </c>
      <c r="AE5">
        <v>4</v>
      </c>
      <c r="AF5">
        <f t="shared" ref="AF5:AF9" si="5">AD5-AE5</f>
        <v>7</v>
      </c>
    </row>
    <row r="6" spans="1:35" x14ac:dyDescent="0.3">
      <c r="A6" t="s">
        <v>15</v>
      </c>
      <c r="B6" t="s">
        <v>42</v>
      </c>
      <c r="C6" s="2">
        <f>E6*3+F6</f>
        <v>10</v>
      </c>
      <c r="D6">
        <v>8</v>
      </c>
      <c r="E6">
        <v>3</v>
      </c>
      <c r="F6">
        <v>1</v>
      </c>
      <c r="G6">
        <f>D6-E6-F6</f>
        <v>4</v>
      </c>
      <c r="H6">
        <v>10</v>
      </c>
      <c r="I6">
        <v>13</v>
      </c>
      <c r="J6">
        <f>H6-I6</f>
        <v>-3</v>
      </c>
      <c r="L6" s="1" t="s">
        <v>15</v>
      </c>
      <c r="M6" t="s">
        <v>321</v>
      </c>
      <c r="N6" s="2">
        <f t="shared" si="0"/>
        <v>17</v>
      </c>
      <c r="O6">
        <v>10</v>
      </c>
      <c r="P6">
        <v>4</v>
      </c>
      <c r="Q6">
        <v>5</v>
      </c>
      <c r="R6">
        <f t="shared" si="2"/>
        <v>1</v>
      </c>
      <c r="S6">
        <v>12</v>
      </c>
      <c r="T6">
        <v>9</v>
      </c>
      <c r="U6">
        <f t="shared" si="3"/>
        <v>3</v>
      </c>
      <c r="W6" s="1" t="s">
        <v>15</v>
      </c>
      <c r="X6" t="s">
        <v>334</v>
      </c>
      <c r="Y6" s="2">
        <f t="shared" si="1"/>
        <v>9</v>
      </c>
      <c r="Z6">
        <v>6</v>
      </c>
      <c r="AA6">
        <v>3</v>
      </c>
      <c r="AB6">
        <v>0</v>
      </c>
      <c r="AC6">
        <f t="shared" si="4"/>
        <v>3</v>
      </c>
      <c r="AD6">
        <v>11</v>
      </c>
      <c r="AE6">
        <v>12</v>
      </c>
      <c r="AF6">
        <f t="shared" si="5"/>
        <v>-1</v>
      </c>
    </row>
    <row r="7" spans="1:35" x14ac:dyDescent="0.3">
      <c r="A7" s="3" t="s">
        <v>17</v>
      </c>
      <c r="B7" t="s">
        <v>306</v>
      </c>
      <c r="C7" s="2">
        <f>E7*3+F7</f>
        <v>7</v>
      </c>
      <c r="D7">
        <v>8</v>
      </c>
      <c r="E7">
        <v>1</v>
      </c>
      <c r="F7">
        <v>4</v>
      </c>
      <c r="G7">
        <f>D7-E7-F7</f>
        <v>3</v>
      </c>
      <c r="H7">
        <v>14</v>
      </c>
      <c r="I7">
        <v>15</v>
      </c>
      <c r="J7">
        <f>H7-I7</f>
        <v>-1</v>
      </c>
      <c r="L7" s="1" t="s">
        <v>17</v>
      </c>
      <c r="M7" t="s">
        <v>317</v>
      </c>
      <c r="N7" s="2">
        <f t="shared" si="0"/>
        <v>12</v>
      </c>
      <c r="O7">
        <v>10</v>
      </c>
      <c r="P7">
        <v>3</v>
      </c>
      <c r="Q7">
        <v>3</v>
      </c>
      <c r="R7">
        <f t="shared" si="2"/>
        <v>4</v>
      </c>
      <c r="S7">
        <v>13</v>
      </c>
      <c r="T7">
        <v>16</v>
      </c>
      <c r="U7">
        <f t="shared" si="3"/>
        <v>-3</v>
      </c>
      <c r="W7" t="s">
        <v>17</v>
      </c>
      <c r="X7" t="s">
        <v>325</v>
      </c>
      <c r="Y7" s="2">
        <f t="shared" si="1"/>
        <v>9</v>
      </c>
      <c r="Z7">
        <v>6</v>
      </c>
      <c r="AA7">
        <v>3</v>
      </c>
      <c r="AB7">
        <v>0</v>
      </c>
      <c r="AC7">
        <f t="shared" si="4"/>
        <v>3</v>
      </c>
      <c r="AD7">
        <v>8</v>
      </c>
      <c r="AE7">
        <v>10</v>
      </c>
      <c r="AF7">
        <f t="shared" si="5"/>
        <v>-2</v>
      </c>
    </row>
    <row r="8" spans="1:35" x14ac:dyDescent="0.3">
      <c r="L8" t="s">
        <v>19</v>
      </c>
      <c r="M8" t="s">
        <v>327</v>
      </c>
      <c r="N8" s="2">
        <f t="shared" si="0"/>
        <v>10</v>
      </c>
      <c r="O8">
        <v>10</v>
      </c>
      <c r="P8">
        <v>3</v>
      </c>
      <c r="Q8">
        <v>1</v>
      </c>
      <c r="R8">
        <f t="shared" si="2"/>
        <v>6</v>
      </c>
      <c r="S8">
        <v>10</v>
      </c>
      <c r="T8">
        <v>13</v>
      </c>
      <c r="U8">
        <f t="shared" si="3"/>
        <v>-3</v>
      </c>
      <c r="W8" t="s">
        <v>19</v>
      </c>
      <c r="X8" t="s">
        <v>335</v>
      </c>
      <c r="Y8" s="2">
        <f t="shared" si="1"/>
        <v>6</v>
      </c>
      <c r="Z8">
        <v>6</v>
      </c>
      <c r="AA8">
        <v>2</v>
      </c>
      <c r="AB8">
        <v>0</v>
      </c>
      <c r="AC8">
        <f t="shared" si="4"/>
        <v>4</v>
      </c>
      <c r="AD8">
        <v>8</v>
      </c>
      <c r="AE8">
        <v>11</v>
      </c>
      <c r="AF8">
        <f t="shared" si="5"/>
        <v>-3</v>
      </c>
    </row>
    <row r="9" spans="1:35" x14ac:dyDescent="0.3">
      <c r="A9" t="s">
        <v>73</v>
      </c>
      <c r="L9" s="3" t="s">
        <v>21</v>
      </c>
      <c r="M9" t="s">
        <v>328</v>
      </c>
      <c r="N9" s="2">
        <f t="shared" si="0"/>
        <v>7</v>
      </c>
      <c r="O9">
        <v>10</v>
      </c>
      <c r="P9">
        <v>2</v>
      </c>
      <c r="Q9">
        <v>1</v>
      </c>
      <c r="R9">
        <f t="shared" si="2"/>
        <v>7</v>
      </c>
      <c r="S9">
        <v>13</v>
      </c>
      <c r="T9">
        <v>21</v>
      </c>
      <c r="U9">
        <f t="shared" si="3"/>
        <v>-8</v>
      </c>
      <c r="W9" t="s">
        <v>21</v>
      </c>
      <c r="X9" t="s">
        <v>332</v>
      </c>
      <c r="Y9" s="2">
        <f t="shared" si="1"/>
        <v>4</v>
      </c>
      <c r="Z9">
        <v>6</v>
      </c>
      <c r="AA9">
        <v>1</v>
      </c>
      <c r="AB9">
        <v>1</v>
      </c>
      <c r="AC9">
        <f t="shared" si="4"/>
        <v>4</v>
      </c>
      <c r="AD9">
        <v>6</v>
      </c>
      <c r="AE9">
        <v>10</v>
      </c>
      <c r="AF9">
        <f t="shared" si="5"/>
        <v>-4</v>
      </c>
    </row>
    <row r="10" spans="1:35" x14ac:dyDescent="0.3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W10" t="s">
        <v>23</v>
      </c>
      <c r="X10" t="s">
        <v>333</v>
      </c>
      <c r="Y10" s="2">
        <f t="shared" si="1"/>
        <v>4</v>
      </c>
      <c r="Z10">
        <v>6</v>
      </c>
      <c r="AA10">
        <v>1</v>
      </c>
      <c r="AB10">
        <v>1</v>
      </c>
      <c r="AC10">
        <f>Z10-AA10-AB10</f>
        <v>4</v>
      </c>
      <c r="AD10">
        <v>5</v>
      </c>
      <c r="AE10">
        <v>10</v>
      </c>
      <c r="AF10">
        <f>AD10-AE10</f>
        <v>-5</v>
      </c>
    </row>
    <row r="11" spans="1:35" x14ac:dyDescent="0.3">
      <c r="A11" s="1" t="s">
        <v>11</v>
      </c>
      <c r="B11" t="s">
        <v>315</v>
      </c>
      <c r="C11" s="2">
        <f>E11*3+F11</f>
        <v>14</v>
      </c>
      <c r="D11">
        <v>8</v>
      </c>
      <c r="E11">
        <v>4</v>
      </c>
      <c r="F11">
        <v>2</v>
      </c>
      <c r="G11">
        <f>D11-E11-F11</f>
        <v>2</v>
      </c>
      <c r="H11">
        <v>16</v>
      </c>
      <c r="I11">
        <v>12</v>
      </c>
      <c r="J11">
        <f>H11-I11</f>
        <v>4</v>
      </c>
      <c r="L11" t="s">
        <v>73</v>
      </c>
    </row>
    <row r="12" spans="1:35" x14ac:dyDescent="0.3">
      <c r="A12" t="s">
        <v>13</v>
      </c>
      <c r="B12" t="s">
        <v>309</v>
      </c>
      <c r="C12" s="2">
        <f>E12*3+F12</f>
        <v>10</v>
      </c>
      <c r="D12">
        <v>8</v>
      </c>
      <c r="E12">
        <v>3</v>
      </c>
      <c r="F12">
        <v>1</v>
      </c>
      <c r="G12">
        <f>D12-E12-F12</f>
        <v>4</v>
      </c>
      <c r="H12">
        <v>15</v>
      </c>
      <c r="I12">
        <v>14</v>
      </c>
      <c r="J12">
        <f>H12-I12</f>
        <v>1</v>
      </c>
      <c r="L12" t="s">
        <v>1</v>
      </c>
      <c r="M12" t="s">
        <v>2</v>
      </c>
      <c r="N12" t="s">
        <v>3</v>
      </c>
      <c r="O12" t="s">
        <v>4</v>
      </c>
      <c r="P12" t="s">
        <v>5</v>
      </c>
      <c r="Q12" t="s">
        <v>6</v>
      </c>
      <c r="R12" t="s">
        <v>7</v>
      </c>
      <c r="S12" t="s">
        <v>8</v>
      </c>
      <c r="T12" t="s">
        <v>9</v>
      </c>
      <c r="U12" t="s">
        <v>10</v>
      </c>
      <c r="W12" t="s">
        <v>73</v>
      </c>
    </row>
    <row r="13" spans="1:35" x14ac:dyDescent="0.3">
      <c r="A13" t="s">
        <v>15</v>
      </c>
      <c r="B13" t="s">
        <v>51</v>
      </c>
      <c r="C13" s="2">
        <f>E13*3+F13</f>
        <v>10</v>
      </c>
      <c r="D13">
        <v>8</v>
      </c>
      <c r="E13">
        <v>2</v>
      </c>
      <c r="F13">
        <v>4</v>
      </c>
      <c r="G13">
        <f>D13-E13-F13</f>
        <v>2</v>
      </c>
      <c r="H13">
        <v>9</v>
      </c>
      <c r="I13">
        <v>10</v>
      </c>
      <c r="J13">
        <f>H13-I13</f>
        <v>-1</v>
      </c>
      <c r="L13" s="1" t="s">
        <v>11</v>
      </c>
      <c r="M13" t="s">
        <v>329</v>
      </c>
      <c r="N13" s="2">
        <f t="shared" ref="N13:N18" si="6">P13*3+Q13</f>
        <v>21</v>
      </c>
      <c r="O13">
        <v>10</v>
      </c>
      <c r="P13">
        <v>6</v>
      </c>
      <c r="Q13">
        <v>3</v>
      </c>
      <c r="R13">
        <f>O13-P13-Q13</f>
        <v>1</v>
      </c>
      <c r="S13">
        <v>11</v>
      </c>
      <c r="T13">
        <v>6</v>
      </c>
      <c r="U13">
        <f>S13-T13</f>
        <v>5</v>
      </c>
      <c r="W13" t="s">
        <v>1</v>
      </c>
      <c r="X13" t="s">
        <v>2</v>
      </c>
      <c r="Y13" t="s">
        <v>3</v>
      </c>
      <c r="Z13" t="s">
        <v>4</v>
      </c>
      <c r="AA13" t="s">
        <v>5</v>
      </c>
      <c r="AB13" t="s">
        <v>6</v>
      </c>
      <c r="AC13" t="s">
        <v>7</v>
      </c>
      <c r="AD13" t="s">
        <v>8</v>
      </c>
      <c r="AE13" t="s">
        <v>9</v>
      </c>
      <c r="AF13" t="s">
        <v>10</v>
      </c>
    </row>
    <row r="14" spans="1:35" x14ac:dyDescent="0.3">
      <c r="A14" s="3" t="s">
        <v>17</v>
      </c>
      <c r="B14" t="s">
        <v>312</v>
      </c>
      <c r="C14" s="2">
        <f>E14*3+F14</f>
        <v>8</v>
      </c>
      <c r="D14">
        <v>8</v>
      </c>
      <c r="E14">
        <v>2</v>
      </c>
      <c r="F14">
        <v>2</v>
      </c>
      <c r="G14">
        <f>D14-E14-F14</f>
        <v>4</v>
      </c>
      <c r="H14">
        <v>7</v>
      </c>
      <c r="I14">
        <v>12</v>
      </c>
      <c r="J14">
        <f>H14-I14</f>
        <v>-5</v>
      </c>
      <c r="L14" s="1" t="s">
        <v>13</v>
      </c>
      <c r="M14" t="s">
        <v>319</v>
      </c>
      <c r="N14" s="2">
        <f t="shared" si="6"/>
        <v>15</v>
      </c>
      <c r="O14">
        <v>10</v>
      </c>
      <c r="P14">
        <v>4</v>
      </c>
      <c r="Q14">
        <v>3</v>
      </c>
      <c r="R14">
        <f t="shared" ref="R14:R18" si="7">O14-P14-Q14</f>
        <v>3</v>
      </c>
      <c r="S14">
        <v>7</v>
      </c>
      <c r="T14">
        <v>7</v>
      </c>
      <c r="U14">
        <f t="shared" ref="U14:U18" si="8">S14-T14</f>
        <v>0</v>
      </c>
      <c r="W14" s="1" t="s">
        <v>11</v>
      </c>
      <c r="X14" t="s">
        <v>338</v>
      </c>
      <c r="Y14" s="2">
        <f t="shared" ref="Y14:Y19" si="9">AA14*3+AB14</f>
        <v>12</v>
      </c>
      <c r="Z14">
        <v>5</v>
      </c>
      <c r="AA14">
        <v>4</v>
      </c>
      <c r="AB14">
        <v>0</v>
      </c>
      <c r="AC14">
        <f>Z14-AA14-AB14</f>
        <v>1</v>
      </c>
      <c r="AD14">
        <v>10</v>
      </c>
      <c r="AE14">
        <v>6</v>
      </c>
      <c r="AF14">
        <f>AD14-AE14</f>
        <v>4</v>
      </c>
    </row>
    <row r="15" spans="1:35" x14ac:dyDescent="0.3">
      <c r="L15" s="1" t="s">
        <v>15</v>
      </c>
      <c r="M15" t="s">
        <v>320</v>
      </c>
      <c r="N15" s="2">
        <f t="shared" si="6"/>
        <v>14</v>
      </c>
      <c r="O15">
        <v>10</v>
      </c>
      <c r="P15">
        <v>4</v>
      </c>
      <c r="Q15">
        <v>2</v>
      </c>
      <c r="R15">
        <f t="shared" si="7"/>
        <v>4</v>
      </c>
      <c r="S15">
        <v>10</v>
      </c>
      <c r="T15">
        <v>8</v>
      </c>
      <c r="U15">
        <f t="shared" si="8"/>
        <v>2</v>
      </c>
      <c r="W15" s="1" t="s">
        <v>13</v>
      </c>
      <c r="X15" t="s">
        <v>179</v>
      </c>
      <c r="Y15" s="2">
        <f t="shared" si="9"/>
        <v>9</v>
      </c>
      <c r="Z15">
        <v>5</v>
      </c>
      <c r="AA15">
        <v>3</v>
      </c>
      <c r="AB15">
        <v>0</v>
      </c>
      <c r="AC15">
        <f t="shared" ref="AC15:AC19" si="10">Z15-AA15-AB15</f>
        <v>2</v>
      </c>
      <c r="AD15">
        <v>10</v>
      </c>
      <c r="AE15">
        <v>8</v>
      </c>
      <c r="AF15">
        <f t="shared" ref="AF15:AF19" si="11">AD15-AE15</f>
        <v>2</v>
      </c>
    </row>
    <row r="16" spans="1:35" x14ac:dyDescent="0.3">
      <c r="A16" t="s">
        <v>254</v>
      </c>
      <c r="L16" s="1" t="s">
        <v>17</v>
      </c>
      <c r="M16" t="s">
        <v>323</v>
      </c>
      <c r="N16" s="2">
        <f t="shared" si="6"/>
        <v>13</v>
      </c>
      <c r="O16">
        <v>10</v>
      </c>
      <c r="P16">
        <v>4</v>
      </c>
      <c r="Q16">
        <v>1</v>
      </c>
      <c r="R16">
        <f t="shared" si="7"/>
        <v>5</v>
      </c>
      <c r="S16">
        <v>8</v>
      </c>
      <c r="T16">
        <v>9</v>
      </c>
      <c r="U16">
        <f t="shared" si="8"/>
        <v>-1</v>
      </c>
      <c r="W16" s="1" t="s">
        <v>15</v>
      </c>
      <c r="X16" t="s">
        <v>340</v>
      </c>
      <c r="Y16" s="2">
        <f t="shared" si="9"/>
        <v>9</v>
      </c>
      <c r="Z16">
        <v>5</v>
      </c>
      <c r="AA16">
        <v>3</v>
      </c>
      <c r="AB16">
        <v>0</v>
      </c>
      <c r="AC16">
        <f t="shared" si="10"/>
        <v>2</v>
      </c>
      <c r="AD16">
        <v>9</v>
      </c>
      <c r="AE16">
        <v>8</v>
      </c>
      <c r="AF16">
        <f t="shared" si="11"/>
        <v>1</v>
      </c>
    </row>
    <row r="17" spans="1:32" x14ac:dyDescent="0.3">
      <c r="A17" t="s">
        <v>1</v>
      </c>
      <c r="B17" t="s">
        <v>2</v>
      </c>
      <c r="C17" t="s">
        <v>3</v>
      </c>
      <c r="D17" t="s">
        <v>4</v>
      </c>
      <c r="E17" t="s">
        <v>5</v>
      </c>
      <c r="F17" t="s">
        <v>6</v>
      </c>
      <c r="G17" t="s">
        <v>7</v>
      </c>
      <c r="H17" t="s">
        <v>8</v>
      </c>
      <c r="I17" t="s">
        <v>9</v>
      </c>
      <c r="J17" t="s">
        <v>10</v>
      </c>
      <c r="L17" t="s">
        <v>19</v>
      </c>
      <c r="M17" t="s">
        <v>318</v>
      </c>
      <c r="N17" s="2">
        <f t="shared" si="6"/>
        <v>10</v>
      </c>
      <c r="O17">
        <v>10</v>
      </c>
      <c r="P17">
        <v>3</v>
      </c>
      <c r="Q17">
        <v>1</v>
      </c>
      <c r="R17">
        <f t="shared" si="7"/>
        <v>6</v>
      </c>
      <c r="S17">
        <v>8</v>
      </c>
      <c r="T17">
        <v>11</v>
      </c>
      <c r="U17">
        <f t="shared" si="8"/>
        <v>-3</v>
      </c>
      <c r="W17" t="s">
        <v>17</v>
      </c>
      <c r="X17" t="s">
        <v>341</v>
      </c>
      <c r="Y17" s="2">
        <f t="shared" si="9"/>
        <v>6</v>
      </c>
      <c r="Z17">
        <v>5</v>
      </c>
      <c r="AA17">
        <v>2</v>
      </c>
      <c r="AB17">
        <v>0</v>
      </c>
      <c r="AC17">
        <f t="shared" si="10"/>
        <v>3</v>
      </c>
      <c r="AD17">
        <v>10</v>
      </c>
      <c r="AE17">
        <v>11</v>
      </c>
      <c r="AF17">
        <f t="shared" si="11"/>
        <v>-1</v>
      </c>
    </row>
    <row r="18" spans="1:32" x14ac:dyDescent="0.3">
      <c r="A18" s="1" t="s">
        <v>11</v>
      </c>
      <c r="B18" t="s">
        <v>268</v>
      </c>
      <c r="C18" s="2">
        <f>E18*3+F18</f>
        <v>14</v>
      </c>
      <c r="D18">
        <v>8</v>
      </c>
      <c r="E18">
        <v>4</v>
      </c>
      <c r="F18">
        <v>2</v>
      </c>
      <c r="G18">
        <f>D18-E18-F18</f>
        <v>2</v>
      </c>
      <c r="H18">
        <v>14</v>
      </c>
      <c r="I18">
        <v>13</v>
      </c>
      <c r="J18">
        <f>H18-I18</f>
        <v>1</v>
      </c>
      <c r="L18" s="3" t="s">
        <v>21</v>
      </c>
      <c r="M18" t="s">
        <v>322</v>
      </c>
      <c r="N18" s="2">
        <f t="shared" si="6"/>
        <v>10</v>
      </c>
      <c r="O18">
        <v>10</v>
      </c>
      <c r="P18">
        <v>2</v>
      </c>
      <c r="Q18">
        <v>4</v>
      </c>
      <c r="R18">
        <f t="shared" si="7"/>
        <v>4</v>
      </c>
      <c r="S18">
        <v>8</v>
      </c>
      <c r="T18">
        <v>11</v>
      </c>
      <c r="U18">
        <f t="shared" si="8"/>
        <v>-3</v>
      </c>
      <c r="W18" t="s">
        <v>19</v>
      </c>
      <c r="X18" t="s">
        <v>339</v>
      </c>
      <c r="Y18" s="2">
        <f t="shared" si="9"/>
        <v>6</v>
      </c>
      <c r="Z18">
        <v>5</v>
      </c>
      <c r="AA18">
        <v>2</v>
      </c>
      <c r="AB18">
        <v>0</v>
      </c>
      <c r="AC18">
        <f t="shared" si="10"/>
        <v>3</v>
      </c>
      <c r="AD18">
        <v>8</v>
      </c>
      <c r="AE18">
        <v>11</v>
      </c>
      <c r="AF18">
        <f t="shared" si="11"/>
        <v>-3</v>
      </c>
    </row>
    <row r="19" spans="1:32" x14ac:dyDescent="0.3">
      <c r="A19" s="1" t="s">
        <v>13</v>
      </c>
      <c r="B19" t="s">
        <v>310</v>
      </c>
      <c r="C19" s="2">
        <f>E19*3+F19</f>
        <v>12</v>
      </c>
      <c r="D19">
        <v>8</v>
      </c>
      <c r="E19">
        <v>4</v>
      </c>
      <c r="F19">
        <v>0</v>
      </c>
      <c r="G19">
        <f>D19-E19-F19</f>
        <v>4</v>
      </c>
      <c r="H19">
        <v>9</v>
      </c>
      <c r="I19">
        <v>8</v>
      </c>
      <c r="J19">
        <f>H19-I19</f>
        <v>1</v>
      </c>
      <c r="W19" t="s">
        <v>21</v>
      </c>
      <c r="X19" t="s">
        <v>337</v>
      </c>
      <c r="Y19" s="2">
        <f t="shared" si="9"/>
        <v>3</v>
      </c>
      <c r="Z19">
        <v>5</v>
      </c>
      <c r="AA19">
        <v>1</v>
      </c>
      <c r="AB19">
        <v>0</v>
      </c>
      <c r="AC19">
        <f t="shared" si="10"/>
        <v>4</v>
      </c>
      <c r="AD19">
        <v>7</v>
      </c>
      <c r="AE19">
        <v>10</v>
      </c>
      <c r="AF19">
        <f t="shared" si="11"/>
        <v>-3</v>
      </c>
    </row>
    <row r="20" spans="1:32" x14ac:dyDescent="0.3">
      <c r="A20" t="s">
        <v>15</v>
      </c>
      <c r="B20" t="s">
        <v>313</v>
      </c>
      <c r="C20" s="2">
        <f>E20*3+F20</f>
        <v>12</v>
      </c>
      <c r="D20">
        <v>8</v>
      </c>
      <c r="E20">
        <v>3</v>
      </c>
      <c r="F20">
        <v>3</v>
      </c>
      <c r="G20">
        <f>D20-E20-F20</f>
        <v>2</v>
      </c>
      <c r="H20">
        <v>13</v>
      </c>
      <c r="I20">
        <v>15</v>
      </c>
      <c r="J20">
        <f>H20-I20</f>
        <v>-2</v>
      </c>
      <c r="L20" t="s">
        <v>221</v>
      </c>
      <c r="Y20" s="2"/>
    </row>
    <row r="21" spans="1:32" x14ac:dyDescent="0.3">
      <c r="A21" t="s">
        <v>17</v>
      </c>
      <c r="B21" t="s">
        <v>307</v>
      </c>
      <c r="C21" s="2">
        <f>E21*3+F21</f>
        <v>9</v>
      </c>
      <c r="D21">
        <v>8</v>
      </c>
      <c r="E21">
        <v>2</v>
      </c>
      <c r="F21">
        <v>3</v>
      </c>
      <c r="G21">
        <f>D21-E21-F21</f>
        <v>3</v>
      </c>
      <c r="H21">
        <v>17</v>
      </c>
      <c r="I21">
        <v>16</v>
      </c>
      <c r="J21">
        <f>H21-I21</f>
        <v>1</v>
      </c>
      <c r="L21" t="str">
        <f>M16</f>
        <v>Aymorés</v>
      </c>
      <c r="M21" t="s">
        <v>28</v>
      </c>
      <c r="N21" t="str">
        <f>M4</f>
        <v>Pouso Alegre</v>
      </c>
      <c r="P21" t="str">
        <f>M4</f>
        <v>Pouso Alegre</v>
      </c>
      <c r="Q21" t="s">
        <v>29</v>
      </c>
      <c r="R21" t="str">
        <f>M16</f>
        <v>Aymorés</v>
      </c>
      <c r="W21" t="s">
        <v>342</v>
      </c>
    </row>
    <row r="22" spans="1:32" x14ac:dyDescent="0.3">
      <c r="L22" t="str">
        <f>M15</f>
        <v>Mamoré</v>
      </c>
      <c r="M22" t="s">
        <v>57</v>
      </c>
      <c r="N22" t="str">
        <f>M5</f>
        <v>Villa Nova</v>
      </c>
      <c r="P22" t="str">
        <f>M5</f>
        <v>Villa Nova</v>
      </c>
      <c r="Q22" t="s">
        <v>43</v>
      </c>
      <c r="R22" t="str">
        <f>M15</f>
        <v>Mamoré</v>
      </c>
      <c r="W22" t="s">
        <v>1</v>
      </c>
      <c r="X22" t="s">
        <v>2</v>
      </c>
      <c r="Y22" t="s">
        <v>3</v>
      </c>
      <c r="Z22" t="s">
        <v>4</v>
      </c>
      <c r="AA22" t="s">
        <v>5</v>
      </c>
      <c r="AB22" t="s">
        <v>6</v>
      </c>
      <c r="AC22" t="s">
        <v>7</v>
      </c>
      <c r="AD22" t="s">
        <v>8</v>
      </c>
      <c r="AE22" t="s">
        <v>9</v>
      </c>
      <c r="AF22" t="s">
        <v>10</v>
      </c>
    </row>
    <row r="23" spans="1:32" x14ac:dyDescent="0.3">
      <c r="A23" t="s">
        <v>27</v>
      </c>
      <c r="L23" t="str">
        <f>M6</f>
        <v>Coimbra FC Porto</v>
      </c>
      <c r="M23" t="s">
        <v>69</v>
      </c>
      <c r="N23" t="str">
        <f>M14</f>
        <v>Uberaba</v>
      </c>
      <c r="P23" t="str">
        <f>M14</f>
        <v>Uberaba</v>
      </c>
      <c r="Q23" t="s">
        <v>65</v>
      </c>
      <c r="R23" t="str">
        <f>M6</f>
        <v>Coimbra FC Porto</v>
      </c>
      <c r="W23" s="1" t="s">
        <v>11</v>
      </c>
      <c r="X23" t="s">
        <v>338</v>
      </c>
      <c r="Y23" s="2">
        <f t="shared" ref="Y23:Y28" si="12">AA23*3+AB23</f>
        <v>10</v>
      </c>
      <c r="Z23">
        <v>5</v>
      </c>
      <c r="AA23">
        <v>3</v>
      </c>
      <c r="AB23">
        <v>1</v>
      </c>
      <c r="AC23">
        <f>Z23-AA23-AB23</f>
        <v>1</v>
      </c>
      <c r="AD23">
        <v>9</v>
      </c>
      <c r="AE23">
        <v>5</v>
      </c>
      <c r="AF23">
        <f>AD23-AE23</f>
        <v>4</v>
      </c>
    </row>
    <row r="24" spans="1:32" x14ac:dyDescent="0.3">
      <c r="A24" t="s">
        <v>310</v>
      </c>
      <c r="B24" t="s">
        <v>57</v>
      </c>
      <c r="C24" t="s">
        <v>268</v>
      </c>
      <c r="E24" t="s">
        <v>268</v>
      </c>
      <c r="F24" t="s">
        <v>31</v>
      </c>
      <c r="G24" t="s">
        <v>310</v>
      </c>
      <c r="L24" t="str">
        <f>M7</f>
        <v>Caldense</v>
      </c>
      <c r="M24" t="s">
        <v>303</v>
      </c>
      <c r="N24" t="str">
        <f>M13</f>
        <v>Varginha</v>
      </c>
      <c r="P24" t="str">
        <f>M13</f>
        <v>Varginha</v>
      </c>
      <c r="Q24" t="s">
        <v>29</v>
      </c>
      <c r="R24" t="str">
        <f>M7</f>
        <v>Caldense</v>
      </c>
      <c r="W24" s="1" t="s">
        <v>13</v>
      </c>
      <c r="X24" t="s">
        <v>331</v>
      </c>
      <c r="Y24" s="2">
        <f t="shared" si="12"/>
        <v>10</v>
      </c>
      <c r="Z24">
        <v>5</v>
      </c>
      <c r="AA24">
        <v>3</v>
      </c>
      <c r="AB24">
        <v>1</v>
      </c>
      <c r="AC24">
        <f t="shared" ref="AC24:AC28" si="13">Z24-AA24-AB24</f>
        <v>1</v>
      </c>
      <c r="AD24">
        <v>7</v>
      </c>
      <c r="AE24">
        <v>4</v>
      </c>
      <c r="AF24">
        <f t="shared" ref="AF24:AF28" si="14">AD24-AE24</f>
        <v>3</v>
      </c>
    </row>
    <row r="25" spans="1:32" x14ac:dyDescent="0.3">
      <c r="A25" t="s">
        <v>308</v>
      </c>
      <c r="B25" t="s">
        <v>30</v>
      </c>
      <c r="C25" t="s">
        <v>315</v>
      </c>
      <c r="E25" t="s">
        <v>315</v>
      </c>
      <c r="F25" t="s">
        <v>28</v>
      </c>
      <c r="G25" t="s">
        <v>308</v>
      </c>
      <c r="W25" t="s">
        <v>15</v>
      </c>
      <c r="X25" t="s">
        <v>334</v>
      </c>
      <c r="Y25" s="2">
        <f t="shared" si="12"/>
        <v>9</v>
      </c>
      <c r="Z25">
        <v>5</v>
      </c>
      <c r="AA25">
        <v>3</v>
      </c>
      <c r="AB25">
        <v>0</v>
      </c>
      <c r="AC25">
        <f t="shared" si="13"/>
        <v>2</v>
      </c>
      <c r="AD25">
        <v>6</v>
      </c>
      <c r="AE25">
        <v>5</v>
      </c>
      <c r="AF25">
        <f t="shared" si="14"/>
        <v>1</v>
      </c>
    </row>
    <row r="26" spans="1:32" x14ac:dyDescent="0.3">
      <c r="L26" t="s">
        <v>27</v>
      </c>
      <c r="W26" t="s">
        <v>17</v>
      </c>
      <c r="X26" t="s">
        <v>179</v>
      </c>
      <c r="Y26" s="2">
        <f t="shared" si="12"/>
        <v>6</v>
      </c>
      <c r="Z26">
        <v>5</v>
      </c>
      <c r="AA26">
        <v>2</v>
      </c>
      <c r="AB26">
        <v>0</v>
      </c>
      <c r="AC26">
        <f t="shared" si="13"/>
        <v>3</v>
      </c>
      <c r="AD26">
        <v>8</v>
      </c>
      <c r="AE26">
        <v>10</v>
      </c>
      <c r="AF26">
        <f t="shared" si="14"/>
        <v>-2</v>
      </c>
    </row>
    <row r="27" spans="1:32" x14ac:dyDescent="0.3">
      <c r="A27" t="s">
        <v>33</v>
      </c>
      <c r="L27" t="s">
        <v>319</v>
      </c>
      <c r="M27" t="s">
        <v>30</v>
      </c>
      <c r="N27" t="s">
        <v>326</v>
      </c>
      <c r="P27" t="s">
        <v>326</v>
      </c>
      <c r="Q27" t="s">
        <v>90</v>
      </c>
      <c r="R27" t="s">
        <v>319</v>
      </c>
      <c r="W27" t="s">
        <v>19</v>
      </c>
      <c r="X27" t="s">
        <v>340</v>
      </c>
      <c r="Y27" s="2">
        <f t="shared" si="12"/>
        <v>6</v>
      </c>
      <c r="Z27">
        <v>5</v>
      </c>
      <c r="AA27">
        <v>2</v>
      </c>
      <c r="AB27">
        <v>0</v>
      </c>
      <c r="AC27">
        <f t="shared" si="13"/>
        <v>3</v>
      </c>
      <c r="AD27">
        <v>8</v>
      </c>
      <c r="AE27">
        <v>10</v>
      </c>
      <c r="AF27">
        <f t="shared" si="14"/>
        <v>-2</v>
      </c>
    </row>
    <row r="28" spans="1:32" x14ac:dyDescent="0.3">
      <c r="A28" t="s">
        <v>308</v>
      </c>
      <c r="B28" t="s">
        <v>314</v>
      </c>
      <c r="C28" t="s">
        <v>310</v>
      </c>
      <c r="L28" t="s">
        <v>324</v>
      </c>
      <c r="M28" t="s">
        <v>36</v>
      </c>
      <c r="N28" t="s">
        <v>329</v>
      </c>
      <c r="P28" t="s">
        <v>329</v>
      </c>
      <c r="Q28" t="s">
        <v>43</v>
      </c>
      <c r="R28" t="s">
        <v>324</v>
      </c>
      <c r="W28" t="s">
        <v>21</v>
      </c>
      <c r="X28" t="s">
        <v>336</v>
      </c>
      <c r="Y28" s="2">
        <f t="shared" si="12"/>
        <v>3</v>
      </c>
      <c r="Z28">
        <v>5</v>
      </c>
      <c r="AA28">
        <v>1</v>
      </c>
      <c r="AB28">
        <v>0</v>
      </c>
      <c r="AC28">
        <f t="shared" si="13"/>
        <v>4</v>
      </c>
      <c r="AD28">
        <v>5</v>
      </c>
      <c r="AE28">
        <v>9</v>
      </c>
      <c r="AF28">
        <f t="shared" si="14"/>
        <v>-4</v>
      </c>
    </row>
    <row r="29" spans="1:32" x14ac:dyDescent="0.3">
      <c r="Y29" s="2"/>
    </row>
    <row r="30" spans="1:32" x14ac:dyDescent="0.3">
      <c r="A30" t="s">
        <v>311</v>
      </c>
      <c r="L30" t="s">
        <v>33</v>
      </c>
    </row>
    <row r="31" spans="1:32" x14ac:dyDescent="0.3">
      <c r="A31" t="s">
        <v>27</v>
      </c>
      <c r="L31" t="s">
        <v>324</v>
      </c>
      <c r="M31" t="s">
        <v>57</v>
      </c>
      <c r="N31" t="s">
        <v>326</v>
      </c>
      <c r="P31" t="s">
        <v>326</v>
      </c>
      <c r="Q31" t="s">
        <v>30</v>
      </c>
      <c r="R31" t="s">
        <v>324</v>
      </c>
    </row>
    <row r="32" spans="1:32" x14ac:dyDescent="0.3">
      <c r="A32" t="s">
        <v>42</v>
      </c>
      <c r="B32" t="s">
        <v>44</v>
      </c>
      <c r="C32" t="s">
        <v>305</v>
      </c>
      <c r="E32" t="s">
        <v>305</v>
      </c>
      <c r="F32" t="s">
        <v>54</v>
      </c>
      <c r="G32" t="s">
        <v>42</v>
      </c>
    </row>
    <row r="33" spans="1:7" x14ac:dyDescent="0.3">
      <c r="A33" t="s">
        <v>309</v>
      </c>
      <c r="B33" t="s">
        <v>30</v>
      </c>
      <c r="C33" t="s">
        <v>313</v>
      </c>
      <c r="E33" t="s">
        <v>313</v>
      </c>
      <c r="F33" t="s">
        <v>36</v>
      </c>
      <c r="G33" t="s">
        <v>309</v>
      </c>
    </row>
    <row r="35" spans="1:7" x14ac:dyDescent="0.3">
      <c r="A35" t="s">
        <v>33</v>
      </c>
    </row>
    <row r="36" spans="1:7" x14ac:dyDescent="0.3">
      <c r="A36" t="s">
        <v>305</v>
      </c>
      <c r="B36" t="s">
        <v>30</v>
      </c>
      <c r="C36" t="s">
        <v>313</v>
      </c>
    </row>
    <row r="38" spans="1:7" x14ac:dyDescent="0.3">
      <c r="A38" t="s">
        <v>38</v>
      </c>
    </row>
    <row r="39" spans="1:7" x14ac:dyDescent="0.3">
      <c r="A39" t="s">
        <v>308</v>
      </c>
    </row>
    <row r="40" spans="1:7" x14ac:dyDescent="0.3">
      <c r="A40" t="s">
        <v>310</v>
      </c>
    </row>
    <row r="41" spans="1:7" x14ac:dyDescent="0.3">
      <c r="A41" t="s">
        <v>315</v>
      </c>
    </row>
    <row r="43" spans="1:7" x14ac:dyDescent="0.3">
      <c r="A43" t="s">
        <v>39</v>
      </c>
    </row>
    <row r="44" spans="1:7" x14ac:dyDescent="0.3">
      <c r="A44" t="s">
        <v>308</v>
      </c>
    </row>
    <row r="45" spans="1:7" x14ac:dyDescent="0.3">
      <c r="A45" t="s">
        <v>310</v>
      </c>
    </row>
    <row r="46" spans="1:7" x14ac:dyDescent="0.3">
      <c r="A46" t="s">
        <v>268</v>
      </c>
    </row>
    <row r="47" spans="1:7" x14ac:dyDescent="0.3">
      <c r="A47" t="s">
        <v>315</v>
      </c>
    </row>
    <row r="48" spans="1:7" x14ac:dyDescent="0.3">
      <c r="A48" t="s">
        <v>305</v>
      </c>
    </row>
  </sheetData>
  <sortState xmlns:xlrd2="http://schemas.microsoft.com/office/spreadsheetml/2017/richdata2" ref="B18:J21">
    <sortCondition descending="1" ref="C18:C21"/>
    <sortCondition descending="1" ref="E18:E21"/>
    <sortCondition descending="1" ref="J18:J2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F8D8-8C9E-4425-97E1-0E103C1637A4}">
  <dimension ref="A1:AI32"/>
  <sheetViews>
    <sheetView workbookViewId="0">
      <selection activeCell="A2" sqref="A2:J12"/>
    </sheetView>
  </sheetViews>
  <sheetFormatPr defaultRowHeight="14.4" x14ac:dyDescent="0.3"/>
  <sheetData>
    <row r="1" spans="1:35" x14ac:dyDescent="0.3">
      <c r="A1" t="s">
        <v>343</v>
      </c>
      <c r="L1" t="s">
        <v>356</v>
      </c>
      <c r="W1" t="s">
        <v>393</v>
      </c>
      <c r="AH1" t="s">
        <v>70</v>
      </c>
    </row>
    <row r="2" spans="1:3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1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H2" t="s">
        <v>344</v>
      </c>
      <c r="AI2">
        <v>2</v>
      </c>
    </row>
    <row r="3" spans="1:35" x14ac:dyDescent="0.3">
      <c r="A3" s="1" t="s">
        <v>11</v>
      </c>
      <c r="B3" t="s">
        <v>344</v>
      </c>
      <c r="C3" s="2">
        <f t="shared" ref="C3:C12" si="0">E3*3+F3</f>
        <v>19</v>
      </c>
      <c r="D3">
        <v>9</v>
      </c>
      <c r="E3">
        <v>6</v>
      </c>
      <c r="F3">
        <v>1</v>
      </c>
      <c r="G3">
        <f>D3-E3-F3</f>
        <v>2</v>
      </c>
      <c r="H3">
        <v>17</v>
      </c>
      <c r="I3">
        <v>15</v>
      </c>
      <c r="J3">
        <f>H3-I3</f>
        <v>2</v>
      </c>
      <c r="L3" s="1" t="s">
        <v>11</v>
      </c>
      <c r="M3" t="s">
        <v>361</v>
      </c>
      <c r="N3" s="2">
        <f t="shared" ref="N3:N12" si="1">P3*3+Q3</f>
        <v>24</v>
      </c>
      <c r="O3">
        <v>9</v>
      </c>
      <c r="P3">
        <v>8</v>
      </c>
      <c r="Q3">
        <v>0</v>
      </c>
      <c r="R3">
        <f>O3-P3-Q3</f>
        <v>1</v>
      </c>
      <c r="S3">
        <v>20</v>
      </c>
      <c r="T3">
        <v>7</v>
      </c>
      <c r="U3">
        <f>S3-T3</f>
        <v>13</v>
      </c>
      <c r="W3" s="1" t="s">
        <v>11</v>
      </c>
      <c r="X3" t="s">
        <v>352</v>
      </c>
      <c r="Y3" s="2">
        <f t="shared" ref="Y3:Y10" si="2">AA3*3+AB3</f>
        <v>16</v>
      </c>
      <c r="Z3">
        <v>8</v>
      </c>
      <c r="AA3">
        <v>5</v>
      </c>
      <c r="AB3">
        <v>1</v>
      </c>
      <c r="AC3">
        <f>Z3-AA3-AB3</f>
        <v>2</v>
      </c>
      <c r="AD3">
        <v>13</v>
      </c>
      <c r="AE3">
        <v>8</v>
      </c>
      <c r="AF3">
        <f>AD3-AE3</f>
        <v>5</v>
      </c>
      <c r="AH3" t="s">
        <v>361</v>
      </c>
      <c r="AI3">
        <v>2</v>
      </c>
    </row>
    <row r="4" spans="1:35" x14ac:dyDescent="0.3">
      <c r="A4" s="1" t="s">
        <v>13</v>
      </c>
      <c r="B4" t="s">
        <v>348</v>
      </c>
      <c r="C4" s="2">
        <f t="shared" si="0"/>
        <v>16</v>
      </c>
      <c r="D4">
        <v>9</v>
      </c>
      <c r="E4">
        <v>5</v>
      </c>
      <c r="F4">
        <v>1</v>
      </c>
      <c r="G4">
        <f t="shared" ref="G4:G12" si="3">D4-E4-F4</f>
        <v>3</v>
      </c>
      <c r="H4">
        <v>17</v>
      </c>
      <c r="I4">
        <v>11</v>
      </c>
      <c r="J4">
        <f t="shared" ref="J4:J12" si="4">H4-I4</f>
        <v>6</v>
      </c>
      <c r="L4" s="1" t="s">
        <v>13</v>
      </c>
      <c r="M4" t="s">
        <v>362</v>
      </c>
      <c r="N4" s="2">
        <f t="shared" si="1"/>
        <v>16</v>
      </c>
      <c r="O4">
        <v>9</v>
      </c>
      <c r="P4">
        <v>5</v>
      </c>
      <c r="Q4">
        <v>1</v>
      </c>
      <c r="R4">
        <f t="shared" ref="R4:R12" si="5">O4-P4-Q4</f>
        <v>3</v>
      </c>
      <c r="S4">
        <v>19</v>
      </c>
      <c r="T4">
        <v>15</v>
      </c>
      <c r="U4">
        <f t="shared" ref="U4:U12" si="6">S4-T4</f>
        <v>4</v>
      </c>
      <c r="W4" s="1" t="s">
        <v>13</v>
      </c>
      <c r="X4" t="s">
        <v>353</v>
      </c>
      <c r="Y4" s="2">
        <f t="shared" si="2"/>
        <v>14</v>
      </c>
      <c r="Z4">
        <v>8</v>
      </c>
      <c r="AA4">
        <v>4</v>
      </c>
      <c r="AB4">
        <v>2</v>
      </c>
      <c r="AC4">
        <f t="shared" ref="AC4:AC11" si="7">Z4-AA4-AB4</f>
        <v>2</v>
      </c>
      <c r="AD4">
        <v>14</v>
      </c>
      <c r="AE4">
        <v>10</v>
      </c>
      <c r="AF4">
        <f t="shared" ref="AF4:AF11" si="8">AD4-AE4</f>
        <v>4</v>
      </c>
      <c r="AH4" t="s">
        <v>345</v>
      </c>
      <c r="AI4">
        <v>1</v>
      </c>
    </row>
    <row r="5" spans="1:35" x14ac:dyDescent="0.3">
      <c r="A5" s="4" t="s">
        <v>15</v>
      </c>
      <c r="B5" t="s">
        <v>353</v>
      </c>
      <c r="C5" s="2">
        <f t="shared" si="0"/>
        <v>16</v>
      </c>
      <c r="D5">
        <v>9</v>
      </c>
      <c r="E5">
        <v>5</v>
      </c>
      <c r="F5">
        <v>1</v>
      </c>
      <c r="G5">
        <f t="shared" si="3"/>
        <v>3</v>
      </c>
      <c r="H5">
        <v>18</v>
      </c>
      <c r="I5">
        <v>13</v>
      </c>
      <c r="J5">
        <f t="shared" si="4"/>
        <v>5</v>
      </c>
      <c r="L5" t="s">
        <v>15</v>
      </c>
      <c r="M5" t="s">
        <v>357</v>
      </c>
      <c r="N5" s="2">
        <f t="shared" si="1"/>
        <v>14</v>
      </c>
      <c r="O5">
        <v>9</v>
      </c>
      <c r="P5">
        <v>4</v>
      </c>
      <c r="Q5">
        <v>2</v>
      </c>
      <c r="R5">
        <f t="shared" si="5"/>
        <v>3</v>
      </c>
      <c r="S5">
        <v>17</v>
      </c>
      <c r="T5">
        <v>14</v>
      </c>
      <c r="U5">
        <f t="shared" si="6"/>
        <v>3</v>
      </c>
      <c r="W5" s="1" t="s">
        <v>15</v>
      </c>
      <c r="X5" t="s">
        <v>354</v>
      </c>
      <c r="Y5" s="2">
        <f t="shared" si="2"/>
        <v>13</v>
      </c>
      <c r="Z5">
        <v>8</v>
      </c>
      <c r="AA5">
        <v>4</v>
      </c>
      <c r="AB5">
        <v>1</v>
      </c>
      <c r="AC5">
        <f t="shared" si="7"/>
        <v>3</v>
      </c>
      <c r="AD5">
        <v>12</v>
      </c>
      <c r="AE5">
        <v>11</v>
      </c>
      <c r="AF5">
        <f t="shared" si="8"/>
        <v>1</v>
      </c>
    </row>
    <row r="6" spans="1:35" x14ac:dyDescent="0.3">
      <c r="A6" s="4" t="s">
        <v>17</v>
      </c>
      <c r="B6" t="s">
        <v>99</v>
      </c>
      <c r="C6" s="2">
        <f t="shared" si="0"/>
        <v>15</v>
      </c>
      <c r="D6">
        <v>9</v>
      </c>
      <c r="E6">
        <v>5</v>
      </c>
      <c r="F6">
        <v>0</v>
      </c>
      <c r="G6">
        <f t="shared" si="3"/>
        <v>4</v>
      </c>
      <c r="H6">
        <v>12</v>
      </c>
      <c r="I6">
        <v>8</v>
      </c>
      <c r="J6">
        <f t="shared" si="4"/>
        <v>4</v>
      </c>
      <c r="L6" t="s">
        <v>17</v>
      </c>
      <c r="M6" t="s">
        <v>360</v>
      </c>
      <c r="N6" s="2">
        <f t="shared" si="1"/>
        <v>14</v>
      </c>
      <c r="O6">
        <v>9</v>
      </c>
      <c r="P6">
        <v>4</v>
      </c>
      <c r="Q6">
        <v>2</v>
      </c>
      <c r="R6">
        <f t="shared" si="5"/>
        <v>3</v>
      </c>
      <c r="S6">
        <v>13</v>
      </c>
      <c r="T6">
        <v>11</v>
      </c>
      <c r="U6">
        <f t="shared" si="6"/>
        <v>2</v>
      </c>
      <c r="W6" s="1" t="s">
        <v>17</v>
      </c>
      <c r="X6" t="s">
        <v>345</v>
      </c>
      <c r="Y6" s="2">
        <f t="shared" si="2"/>
        <v>13</v>
      </c>
      <c r="Z6">
        <v>8</v>
      </c>
      <c r="AA6">
        <v>4</v>
      </c>
      <c r="AB6">
        <v>1</v>
      </c>
      <c r="AC6">
        <f t="shared" si="7"/>
        <v>3</v>
      </c>
      <c r="AD6">
        <v>11</v>
      </c>
      <c r="AE6">
        <v>10</v>
      </c>
      <c r="AF6">
        <f t="shared" si="8"/>
        <v>1</v>
      </c>
    </row>
    <row r="7" spans="1:35" x14ac:dyDescent="0.3">
      <c r="A7" s="4" t="s">
        <v>19</v>
      </c>
      <c r="B7" t="s">
        <v>350</v>
      </c>
      <c r="C7" s="2">
        <f t="shared" si="0"/>
        <v>15</v>
      </c>
      <c r="D7">
        <v>9</v>
      </c>
      <c r="E7">
        <v>5</v>
      </c>
      <c r="F7">
        <v>0</v>
      </c>
      <c r="G7">
        <f t="shared" si="3"/>
        <v>4</v>
      </c>
      <c r="H7">
        <v>13</v>
      </c>
      <c r="I7">
        <v>11</v>
      </c>
      <c r="J7">
        <f t="shared" si="4"/>
        <v>2</v>
      </c>
      <c r="L7" t="s">
        <v>19</v>
      </c>
      <c r="M7" t="s">
        <v>351</v>
      </c>
      <c r="N7" s="2">
        <f t="shared" si="1"/>
        <v>13</v>
      </c>
      <c r="O7">
        <v>9</v>
      </c>
      <c r="P7">
        <v>4</v>
      </c>
      <c r="Q7">
        <v>1</v>
      </c>
      <c r="R7">
        <f t="shared" si="5"/>
        <v>4</v>
      </c>
      <c r="S7">
        <v>11</v>
      </c>
      <c r="T7">
        <v>13</v>
      </c>
      <c r="U7">
        <f t="shared" si="6"/>
        <v>-2</v>
      </c>
      <c r="W7" t="s">
        <v>19</v>
      </c>
      <c r="X7" t="s">
        <v>99</v>
      </c>
      <c r="Y7" s="2">
        <f t="shared" si="2"/>
        <v>11</v>
      </c>
      <c r="Z7">
        <v>8</v>
      </c>
      <c r="AA7">
        <v>3</v>
      </c>
      <c r="AB7">
        <v>2</v>
      </c>
      <c r="AC7">
        <f t="shared" si="7"/>
        <v>3</v>
      </c>
      <c r="AD7">
        <v>14</v>
      </c>
      <c r="AE7">
        <v>13</v>
      </c>
      <c r="AF7">
        <f t="shared" si="8"/>
        <v>1</v>
      </c>
    </row>
    <row r="8" spans="1:35" x14ac:dyDescent="0.3">
      <c r="A8" s="4" t="s">
        <v>21</v>
      </c>
      <c r="B8" t="s">
        <v>346</v>
      </c>
      <c r="C8" s="2">
        <f t="shared" si="0"/>
        <v>12</v>
      </c>
      <c r="D8">
        <v>9</v>
      </c>
      <c r="E8">
        <v>4</v>
      </c>
      <c r="F8">
        <v>0</v>
      </c>
      <c r="G8">
        <f t="shared" si="3"/>
        <v>5</v>
      </c>
      <c r="H8">
        <v>9</v>
      </c>
      <c r="I8">
        <v>12</v>
      </c>
      <c r="J8">
        <f t="shared" si="4"/>
        <v>-3</v>
      </c>
      <c r="L8" t="s">
        <v>21</v>
      </c>
      <c r="M8" t="s">
        <v>352</v>
      </c>
      <c r="N8" s="2">
        <f t="shared" si="1"/>
        <v>11</v>
      </c>
      <c r="O8">
        <v>9</v>
      </c>
      <c r="P8">
        <v>3</v>
      </c>
      <c r="Q8">
        <v>2</v>
      </c>
      <c r="R8">
        <f t="shared" si="5"/>
        <v>4</v>
      </c>
      <c r="S8">
        <v>14</v>
      </c>
      <c r="T8">
        <v>17</v>
      </c>
      <c r="U8">
        <f t="shared" si="6"/>
        <v>-3</v>
      </c>
      <c r="W8" t="s">
        <v>21</v>
      </c>
      <c r="X8" t="s">
        <v>350</v>
      </c>
      <c r="Y8" s="2">
        <f t="shared" si="2"/>
        <v>11</v>
      </c>
      <c r="Z8">
        <v>8</v>
      </c>
      <c r="AA8">
        <v>3</v>
      </c>
      <c r="AB8">
        <v>2</v>
      </c>
      <c r="AC8">
        <f t="shared" si="7"/>
        <v>3</v>
      </c>
      <c r="AD8">
        <v>9</v>
      </c>
      <c r="AE8">
        <v>10</v>
      </c>
      <c r="AF8">
        <f t="shared" si="8"/>
        <v>-1</v>
      </c>
    </row>
    <row r="9" spans="1:35" x14ac:dyDescent="0.3">
      <c r="A9" t="s">
        <v>23</v>
      </c>
      <c r="B9" t="s">
        <v>345</v>
      </c>
      <c r="C9" s="2">
        <f t="shared" si="0"/>
        <v>11</v>
      </c>
      <c r="D9">
        <v>9</v>
      </c>
      <c r="E9">
        <v>3</v>
      </c>
      <c r="F9">
        <v>2</v>
      </c>
      <c r="G9">
        <f t="shared" si="3"/>
        <v>4</v>
      </c>
      <c r="H9">
        <v>10</v>
      </c>
      <c r="I9">
        <v>11</v>
      </c>
      <c r="J9">
        <f t="shared" si="4"/>
        <v>-1</v>
      </c>
      <c r="L9" t="s">
        <v>23</v>
      </c>
      <c r="M9" t="s">
        <v>363</v>
      </c>
      <c r="N9" s="2">
        <f t="shared" si="1"/>
        <v>10</v>
      </c>
      <c r="O9">
        <v>9</v>
      </c>
      <c r="P9">
        <v>3</v>
      </c>
      <c r="Q9">
        <v>1</v>
      </c>
      <c r="R9">
        <f t="shared" si="5"/>
        <v>5</v>
      </c>
      <c r="S9">
        <v>12</v>
      </c>
      <c r="T9">
        <v>14</v>
      </c>
      <c r="U9">
        <f t="shared" si="6"/>
        <v>-2</v>
      </c>
      <c r="W9" t="s">
        <v>23</v>
      </c>
      <c r="X9" t="s">
        <v>351</v>
      </c>
      <c r="Y9" s="2">
        <f t="shared" si="2"/>
        <v>10</v>
      </c>
      <c r="Z9">
        <v>8</v>
      </c>
      <c r="AA9">
        <v>3</v>
      </c>
      <c r="AB9">
        <v>1</v>
      </c>
      <c r="AC9">
        <f t="shared" si="7"/>
        <v>4</v>
      </c>
      <c r="AD9">
        <v>9</v>
      </c>
      <c r="AE9">
        <v>11</v>
      </c>
      <c r="AF9">
        <f t="shared" si="8"/>
        <v>-2</v>
      </c>
    </row>
    <row r="10" spans="1:35" x14ac:dyDescent="0.3">
      <c r="A10" t="s">
        <v>25</v>
      </c>
      <c r="B10" t="s">
        <v>354</v>
      </c>
      <c r="C10" s="2">
        <f t="shared" si="0"/>
        <v>10</v>
      </c>
      <c r="D10">
        <v>9</v>
      </c>
      <c r="E10">
        <v>3</v>
      </c>
      <c r="F10">
        <v>1</v>
      </c>
      <c r="G10">
        <f t="shared" si="3"/>
        <v>5</v>
      </c>
      <c r="H10">
        <v>10</v>
      </c>
      <c r="I10">
        <v>16</v>
      </c>
      <c r="J10">
        <f t="shared" si="4"/>
        <v>-6</v>
      </c>
      <c r="L10" t="s">
        <v>25</v>
      </c>
      <c r="M10" t="s">
        <v>364</v>
      </c>
      <c r="N10" s="2">
        <f t="shared" si="1"/>
        <v>10</v>
      </c>
      <c r="O10">
        <v>9</v>
      </c>
      <c r="P10">
        <v>3</v>
      </c>
      <c r="Q10">
        <v>1</v>
      </c>
      <c r="R10">
        <f t="shared" si="5"/>
        <v>5</v>
      </c>
      <c r="S10">
        <v>13</v>
      </c>
      <c r="T10">
        <v>17</v>
      </c>
      <c r="U10">
        <f t="shared" si="6"/>
        <v>-4</v>
      </c>
      <c r="W10" t="s">
        <v>25</v>
      </c>
      <c r="X10" t="s">
        <v>348</v>
      </c>
      <c r="Y10" s="2">
        <f t="shared" si="2"/>
        <v>8</v>
      </c>
      <c r="Z10">
        <v>8</v>
      </c>
      <c r="AA10">
        <v>2</v>
      </c>
      <c r="AB10">
        <v>2</v>
      </c>
      <c r="AC10">
        <f t="shared" si="7"/>
        <v>4</v>
      </c>
      <c r="AD10">
        <v>9</v>
      </c>
      <c r="AE10">
        <v>13</v>
      </c>
      <c r="AF10">
        <f t="shared" si="8"/>
        <v>-4</v>
      </c>
    </row>
    <row r="11" spans="1:35" x14ac:dyDescent="0.3">
      <c r="A11" s="3" t="s">
        <v>66</v>
      </c>
      <c r="B11" t="s">
        <v>349</v>
      </c>
      <c r="C11" s="2">
        <f t="shared" si="0"/>
        <v>9</v>
      </c>
      <c r="D11">
        <v>9</v>
      </c>
      <c r="E11">
        <v>2</v>
      </c>
      <c r="F11">
        <v>3</v>
      </c>
      <c r="G11">
        <f t="shared" si="3"/>
        <v>4</v>
      </c>
      <c r="H11">
        <v>11</v>
      </c>
      <c r="I11">
        <v>13</v>
      </c>
      <c r="J11">
        <f t="shared" si="4"/>
        <v>-2</v>
      </c>
      <c r="L11" t="s">
        <v>66</v>
      </c>
      <c r="M11" t="s">
        <v>358</v>
      </c>
      <c r="N11" s="2">
        <f t="shared" si="1"/>
        <v>9</v>
      </c>
      <c r="O11">
        <v>9</v>
      </c>
      <c r="P11">
        <v>1</v>
      </c>
      <c r="Q11">
        <v>6</v>
      </c>
      <c r="R11">
        <f t="shared" si="5"/>
        <v>2</v>
      </c>
      <c r="S11">
        <v>11</v>
      </c>
      <c r="T11">
        <v>13</v>
      </c>
      <c r="U11">
        <f t="shared" si="6"/>
        <v>-2</v>
      </c>
      <c r="W11" t="s">
        <v>66</v>
      </c>
      <c r="X11" t="s">
        <v>346</v>
      </c>
      <c r="Y11" s="2">
        <f t="shared" ref="Y11" si="9">AA11*3+AB11</f>
        <v>5</v>
      </c>
      <c r="Z11">
        <v>8</v>
      </c>
      <c r="AA11">
        <v>1</v>
      </c>
      <c r="AB11">
        <v>2</v>
      </c>
      <c r="AC11">
        <f t="shared" si="7"/>
        <v>5</v>
      </c>
      <c r="AD11">
        <v>9</v>
      </c>
      <c r="AE11">
        <v>14</v>
      </c>
      <c r="AF11">
        <f t="shared" si="8"/>
        <v>-5</v>
      </c>
    </row>
    <row r="12" spans="1:35" x14ac:dyDescent="0.3">
      <c r="A12" s="3" t="s">
        <v>137</v>
      </c>
      <c r="B12" t="s">
        <v>347</v>
      </c>
      <c r="C12" s="2">
        <f t="shared" si="0"/>
        <v>7</v>
      </c>
      <c r="D12">
        <v>9</v>
      </c>
      <c r="E12">
        <v>2</v>
      </c>
      <c r="F12">
        <v>1</v>
      </c>
      <c r="G12">
        <f t="shared" si="3"/>
        <v>6</v>
      </c>
      <c r="H12">
        <v>6</v>
      </c>
      <c r="I12">
        <v>13</v>
      </c>
      <c r="J12">
        <f t="shared" si="4"/>
        <v>-7</v>
      </c>
      <c r="L12" t="s">
        <v>137</v>
      </c>
      <c r="M12" t="s">
        <v>365</v>
      </c>
      <c r="N12" s="2">
        <f t="shared" si="1"/>
        <v>6</v>
      </c>
      <c r="O12">
        <v>9</v>
      </c>
      <c r="P12">
        <v>2</v>
      </c>
      <c r="Q12">
        <v>0</v>
      </c>
      <c r="R12">
        <f t="shared" si="5"/>
        <v>7</v>
      </c>
      <c r="S12">
        <v>10</v>
      </c>
      <c r="T12">
        <v>19</v>
      </c>
      <c r="U12">
        <f t="shared" si="6"/>
        <v>-9</v>
      </c>
    </row>
    <row r="13" spans="1:35" x14ac:dyDescent="0.3">
      <c r="W13" t="s">
        <v>27</v>
      </c>
    </row>
    <row r="14" spans="1:35" x14ac:dyDescent="0.3">
      <c r="A14" t="s">
        <v>86</v>
      </c>
      <c r="W14" t="str">
        <f>X6</f>
        <v>Aquidauana</v>
      </c>
      <c r="X14" t="s">
        <v>29</v>
      </c>
      <c r="Y14" t="str">
        <f>X3</f>
        <v>Costa Rica</v>
      </c>
      <c r="AA14" t="str">
        <f>X3</f>
        <v>Costa Rica</v>
      </c>
      <c r="AB14" t="s">
        <v>386</v>
      </c>
      <c r="AC14" t="str">
        <f>X6</f>
        <v>Aquidauana</v>
      </c>
    </row>
    <row r="15" spans="1:35" x14ac:dyDescent="0.3">
      <c r="A15" t="str">
        <f>B8</f>
        <v>Corumbaense</v>
      </c>
      <c r="B15" t="s">
        <v>28</v>
      </c>
      <c r="C15" t="str">
        <f>B5</f>
        <v>Maracaju</v>
      </c>
      <c r="E15" t="str">
        <f>B5</f>
        <v>Maracaju</v>
      </c>
      <c r="F15" t="s">
        <v>355</v>
      </c>
      <c r="G15" t="str">
        <f>B8</f>
        <v>Corumbaense</v>
      </c>
      <c r="W15" t="str">
        <f>X5</f>
        <v>Comercial</v>
      </c>
      <c r="X15" t="s">
        <v>43</v>
      </c>
      <c r="Y15" t="str">
        <f>X4</f>
        <v>Maracaju</v>
      </c>
      <c r="AA15" t="str">
        <f>X4</f>
        <v>Maracaju</v>
      </c>
      <c r="AB15" t="s">
        <v>31</v>
      </c>
      <c r="AC15" t="str">
        <f>X5</f>
        <v>Comercial</v>
      </c>
    </row>
    <row r="16" spans="1:35" x14ac:dyDescent="0.3">
      <c r="A16" t="str">
        <f>B7</f>
        <v>Naviraiense</v>
      </c>
      <c r="B16" t="s">
        <v>69</v>
      </c>
      <c r="C16" t="str">
        <f>B6</f>
        <v>Operário</v>
      </c>
      <c r="E16" t="str">
        <f>B6</f>
        <v>Operário</v>
      </c>
      <c r="F16" t="s">
        <v>65</v>
      </c>
      <c r="G16" t="str">
        <f>B7</f>
        <v>Naviraiense</v>
      </c>
    </row>
    <row r="17" spans="1:29" x14ac:dyDescent="0.3">
      <c r="W17" t="s">
        <v>33</v>
      </c>
    </row>
    <row r="18" spans="1:29" x14ac:dyDescent="0.3">
      <c r="A18" t="s">
        <v>27</v>
      </c>
      <c r="W18" t="s">
        <v>345</v>
      </c>
      <c r="X18" t="s">
        <v>43</v>
      </c>
      <c r="Y18" t="s">
        <v>354</v>
      </c>
      <c r="AA18" t="s">
        <v>354</v>
      </c>
      <c r="AB18" t="s">
        <v>44</v>
      </c>
      <c r="AC18" t="s">
        <v>345</v>
      </c>
    </row>
    <row r="19" spans="1:29" x14ac:dyDescent="0.3">
      <c r="A19" t="s">
        <v>99</v>
      </c>
      <c r="B19" t="s">
        <v>36</v>
      </c>
      <c r="C19" t="str">
        <f>B3</f>
        <v>Dourados</v>
      </c>
      <c r="E19" t="str">
        <f>B3</f>
        <v>Dourados</v>
      </c>
      <c r="F19" t="s">
        <v>54</v>
      </c>
      <c r="G19" t="s">
        <v>99</v>
      </c>
    </row>
    <row r="20" spans="1:29" x14ac:dyDescent="0.3">
      <c r="A20" t="s">
        <v>346</v>
      </c>
      <c r="B20" t="s">
        <v>28</v>
      </c>
      <c r="C20" t="str">
        <f>B4</f>
        <v>Águia Negra</v>
      </c>
      <c r="E20" t="str">
        <f>B4</f>
        <v>Águia Negra</v>
      </c>
      <c r="F20" t="s">
        <v>69</v>
      </c>
      <c r="G20" t="s">
        <v>346</v>
      </c>
    </row>
    <row r="22" spans="1:29" x14ac:dyDescent="0.3">
      <c r="A22" t="s">
        <v>33</v>
      </c>
    </row>
    <row r="23" spans="1:29" x14ac:dyDescent="0.3">
      <c r="A23" t="s">
        <v>346</v>
      </c>
      <c r="B23" t="s">
        <v>57</v>
      </c>
      <c r="C23" t="s">
        <v>344</v>
      </c>
      <c r="E23" t="s">
        <v>344</v>
      </c>
      <c r="F23" t="s">
        <v>36</v>
      </c>
      <c r="G23" t="s">
        <v>346</v>
      </c>
    </row>
    <row r="25" spans="1:29" x14ac:dyDescent="0.3">
      <c r="A25" t="s">
        <v>38</v>
      </c>
    </row>
    <row r="26" spans="1:29" x14ac:dyDescent="0.3">
      <c r="A26" t="s">
        <v>344</v>
      </c>
    </row>
    <row r="27" spans="1:29" x14ac:dyDescent="0.3">
      <c r="A27" t="s">
        <v>346</v>
      </c>
    </row>
    <row r="29" spans="1:29" x14ac:dyDescent="0.3">
      <c r="A29" t="s">
        <v>39</v>
      </c>
    </row>
    <row r="30" spans="1:29" x14ac:dyDescent="0.3">
      <c r="A30" t="s">
        <v>344</v>
      </c>
    </row>
    <row r="31" spans="1:29" x14ac:dyDescent="0.3">
      <c r="A31" t="s">
        <v>346</v>
      </c>
    </row>
    <row r="32" spans="1:29" x14ac:dyDescent="0.3">
      <c r="A32" t="s">
        <v>345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FE88-C7E8-4FAD-B17F-94CCEEF7099B}">
  <dimension ref="A1:AI33"/>
  <sheetViews>
    <sheetView workbookViewId="0">
      <selection activeCell="C3" sqref="C3:C12"/>
    </sheetView>
  </sheetViews>
  <sheetFormatPr defaultRowHeight="14.4" x14ac:dyDescent="0.3"/>
  <sheetData>
    <row r="1" spans="1:35" x14ac:dyDescent="0.3">
      <c r="A1" t="s">
        <v>366</v>
      </c>
      <c r="L1" t="s">
        <v>380</v>
      </c>
      <c r="W1" t="s">
        <v>392</v>
      </c>
      <c r="AH1" t="s">
        <v>70</v>
      </c>
    </row>
    <row r="2" spans="1:3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72</v>
      </c>
      <c r="W2" t="s">
        <v>1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H2" t="s">
        <v>371</v>
      </c>
      <c r="AI2">
        <v>4</v>
      </c>
    </row>
    <row r="3" spans="1:35" x14ac:dyDescent="0.3">
      <c r="A3" s="1" t="s">
        <v>11</v>
      </c>
      <c r="B3" t="s">
        <v>372</v>
      </c>
      <c r="C3" s="2">
        <f t="shared" ref="C3:C12" si="0">E3*3+F3</f>
        <v>17</v>
      </c>
      <c r="D3">
        <v>9</v>
      </c>
      <c r="E3">
        <v>5</v>
      </c>
      <c r="F3">
        <v>2</v>
      </c>
      <c r="G3">
        <f>D3-E3-F3</f>
        <v>2</v>
      </c>
      <c r="H3">
        <v>12</v>
      </c>
      <c r="I3">
        <v>7</v>
      </c>
      <c r="J3">
        <f>H3-I3</f>
        <v>5</v>
      </c>
      <c r="L3" t="s">
        <v>1</v>
      </c>
      <c r="M3" t="s">
        <v>2</v>
      </c>
      <c r="N3" t="s">
        <v>3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W3" s="1" t="s">
        <v>11</v>
      </c>
      <c r="X3" t="s">
        <v>377</v>
      </c>
      <c r="Y3" s="2">
        <f t="shared" ref="Y3:Y10" si="1">AA3*3+AB3</f>
        <v>18</v>
      </c>
      <c r="Z3">
        <v>9</v>
      </c>
      <c r="AA3">
        <v>6</v>
      </c>
      <c r="AB3">
        <v>0</v>
      </c>
      <c r="AC3">
        <f>Z3-AA3-AB3</f>
        <v>3</v>
      </c>
      <c r="AD3">
        <v>17</v>
      </c>
      <c r="AE3">
        <v>12</v>
      </c>
      <c r="AF3">
        <f>AD3-AE3</f>
        <v>5</v>
      </c>
      <c r="AH3" t="s">
        <v>383</v>
      </c>
      <c r="AI3">
        <v>1</v>
      </c>
    </row>
    <row r="4" spans="1:35" x14ac:dyDescent="0.3">
      <c r="A4" s="1" t="s">
        <v>13</v>
      </c>
      <c r="B4" t="s">
        <v>371</v>
      </c>
      <c r="C4" s="2">
        <f t="shared" si="0"/>
        <v>16</v>
      </c>
      <c r="D4">
        <v>9</v>
      </c>
      <c r="E4">
        <v>5</v>
      </c>
      <c r="F4">
        <v>1</v>
      </c>
      <c r="G4">
        <f t="shared" ref="G4:G12" si="2">D4-E4-F4</f>
        <v>3</v>
      </c>
      <c r="H4">
        <v>17</v>
      </c>
      <c r="I4">
        <v>9</v>
      </c>
      <c r="J4">
        <f t="shared" ref="J4:J12" si="3">H4-I4</f>
        <v>8</v>
      </c>
      <c r="L4" s="1" t="s">
        <v>11</v>
      </c>
      <c r="M4" t="s">
        <v>382</v>
      </c>
      <c r="N4" s="2">
        <f t="shared" ref="N4:N10" si="4">P4*3+Q4</f>
        <v>12</v>
      </c>
      <c r="O4">
        <v>6</v>
      </c>
      <c r="P4">
        <v>4</v>
      </c>
      <c r="Q4">
        <v>0</v>
      </c>
      <c r="R4">
        <f>O4-P4-Q4</f>
        <v>2</v>
      </c>
      <c r="S4">
        <v>14</v>
      </c>
      <c r="T4">
        <v>8</v>
      </c>
      <c r="U4">
        <f>S4-T4</f>
        <v>6</v>
      </c>
      <c r="W4" s="1" t="s">
        <v>13</v>
      </c>
      <c r="X4" t="s">
        <v>369</v>
      </c>
      <c r="Y4" s="2">
        <f t="shared" si="1"/>
        <v>18</v>
      </c>
      <c r="Z4">
        <v>9</v>
      </c>
      <c r="AA4">
        <v>6</v>
      </c>
      <c r="AB4">
        <v>0</v>
      </c>
      <c r="AC4">
        <f t="shared" ref="AC4:AC12" si="5">Z4-AA4-AB4</f>
        <v>3</v>
      </c>
      <c r="AD4">
        <v>14</v>
      </c>
      <c r="AE4">
        <v>10</v>
      </c>
      <c r="AF4">
        <f t="shared" ref="AF4:AF12" si="6">AD4-AE4</f>
        <v>4</v>
      </c>
      <c r="AH4" t="s">
        <v>374</v>
      </c>
      <c r="AI4">
        <v>2</v>
      </c>
    </row>
    <row r="5" spans="1:35" x14ac:dyDescent="0.3">
      <c r="A5" s="4" t="s">
        <v>15</v>
      </c>
      <c r="B5" t="s">
        <v>373</v>
      </c>
      <c r="C5" s="2">
        <f t="shared" si="0"/>
        <v>16</v>
      </c>
      <c r="D5">
        <v>9</v>
      </c>
      <c r="E5">
        <v>5</v>
      </c>
      <c r="F5">
        <v>1</v>
      </c>
      <c r="G5">
        <f t="shared" si="2"/>
        <v>3</v>
      </c>
      <c r="H5">
        <v>12</v>
      </c>
      <c r="I5">
        <v>11</v>
      </c>
      <c r="J5">
        <f t="shared" si="3"/>
        <v>1</v>
      </c>
      <c r="L5" s="1" t="s">
        <v>13</v>
      </c>
      <c r="M5" t="s">
        <v>381</v>
      </c>
      <c r="N5" s="2">
        <f t="shared" si="4"/>
        <v>12</v>
      </c>
      <c r="O5">
        <v>6</v>
      </c>
      <c r="P5">
        <v>4</v>
      </c>
      <c r="Q5">
        <v>0</v>
      </c>
      <c r="R5">
        <f t="shared" ref="R5:R10" si="7">O5-P5-Q5</f>
        <v>2</v>
      </c>
      <c r="S5">
        <v>15</v>
      </c>
      <c r="T5">
        <v>12</v>
      </c>
      <c r="U5">
        <f t="shared" ref="U5:U10" si="8">S5-T5</f>
        <v>3</v>
      </c>
      <c r="W5" s="1" t="s">
        <v>15</v>
      </c>
      <c r="X5" t="s">
        <v>374</v>
      </c>
      <c r="Y5" s="2">
        <f t="shared" si="1"/>
        <v>16</v>
      </c>
      <c r="Z5">
        <v>9</v>
      </c>
      <c r="AA5">
        <v>5</v>
      </c>
      <c r="AB5">
        <v>1</v>
      </c>
      <c r="AC5">
        <f t="shared" si="5"/>
        <v>3</v>
      </c>
      <c r="AD5">
        <v>19</v>
      </c>
      <c r="AE5">
        <v>14</v>
      </c>
      <c r="AF5">
        <f t="shared" si="6"/>
        <v>5</v>
      </c>
    </row>
    <row r="6" spans="1:35" x14ac:dyDescent="0.3">
      <c r="A6" s="4" t="s">
        <v>17</v>
      </c>
      <c r="B6" t="s">
        <v>377</v>
      </c>
      <c r="C6" s="2">
        <f t="shared" si="0"/>
        <v>15</v>
      </c>
      <c r="D6">
        <v>9</v>
      </c>
      <c r="E6">
        <v>5</v>
      </c>
      <c r="F6">
        <v>0</v>
      </c>
      <c r="G6">
        <f t="shared" si="2"/>
        <v>4</v>
      </c>
      <c r="H6">
        <v>13</v>
      </c>
      <c r="I6">
        <v>10</v>
      </c>
      <c r="J6">
        <f t="shared" si="3"/>
        <v>3</v>
      </c>
      <c r="L6" t="s">
        <v>15</v>
      </c>
      <c r="M6" t="s">
        <v>387</v>
      </c>
      <c r="N6" s="2">
        <f t="shared" si="4"/>
        <v>9</v>
      </c>
      <c r="O6">
        <v>6</v>
      </c>
      <c r="P6">
        <v>3</v>
      </c>
      <c r="Q6">
        <v>0</v>
      </c>
      <c r="R6">
        <f t="shared" si="7"/>
        <v>3</v>
      </c>
      <c r="S6">
        <v>11</v>
      </c>
      <c r="T6">
        <v>13</v>
      </c>
      <c r="U6">
        <f t="shared" si="8"/>
        <v>-2</v>
      </c>
      <c r="W6" s="1" t="s">
        <v>17</v>
      </c>
      <c r="X6" t="s">
        <v>381</v>
      </c>
      <c r="Y6" s="2">
        <f t="shared" si="1"/>
        <v>15</v>
      </c>
      <c r="Z6">
        <v>9</v>
      </c>
      <c r="AA6">
        <v>5</v>
      </c>
      <c r="AB6">
        <v>0</v>
      </c>
      <c r="AC6">
        <f t="shared" si="5"/>
        <v>4</v>
      </c>
      <c r="AD6">
        <v>17</v>
      </c>
      <c r="AE6">
        <v>13</v>
      </c>
      <c r="AF6">
        <f t="shared" si="6"/>
        <v>4</v>
      </c>
    </row>
    <row r="7" spans="1:35" x14ac:dyDescent="0.3">
      <c r="A7" s="4" t="s">
        <v>19</v>
      </c>
      <c r="B7" t="s">
        <v>369</v>
      </c>
      <c r="C7" s="2">
        <f t="shared" si="0"/>
        <v>15</v>
      </c>
      <c r="D7">
        <v>9</v>
      </c>
      <c r="E7">
        <v>5</v>
      </c>
      <c r="F7">
        <v>0</v>
      </c>
      <c r="G7">
        <f t="shared" si="2"/>
        <v>4</v>
      </c>
      <c r="H7">
        <v>11</v>
      </c>
      <c r="I7">
        <v>14</v>
      </c>
      <c r="J7">
        <f t="shared" si="3"/>
        <v>-3</v>
      </c>
      <c r="L7" t="s">
        <v>17</v>
      </c>
      <c r="M7" t="s">
        <v>388</v>
      </c>
      <c r="N7" s="2">
        <f t="shared" si="4"/>
        <v>9</v>
      </c>
      <c r="O7">
        <v>6</v>
      </c>
      <c r="P7">
        <v>3</v>
      </c>
      <c r="Q7">
        <v>0</v>
      </c>
      <c r="R7">
        <f t="shared" si="7"/>
        <v>3</v>
      </c>
      <c r="S7">
        <v>10</v>
      </c>
      <c r="T7">
        <v>12</v>
      </c>
      <c r="U7">
        <f t="shared" si="8"/>
        <v>-2</v>
      </c>
      <c r="W7" t="s">
        <v>19</v>
      </c>
      <c r="X7" t="s">
        <v>383</v>
      </c>
      <c r="Y7" s="2">
        <f t="shared" si="1"/>
        <v>13</v>
      </c>
      <c r="Z7">
        <v>9</v>
      </c>
      <c r="AA7">
        <v>4</v>
      </c>
      <c r="AB7">
        <v>1</v>
      </c>
      <c r="AC7">
        <f t="shared" si="5"/>
        <v>4</v>
      </c>
      <c r="AD7">
        <v>16</v>
      </c>
      <c r="AE7">
        <v>17</v>
      </c>
      <c r="AF7">
        <f t="shared" si="6"/>
        <v>-1</v>
      </c>
    </row>
    <row r="8" spans="1:35" x14ac:dyDescent="0.3">
      <c r="A8" s="4" t="s">
        <v>21</v>
      </c>
      <c r="B8" t="s">
        <v>368</v>
      </c>
      <c r="C8" s="2">
        <f t="shared" si="0"/>
        <v>13</v>
      </c>
      <c r="D8">
        <v>9</v>
      </c>
      <c r="E8">
        <v>4</v>
      </c>
      <c r="F8">
        <v>1</v>
      </c>
      <c r="G8">
        <f t="shared" si="2"/>
        <v>4</v>
      </c>
      <c r="H8">
        <v>13</v>
      </c>
      <c r="I8">
        <v>13</v>
      </c>
      <c r="J8">
        <f t="shared" si="3"/>
        <v>0</v>
      </c>
      <c r="L8" t="s">
        <v>19</v>
      </c>
      <c r="M8" t="s">
        <v>389</v>
      </c>
      <c r="N8" s="2">
        <f t="shared" si="4"/>
        <v>8</v>
      </c>
      <c r="O8">
        <v>6</v>
      </c>
      <c r="P8">
        <v>2</v>
      </c>
      <c r="Q8">
        <v>2</v>
      </c>
      <c r="R8">
        <f t="shared" si="7"/>
        <v>2</v>
      </c>
      <c r="S8">
        <v>9</v>
      </c>
      <c r="T8">
        <v>10</v>
      </c>
      <c r="U8">
        <f t="shared" si="8"/>
        <v>-1</v>
      </c>
      <c r="W8" t="s">
        <v>21</v>
      </c>
      <c r="X8" t="s">
        <v>371</v>
      </c>
      <c r="Y8" s="2">
        <f t="shared" si="1"/>
        <v>11</v>
      </c>
      <c r="Z8">
        <v>9</v>
      </c>
      <c r="AA8">
        <v>3</v>
      </c>
      <c r="AB8">
        <v>2</v>
      </c>
      <c r="AC8">
        <f t="shared" si="5"/>
        <v>4</v>
      </c>
      <c r="AD8">
        <v>12</v>
      </c>
      <c r="AE8">
        <v>13</v>
      </c>
      <c r="AF8">
        <f t="shared" si="6"/>
        <v>-1</v>
      </c>
    </row>
    <row r="9" spans="1:35" x14ac:dyDescent="0.3">
      <c r="A9" t="s">
        <v>23</v>
      </c>
      <c r="B9" t="s">
        <v>367</v>
      </c>
      <c r="C9" s="2">
        <f t="shared" si="0"/>
        <v>12</v>
      </c>
      <c r="D9">
        <v>9</v>
      </c>
      <c r="E9">
        <v>3</v>
      </c>
      <c r="F9">
        <v>3</v>
      </c>
      <c r="G9">
        <f t="shared" si="2"/>
        <v>3</v>
      </c>
      <c r="H9">
        <v>9</v>
      </c>
      <c r="I9">
        <v>9</v>
      </c>
      <c r="J9">
        <f t="shared" si="3"/>
        <v>0</v>
      </c>
      <c r="L9" t="s">
        <v>21</v>
      </c>
      <c r="M9" t="s">
        <v>376</v>
      </c>
      <c r="N9" s="2">
        <f t="shared" si="4"/>
        <v>7</v>
      </c>
      <c r="O9">
        <v>6</v>
      </c>
      <c r="P9">
        <v>2</v>
      </c>
      <c r="Q9">
        <v>1</v>
      </c>
      <c r="R9">
        <f t="shared" si="7"/>
        <v>3</v>
      </c>
      <c r="S9">
        <v>13</v>
      </c>
      <c r="T9">
        <v>11</v>
      </c>
      <c r="U9">
        <f t="shared" si="8"/>
        <v>2</v>
      </c>
      <c r="W9" t="s">
        <v>23</v>
      </c>
      <c r="X9" t="s">
        <v>367</v>
      </c>
      <c r="Y9" s="2">
        <f t="shared" si="1"/>
        <v>11</v>
      </c>
      <c r="Z9">
        <v>9</v>
      </c>
      <c r="AA9">
        <v>3</v>
      </c>
      <c r="AB9">
        <v>2</v>
      </c>
      <c r="AC9">
        <f t="shared" si="5"/>
        <v>4</v>
      </c>
      <c r="AD9">
        <v>7</v>
      </c>
      <c r="AE9">
        <v>9</v>
      </c>
      <c r="AF9">
        <f t="shared" si="6"/>
        <v>-2</v>
      </c>
    </row>
    <row r="10" spans="1:35" x14ac:dyDescent="0.3">
      <c r="A10" t="s">
        <v>25</v>
      </c>
      <c r="B10" t="s">
        <v>374</v>
      </c>
      <c r="C10" s="2">
        <f t="shared" si="0"/>
        <v>10</v>
      </c>
      <c r="D10">
        <v>9</v>
      </c>
      <c r="E10">
        <v>3</v>
      </c>
      <c r="F10">
        <v>1</v>
      </c>
      <c r="G10">
        <f t="shared" si="2"/>
        <v>5</v>
      </c>
      <c r="H10">
        <v>12</v>
      </c>
      <c r="I10">
        <v>14</v>
      </c>
      <c r="J10">
        <f t="shared" si="3"/>
        <v>-2</v>
      </c>
      <c r="L10" t="s">
        <v>23</v>
      </c>
      <c r="M10" t="s">
        <v>375</v>
      </c>
      <c r="N10" s="2">
        <f t="shared" si="4"/>
        <v>4</v>
      </c>
      <c r="O10">
        <v>6</v>
      </c>
      <c r="P10">
        <v>1</v>
      </c>
      <c r="Q10">
        <v>1</v>
      </c>
      <c r="R10">
        <f t="shared" si="7"/>
        <v>4</v>
      </c>
      <c r="S10">
        <v>9</v>
      </c>
      <c r="T10">
        <v>15</v>
      </c>
      <c r="U10">
        <f t="shared" si="8"/>
        <v>-6</v>
      </c>
      <c r="W10" t="s">
        <v>25</v>
      </c>
      <c r="X10" t="s">
        <v>368</v>
      </c>
      <c r="Y10" s="2">
        <f t="shared" si="1"/>
        <v>10</v>
      </c>
      <c r="Z10">
        <v>9</v>
      </c>
      <c r="AA10">
        <v>3</v>
      </c>
      <c r="AB10">
        <v>1</v>
      </c>
      <c r="AC10">
        <f t="shared" si="5"/>
        <v>5</v>
      </c>
      <c r="AD10">
        <v>10</v>
      </c>
      <c r="AE10">
        <v>11</v>
      </c>
      <c r="AF10">
        <f t="shared" si="6"/>
        <v>-1</v>
      </c>
    </row>
    <row r="11" spans="1:35" x14ac:dyDescent="0.3">
      <c r="A11" s="3" t="s">
        <v>66</v>
      </c>
      <c r="B11" t="s">
        <v>378</v>
      </c>
      <c r="C11" s="2">
        <f t="shared" si="0"/>
        <v>8</v>
      </c>
      <c r="D11">
        <v>9</v>
      </c>
      <c r="E11">
        <v>2</v>
      </c>
      <c r="F11">
        <v>2</v>
      </c>
      <c r="G11">
        <f t="shared" si="2"/>
        <v>5</v>
      </c>
      <c r="H11">
        <v>8</v>
      </c>
      <c r="I11">
        <v>14</v>
      </c>
      <c r="J11">
        <f t="shared" si="3"/>
        <v>-6</v>
      </c>
      <c r="W11" t="s">
        <v>66</v>
      </c>
      <c r="X11" t="s">
        <v>372</v>
      </c>
      <c r="Y11" s="2">
        <f t="shared" ref="Y11:Y12" si="9">AA11*3+AB11</f>
        <v>10</v>
      </c>
      <c r="Z11">
        <v>9</v>
      </c>
      <c r="AA11">
        <v>3</v>
      </c>
      <c r="AB11">
        <v>1</v>
      </c>
      <c r="AC11">
        <f t="shared" si="5"/>
        <v>5</v>
      </c>
      <c r="AD11">
        <v>15</v>
      </c>
      <c r="AE11">
        <v>20</v>
      </c>
      <c r="AF11">
        <f t="shared" si="6"/>
        <v>-5</v>
      </c>
    </row>
    <row r="12" spans="1:35" x14ac:dyDescent="0.3">
      <c r="A12" s="3" t="s">
        <v>137</v>
      </c>
      <c r="B12" t="s">
        <v>370</v>
      </c>
      <c r="C12" s="2">
        <f t="shared" si="0"/>
        <v>6</v>
      </c>
      <c r="D12">
        <v>9</v>
      </c>
      <c r="E12">
        <v>1</v>
      </c>
      <c r="F12">
        <v>3</v>
      </c>
      <c r="G12">
        <f t="shared" si="2"/>
        <v>5</v>
      </c>
      <c r="H12">
        <v>4</v>
      </c>
      <c r="I12">
        <v>10</v>
      </c>
      <c r="J12">
        <f t="shared" si="3"/>
        <v>-6</v>
      </c>
      <c r="L12" t="s">
        <v>73</v>
      </c>
      <c r="W12" t="s">
        <v>137</v>
      </c>
      <c r="X12" t="s">
        <v>373</v>
      </c>
      <c r="Y12" s="2">
        <f t="shared" si="9"/>
        <v>9</v>
      </c>
      <c r="Z12">
        <v>9</v>
      </c>
      <c r="AA12">
        <v>3</v>
      </c>
      <c r="AB12">
        <v>0</v>
      </c>
      <c r="AC12">
        <f t="shared" si="5"/>
        <v>6</v>
      </c>
      <c r="AD12">
        <v>10</v>
      </c>
      <c r="AE12">
        <v>18</v>
      </c>
      <c r="AF12">
        <f t="shared" si="6"/>
        <v>-8</v>
      </c>
    </row>
    <row r="13" spans="1:35" x14ac:dyDescent="0.3">
      <c r="L13" t="s">
        <v>1</v>
      </c>
      <c r="M13" t="s">
        <v>2</v>
      </c>
      <c r="N13" t="s">
        <v>3</v>
      </c>
      <c r="O13" t="s">
        <v>4</v>
      </c>
      <c r="P13" t="s">
        <v>5</v>
      </c>
      <c r="Q13" t="s">
        <v>6</v>
      </c>
      <c r="R13" t="s">
        <v>7</v>
      </c>
      <c r="S13" t="s">
        <v>8</v>
      </c>
      <c r="T13" t="s">
        <v>9</v>
      </c>
      <c r="U13" t="s">
        <v>10</v>
      </c>
    </row>
    <row r="14" spans="1:35" x14ac:dyDescent="0.3">
      <c r="A14" t="s">
        <v>86</v>
      </c>
      <c r="L14" s="1" t="s">
        <v>11</v>
      </c>
      <c r="M14" t="s">
        <v>42</v>
      </c>
      <c r="N14" s="2">
        <f t="shared" ref="N14:N19" si="10">P14*3+Q14</f>
        <v>11</v>
      </c>
      <c r="O14">
        <v>5</v>
      </c>
      <c r="P14">
        <v>3</v>
      </c>
      <c r="Q14">
        <v>2</v>
      </c>
      <c r="R14">
        <f>O14-P14-Q14</f>
        <v>0</v>
      </c>
      <c r="S14">
        <v>6</v>
      </c>
      <c r="T14">
        <v>2</v>
      </c>
      <c r="U14">
        <f>S14-T14</f>
        <v>4</v>
      </c>
      <c r="W14" t="s">
        <v>27</v>
      </c>
    </row>
    <row r="15" spans="1:35" x14ac:dyDescent="0.3">
      <c r="A15" t="str">
        <f>B5</f>
        <v>Sport Sinop</v>
      </c>
      <c r="B15" t="s">
        <v>69</v>
      </c>
      <c r="C15" t="str">
        <f>B8</f>
        <v>Mixto</v>
      </c>
      <c r="L15" s="1" t="s">
        <v>13</v>
      </c>
      <c r="M15" t="s">
        <v>383</v>
      </c>
      <c r="N15" s="2">
        <f t="shared" si="10"/>
        <v>10</v>
      </c>
      <c r="O15">
        <v>5</v>
      </c>
      <c r="P15">
        <v>3</v>
      </c>
      <c r="Q15">
        <v>1</v>
      </c>
      <c r="R15">
        <f t="shared" ref="R15:R19" si="11">O15-P15-Q15</f>
        <v>1</v>
      </c>
      <c r="S15">
        <v>7</v>
      </c>
      <c r="T15">
        <v>2</v>
      </c>
      <c r="U15">
        <f t="shared" ref="U15:U19" si="12">S15-T15</f>
        <v>5</v>
      </c>
      <c r="W15" t="str">
        <f>X6</f>
        <v>Academia</v>
      </c>
      <c r="X15" t="s">
        <v>54</v>
      </c>
      <c r="Y15" t="str">
        <f>X3</f>
        <v>Dom Bosco</v>
      </c>
      <c r="AA15" t="str">
        <f>X3</f>
        <v>Dom Bosco</v>
      </c>
      <c r="AB15" t="s">
        <v>28</v>
      </c>
      <c r="AC15" t="str">
        <f>X6</f>
        <v>Academia</v>
      </c>
    </row>
    <row r="16" spans="1:35" x14ac:dyDescent="0.3">
      <c r="A16" t="str">
        <f>B6</f>
        <v>Dom Bosco</v>
      </c>
      <c r="B16" t="s">
        <v>31</v>
      </c>
      <c r="C16" t="str">
        <f>B7</f>
        <v>Cuiabá</v>
      </c>
      <c r="L16" t="s">
        <v>15</v>
      </c>
      <c r="M16" t="s">
        <v>390</v>
      </c>
      <c r="N16" s="2">
        <f t="shared" si="10"/>
        <v>7</v>
      </c>
      <c r="O16">
        <v>5</v>
      </c>
      <c r="P16">
        <v>2</v>
      </c>
      <c r="Q16">
        <v>1</v>
      </c>
      <c r="R16">
        <f t="shared" si="11"/>
        <v>2</v>
      </c>
      <c r="S16">
        <v>9</v>
      </c>
      <c r="T16">
        <v>7</v>
      </c>
      <c r="U16">
        <f t="shared" si="12"/>
        <v>2</v>
      </c>
      <c r="W16" t="str">
        <f>X5</f>
        <v>Várzea Grande</v>
      </c>
      <c r="X16" t="s">
        <v>36</v>
      </c>
      <c r="Y16" t="str">
        <f>X4</f>
        <v>Cuiabá</v>
      </c>
      <c r="AA16" t="str">
        <f>X4</f>
        <v>Cuiabá</v>
      </c>
      <c r="AB16" t="s">
        <v>43</v>
      </c>
      <c r="AC16" t="str">
        <f>X5</f>
        <v>Várzea Grande</v>
      </c>
    </row>
    <row r="17" spans="1:29" x14ac:dyDescent="0.3">
      <c r="L17" t="s">
        <v>17</v>
      </c>
      <c r="M17" t="s">
        <v>12</v>
      </c>
      <c r="N17" s="2">
        <f t="shared" si="10"/>
        <v>7</v>
      </c>
      <c r="O17">
        <v>5</v>
      </c>
      <c r="P17">
        <v>1</v>
      </c>
      <c r="Q17">
        <v>4</v>
      </c>
      <c r="R17">
        <f t="shared" si="11"/>
        <v>0</v>
      </c>
      <c r="S17">
        <v>4</v>
      </c>
      <c r="T17">
        <v>3</v>
      </c>
      <c r="U17">
        <f t="shared" si="12"/>
        <v>1</v>
      </c>
    </row>
    <row r="18" spans="1:29" x14ac:dyDescent="0.3">
      <c r="A18" t="s">
        <v>27</v>
      </c>
      <c r="L18" t="s">
        <v>19</v>
      </c>
      <c r="M18" t="s">
        <v>385</v>
      </c>
      <c r="N18" s="2">
        <f t="shared" si="10"/>
        <v>3</v>
      </c>
      <c r="O18">
        <v>5</v>
      </c>
      <c r="P18">
        <v>0</v>
      </c>
      <c r="Q18">
        <v>3</v>
      </c>
      <c r="R18">
        <f t="shared" si="11"/>
        <v>2</v>
      </c>
      <c r="S18">
        <v>4</v>
      </c>
      <c r="T18">
        <v>10</v>
      </c>
      <c r="U18">
        <f t="shared" si="12"/>
        <v>-6</v>
      </c>
      <c r="W18" t="s">
        <v>33</v>
      </c>
    </row>
    <row r="19" spans="1:29" x14ac:dyDescent="0.3">
      <c r="A19" t="s">
        <v>369</v>
      </c>
      <c r="B19" t="s">
        <v>57</v>
      </c>
      <c r="C19" t="str">
        <f>B3</f>
        <v>Chapada</v>
      </c>
      <c r="E19" t="str">
        <f>B3</f>
        <v>Chapada</v>
      </c>
      <c r="F19" t="s">
        <v>43</v>
      </c>
      <c r="G19" t="s">
        <v>369</v>
      </c>
      <c r="L19" t="s">
        <v>21</v>
      </c>
      <c r="M19" t="s">
        <v>384</v>
      </c>
      <c r="N19" s="2">
        <f t="shared" si="10"/>
        <v>1</v>
      </c>
      <c r="O19">
        <v>5</v>
      </c>
      <c r="P19">
        <v>0</v>
      </c>
      <c r="Q19">
        <v>1</v>
      </c>
      <c r="R19">
        <f t="shared" si="11"/>
        <v>4</v>
      </c>
      <c r="S19">
        <v>4</v>
      </c>
      <c r="T19">
        <v>10</v>
      </c>
      <c r="U19">
        <f t="shared" si="12"/>
        <v>-6</v>
      </c>
      <c r="W19" t="s">
        <v>374</v>
      </c>
      <c r="X19" t="s">
        <v>224</v>
      </c>
      <c r="Y19" t="s">
        <v>381</v>
      </c>
      <c r="AA19" t="s">
        <v>381</v>
      </c>
      <c r="AB19" t="s">
        <v>69</v>
      </c>
      <c r="AC19" t="s">
        <v>374</v>
      </c>
    </row>
    <row r="20" spans="1:29" x14ac:dyDescent="0.3">
      <c r="A20" t="s">
        <v>368</v>
      </c>
      <c r="B20" t="s">
        <v>44</v>
      </c>
      <c r="C20" t="str">
        <f>B4</f>
        <v>Luverdense</v>
      </c>
      <c r="E20" t="str">
        <f>B4</f>
        <v>Luverdense</v>
      </c>
      <c r="F20" t="s">
        <v>43</v>
      </c>
      <c r="G20" t="s">
        <v>368</v>
      </c>
    </row>
    <row r="21" spans="1:29" x14ac:dyDescent="0.3">
      <c r="L21" t="s">
        <v>27</v>
      </c>
    </row>
    <row r="22" spans="1:29" x14ac:dyDescent="0.3">
      <c r="A22" t="s">
        <v>33</v>
      </c>
      <c r="L22" t="str">
        <f>M15</f>
        <v>Cacerense</v>
      </c>
      <c r="M22" t="s">
        <v>54</v>
      </c>
      <c r="N22" t="str">
        <f>M4</f>
        <v>Campo Novo</v>
      </c>
      <c r="P22" t="str">
        <f>M4</f>
        <v>Campo Novo</v>
      </c>
      <c r="Q22" t="s">
        <v>43</v>
      </c>
      <c r="R22" t="str">
        <f>M15</f>
        <v>Cacerense</v>
      </c>
    </row>
    <row r="23" spans="1:29" x14ac:dyDescent="0.3">
      <c r="A23" t="s">
        <v>371</v>
      </c>
      <c r="B23" t="s">
        <v>57</v>
      </c>
      <c r="C23" t="s">
        <v>372</v>
      </c>
      <c r="E23" t="s">
        <v>372</v>
      </c>
      <c r="F23" t="s">
        <v>379</v>
      </c>
      <c r="G23" t="s">
        <v>371</v>
      </c>
      <c r="L23" t="str">
        <f>M5</f>
        <v>Academia</v>
      </c>
      <c r="M23" t="s">
        <v>30</v>
      </c>
      <c r="N23" t="str">
        <f>M14</f>
        <v>Atlético</v>
      </c>
      <c r="P23" t="str">
        <f>M14</f>
        <v>Atlético</v>
      </c>
      <c r="Q23" t="s">
        <v>57</v>
      </c>
      <c r="R23" t="str">
        <f>M5</f>
        <v>Academia</v>
      </c>
    </row>
    <row r="25" spans="1:29" x14ac:dyDescent="0.3">
      <c r="A25" t="s">
        <v>38</v>
      </c>
      <c r="L25" t="s">
        <v>33</v>
      </c>
    </row>
    <row r="26" spans="1:29" x14ac:dyDescent="0.3">
      <c r="A26" t="s">
        <v>371</v>
      </c>
      <c r="L26" t="s">
        <v>383</v>
      </c>
      <c r="M26" t="s">
        <v>30</v>
      </c>
      <c r="N26" t="s">
        <v>381</v>
      </c>
      <c r="P26" t="s">
        <v>381</v>
      </c>
      <c r="Q26" t="s">
        <v>391</v>
      </c>
      <c r="R26" t="s">
        <v>383</v>
      </c>
    </row>
    <row r="27" spans="1:29" x14ac:dyDescent="0.3">
      <c r="A27" t="s">
        <v>372</v>
      </c>
    </row>
    <row r="29" spans="1:29" x14ac:dyDescent="0.3">
      <c r="A29" t="s">
        <v>39</v>
      </c>
    </row>
    <row r="30" spans="1:29" x14ac:dyDescent="0.3">
      <c r="A30" t="s">
        <v>371</v>
      </c>
    </row>
    <row r="31" spans="1:29" x14ac:dyDescent="0.3">
      <c r="A31" t="s">
        <v>372</v>
      </c>
    </row>
    <row r="32" spans="1:29" x14ac:dyDescent="0.3">
      <c r="A32" t="s">
        <v>369</v>
      </c>
    </row>
    <row r="33" spans="1:1" x14ac:dyDescent="0.3">
      <c r="A33" t="s">
        <v>374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0169-3781-4B93-8449-4880447D4687}">
  <dimension ref="A1:AM53"/>
  <sheetViews>
    <sheetView topLeftCell="AC1" workbookViewId="0">
      <selection activeCell="AM4" sqref="AM4"/>
    </sheetView>
  </sheetViews>
  <sheetFormatPr defaultRowHeight="14.4" x14ac:dyDescent="0.3"/>
  <sheetData>
    <row r="1" spans="1:39" x14ac:dyDescent="0.3">
      <c r="A1" t="s">
        <v>394</v>
      </c>
      <c r="L1" t="s">
        <v>241</v>
      </c>
      <c r="P1" t="s">
        <v>411</v>
      </c>
      <c r="AL1" t="s">
        <v>70</v>
      </c>
    </row>
    <row r="2" spans="1:39" x14ac:dyDescent="0.3">
      <c r="A2" t="s">
        <v>72</v>
      </c>
      <c r="L2" s="1" t="s">
        <v>11</v>
      </c>
      <c r="M2" t="s">
        <v>111</v>
      </c>
      <c r="P2" t="s">
        <v>72</v>
      </c>
      <c r="AA2" t="s">
        <v>424</v>
      </c>
      <c r="AL2" t="s">
        <v>82</v>
      </c>
      <c r="AM2">
        <v>1</v>
      </c>
    </row>
    <row r="3" spans="1:39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L3" s="1" t="s">
        <v>13</v>
      </c>
      <c r="M3" t="s">
        <v>399</v>
      </c>
      <c r="P3" t="s">
        <v>1</v>
      </c>
      <c r="Q3" t="s">
        <v>2</v>
      </c>
      <c r="R3" t="s">
        <v>3</v>
      </c>
      <c r="S3" t="s">
        <v>4</v>
      </c>
      <c r="T3" t="s">
        <v>5</v>
      </c>
      <c r="U3" t="s">
        <v>6</v>
      </c>
      <c r="V3" t="s">
        <v>7</v>
      </c>
      <c r="W3" t="s">
        <v>8</v>
      </c>
      <c r="X3" t="s">
        <v>9</v>
      </c>
      <c r="Y3" t="s">
        <v>10</v>
      </c>
      <c r="AA3" t="s">
        <v>72</v>
      </c>
      <c r="AL3" t="s">
        <v>417</v>
      </c>
      <c r="AM3">
        <v>2</v>
      </c>
    </row>
    <row r="4" spans="1:39" x14ac:dyDescent="0.3">
      <c r="A4" t="s">
        <v>11</v>
      </c>
      <c r="B4" t="s">
        <v>401</v>
      </c>
      <c r="C4" s="2">
        <f t="shared" ref="C4:C9" si="0">E4*3+F4</f>
        <v>6</v>
      </c>
      <c r="D4">
        <v>6</v>
      </c>
      <c r="E4">
        <v>2</v>
      </c>
      <c r="F4">
        <v>0</v>
      </c>
      <c r="G4">
        <f t="shared" ref="G4:G9" si="1">D4-E4-F4</f>
        <v>4</v>
      </c>
      <c r="H4">
        <v>11</v>
      </c>
      <c r="I4">
        <v>14</v>
      </c>
      <c r="J4">
        <f t="shared" ref="J4:J9" si="2">H4-I4</f>
        <v>-3</v>
      </c>
      <c r="L4" s="1" t="s">
        <v>15</v>
      </c>
      <c r="M4" t="s">
        <v>82</v>
      </c>
      <c r="P4" s="1" t="s">
        <v>11</v>
      </c>
      <c r="Q4" t="s">
        <v>402</v>
      </c>
      <c r="R4" s="2">
        <f>T4*3+U4</f>
        <v>6</v>
      </c>
      <c r="S4">
        <v>4</v>
      </c>
      <c r="T4">
        <v>1</v>
      </c>
      <c r="U4">
        <v>3</v>
      </c>
      <c r="V4">
        <f>S4-T4-U4</f>
        <v>0</v>
      </c>
      <c r="W4">
        <v>6</v>
      </c>
      <c r="X4">
        <v>4</v>
      </c>
      <c r="Y4">
        <f>W4-X4</f>
        <v>2</v>
      </c>
      <c r="AA4" t="s">
        <v>1</v>
      </c>
      <c r="AB4" t="s">
        <v>2</v>
      </c>
      <c r="AC4" t="s">
        <v>3</v>
      </c>
      <c r="AD4" t="s">
        <v>4</v>
      </c>
      <c r="AE4" t="s">
        <v>5</v>
      </c>
      <c r="AF4" t="s">
        <v>6</v>
      </c>
      <c r="AG4" t="s">
        <v>7</v>
      </c>
      <c r="AH4" t="s">
        <v>8</v>
      </c>
      <c r="AI4" t="s">
        <v>9</v>
      </c>
      <c r="AJ4" t="s">
        <v>10</v>
      </c>
      <c r="AL4" t="s">
        <v>430</v>
      </c>
      <c r="AM4">
        <v>1</v>
      </c>
    </row>
    <row r="5" spans="1:39" x14ac:dyDescent="0.3">
      <c r="A5" t="s">
        <v>13</v>
      </c>
      <c r="B5" t="s">
        <v>399</v>
      </c>
      <c r="C5" s="2">
        <f t="shared" si="0"/>
        <v>14</v>
      </c>
      <c r="D5">
        <v>6</v>
      </c>
      <c r="E5">
        <v>4</v>
      </c>
      <c r="F5">
        <v>2</v>
      </c>
      <c r="G5">
        <f t="shared" si="1"/>
        <v>0</v>
      </c>
      <c r="H5">
        <v>13</v>
      </c>
      <c r="I5">
        <v>6</v>
      </c>
      <c r="J5">
        <f t="shared" si="2"/>
        <v>7</v>
      </c>
      <c r="L5" s="1" t="s">
        <v>17</v>
      </c>
      <c r="M5" t="s">
        <v>26</v>
      </c>
      <c r="P5" s="1" t="s">
        <v>13</v>
      </c>
      <c r="Q5" t="s">
        <v>413</v>
      </c>
      <c r="R5" s="2">
        <f>T5*3+U5</f>
        <v>5</v>
      </c>
      <c r="S5">
        <v>4</v>
      </c>
      <c r="T5">
        <v>1</v>
      </c>
      <c r="U5">
        <v>2</v>
      </c>
      <c r="V5">
        <f t="shared" ref="V5:V6" si="3">S5-T5-U5</f>
        <v>1</v>
      </c>
      <c r="W5">
        <v>4</v>
      </c>
      <c r="X5">
        <v>5</v>
      </c>
      <c r="Y5">
        <f t="shared" ref="Y5:Y6" si="4">W5-X5</f>
        <v>-1</v>
      </c>
      <c r="AA5" s="1" t="s">
        <v>11</v>
      </c>
      <c r="AB5" t="s">
        <v>427</v>
      </c>
      <c r="AC5" s="2">
        <f>AE5*3+AF5</f>
        <v>7</v>
      </c>
      <c r="AD5">
        <v>4</v>
      </c>
      <c r="AE5">
        <v>2</v>
      </c>
      <c r="AF5">
        <v>1</v>
      </c>
      <c r="AG5">
        <f>AD5-AE5-AF5</f>
        <v>1</v>
      </c>
      <c r="AH5">
        <v>8</v>
      </c>
      <c r="AI5">
        <v>4</v>
      </c>
      <c r="AJ5">
        <f>AH5-AI5</f>
        <v>4</v>
      </c>
    </row>
    <row r="6" spans="1:39" x14ac:dyDescent="0.3">
      <c r="A6" t="s">
        <v>15</v>
      </c>
      <c r="B6" t="s">
        <v>82</v>
      </c>
      <c r="C6" s="2">
        <f t="shared" si="0"/>
        <v>10</v>
      </c>
      <c r="D6">
        <v>6</v>
      </c>
      <c r="E6">
        <v>3</v>
      </c>
      <c r="F6">
        <v>1</v>
      </c>
      <c r="G6">
        <f t="shared" si="1"/>
        <v>2</v>
      </c>
      <c r="H6">
        <v>10</v>
      </c>
      <c r="I6">
        <v>8</v>
      </c>
      <c r="J6">
        <f t="shared" si="2"/>
        <v>2</v>
      </c>
      <c r="L6" s="1" t="s">
        <v>19</v>
      </c>
      <c r="M6" t="s">
        <v>396</v>
      </c>
      <c r="P6" t="s">
        <v>15</v>
      </c>
      <c r="Q6" t="s">
        <v>422</v>
      </c>
      <c r="R6" s="2">
        <f>T6*3+U6</f>
        <v>4</v>
      </c>
      <c r="S6">
        <v>4</v>
      </c>
      <c r="T6">
        <v>1</v>
      </c>
      <c r="U6">
        <v>1</v>
      </c>
      <c r="V6">
        <f t="shared" si="3"/>
        <v>2</v>
      </c>
      <c r="W6">
        <v>5</v>
      </c>
      <c r="X6">
        <v>6</v>
      </c>
      <c r="Y6">
        <f t="shared" si="4"/>
        <v>-1</v>
      </c>
      <c r="AA6" s="1" t="s">
        <v>13</v>
      </c>
      <c r="AB6" t="s">
        <v>430</v>
      </c>
      <c r="AC6" s="2">
        <f>AE6*3+AF6</f>
        <v>6</v>
      </c>
      <c r="AD6">
        <v>4</v>
      </c>
      <c r="AE6">
        <v>2</v>
      </c>
      <c r="AF6">
        <v>0</v>
      </c>
      <c r="AG6">
        <f t="shared" ref="AG6:AG7" si="5">AD6-AE6-AF6</f>
        <v>2</v>
      </c>
      <c r="AH6">
        <v>6</v>
      </c>
      <c r="AI6">
        <v>6</v>
      </c>
      <c r="AJ6">
        <f t="shared" ref="AJ6:AJ7" si="6">AH6-AI6</f>
        <v>0</v>
      </c>
    </row>
    <row r="7" spans="1:39" x14ac:dyDescent="0.3">
      <c r="A7" t="s">
        <v>17</v>
      </c>
      <c r="B7" t="s">
        <v>398</v>
      </c>
      <c r="C7" s="2">
        <f t="shared" si="0"/>
        <v>7</v>
      </c>
      <c r="D7">
        <v>6</v>
      </c>
      <c r="E7">
        <v>2</v>
      </c>
      <c r="F7">
        <v>1</v>
      </c>
      <c r="G7">
        <f t="shared" si="1"/>
        <v>3</v>
      </c>
      <c r="H7">
        <v>9</v>
      </c>
      <c r="I7">
        <v>10</v>
      </c>
      <c r="J7">
        <f t="shared" si="2"/>
        <v>-1</v>
      </c>
      <c r="L7" s="1" t="s">
        <v>21</v>
      </c>
      <c r="M7" t="s">
        <v>395</v>
      </c>
      <c r="R7" s="2"/>
      <c r="AA7" t="s">
        <v>15</v>
      </c>
      <c r="AB7" t="s">
        <v>428</v>
      </c>
      <c r="AC7" s="2">
        <f>AE7*3+AF7</f>
        <v>4</v>
      </c>
      <c r="AD7">
        <v>4</v>
      </c>
      <c r="AE7">
        <v>1</v>
      </c>
      <c r="AF7">
        <v>1</v>
      </c>
      <c r="AG7">
        <f t="shared" si="5"/>
        <v>2</v>
      </c>
      <c r="AH7">
        <v>3</v>
      </c>
      <c r="AI7">
        <v>7</v>
      </c>
      <c r="AJ7">
        <f t="shared" si="6"/>
        <v>-4</v>
      </c>
    </row>
    <row r="8" spans="1:39" x14ac:dyDescent="0.3">
      <c r="A8" t="s">
        <v>19</v>
      </c>
      <c r="B8" t="s">
        <v>26</v>
      </c>
      <c r="C8" s="2">
        <f t="shared" si="0"/>
        <v>10</v>
      </c>
      <c r="D8">
        <v>6</v>
      </c>
      <c r="E8">
        <v>3</v>
      </c>
      <c r="F8">
        <v>1</v>
      </c>
      <c r="G8">
        <f t="shared" si="1"/>
        <v>2</v>
      </c>
      <c r="H8">
        <v>7</v>
      </c>
      <c r="I8">
        <v>6</v>
      </c>
      <c r="J8">
        <f t="shared" si="2"/>
        <v>1</v>
      </c>
      <c r="L8" s="1" t="s">
        <v>23</v>
      </c>
      <c r="M8" t="s">
        <v>400</v>
      </c>
      <c r="P8" t="s">
        <v>73</v>
      </c>
    </row>
    <row r="9" spans="1:39" x14ac:dyDescent="0.3">
      <c r="A9" t="s">
        <v>21</v>
      </c>
      <c r="B9" t="s">
        <v>111</v>
      </c>
      <c r="C9" s="2">
        <f t="shared" si="0"/>
        <v>15</v>
      </c>
      <c r="D9">
        <v>6</v>
      </c>
      <c r="E9">
        <v>5</v>
      </c>
      <c r="F9">
        <v>0</v>
      </c>
      <c r="G9">
        <f t="shared" si="1"/>
        <v>1</v>
      </c>
      <c r="H9">
        <v>12</v>
      </c>
      <c r="I9">
        <v>7</v>
      </c>
      <c r="J9">
        <f t="shared" si="2"/>
        <v>5</v>
      </c>
      <c r="L9" s="1" t="s">
        <v>25</v>
      </c>
      <c r="M9" t="s">
        <v>398</v>
      </c>
      <c r="P9" t="s">
        <v>1</v>
      </c>
      <c r="Q9" t="s">
        <v>2</v>
      </c>
      <c r="R9" t="s">
        <v>3</v>
      </c>
      <c r="S9" t="s">
        <v>4</v>
      </c>
      <c r="T9" t="s">
        <v>5</v>
      </c>
      <c r="U9" t="s">
        <v>6</v>
      </c>
      <c r="V9" t="s">
        <v>7</v>
      </c>
      <c r="W9" t="s">
        <v>8</v>
      </c>
      <c r="X9" t="s">
        <v>9</v>
      </c>
      <c r="Y9" t="s">
        <v>10</v>
      </c>
      <c r="AA9" t="s">
        <v>73</v>
      </c>
    </row>
    <row r="10" spans="1:39" x14ac:dyDescent="0.3">
      <c r="L10" t="s">
        <v>66</v>
      </c>
      <c r="M10" t="s">
        <v>403</v>
      </c>
      <c r="P10" s="1" t="s">
        <v>11</v>
      </c>
      <c r="Q10" t="s">
        <v>404</v>
      </c>
      <c r="R10" s="2">
        <f>T10*3+U10</f>
        <v>6</v>
      </c>
      <c r="S10">
        <v>4</v>
      </c>
      <c r="T10">
        <v>1</v>
      </c>
      <c r="U10">
        <v>3</v>
      </c>
      <c r="V10">
        <f>S10-T10-U10</f>
        <v>0</v>
      </c>
      <c r="W10">
        <v>6</v>
      </c>
      <c r="X10">
        <v>4</v>
      </c>
      <c r="Y10">
        <f>W10-X10</f>
        <v>2</v>
      </c>
      <c r="AA10" t="s">
        <v>1</v>
      </c>
      <c r="AB10" t="s">
        <v>2</v>
      </c>
      <c r="AC10" t="s">
        <v>3</v>
      </c>
      <c r="AD10" t="s">
        <v>4</v>
      </c>
      <c r="AE10" t="s">
        <v>5</v>
      </c>
      <c r="AF10" t="s">
        <v>6</v>
      </c>
      <c r="AG10" t="s">
        <v>7</v>
      </c>
      <c r="AH10" t="s">
        <v>8</v>
      </c>
      <c r="AI10" t="s">
        <v>9</v>
      </c>
      <c r="AJ10" t="s">
        <v>10</v>
      </c>
    </row>
    <row r="11" spans="1:39" x14ac:dyDescent="0.3">
      <c r="A11" t="s">
        <v>73</v>
      </c>
      <c r="L11" t="s">
        <v>137</v>
      </c>
      <c r="M11" t="s">
        <v>401</v>
      </c>
      <c r="P11" s="1" t="s">
        <v>13</v>
      </c>
      <c r="Q11" t="s">
        <v>416</v>
      </c>
      <c r="R11" s="2">
        <f>T11*3+U11</f>
        <v>6</v>
      </c>
      <c r="S11">
        <v>4</v>
      </c>
      <c r="T11">
        <v>1</v>
      </c>
      <c r="U11">
        <v>3</v>
      </c>
      <c r="V11">
        <f t="shared" ref="V11:V12" si="7">S11-T11-U11</f>
        <v>0</v>
      </c>
      <c r="W11">
        <v>9</v>
      </c>
      <c r="X11">
        <v>8</v>
      </c>
      <c r="Y11">
        <f t="shared" ref="Y11:Y12" si="8">W11-X11</f>
        <v>1</v>
      </c>
      <c r="AA11" s="1" t="s">
        <v>11</v>
      </c>
      <c r="AB11" t="s">
        <v>431</v>
      </c>
      <c r="AC11" s="2">
        <f>AE11*3+AF11</f>
        <v>9</v>
      </c>
      <c r="AD11">
        <v>4</v>
      </c>
      <c r="AE11">
        <v>3</v>
      </c>
      <c r="AF11">
        <v>0</v>
      </c>
      <c r="AG11">
        <f>AD11-AE11-AF11</f>
        <v>1</v>
      </c>
      <c r="AH11">
        <v>4</v>
      </c>
      <c r="AI11">
        <v>2</v>
      </c>
      <c r="AJ11">
        <f>AH11-AI11</f>
        <v>2</v>
      </c>
    </row>
    <row r="12" spans="1:39" x14ac:dyDescent="0.3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  <c r="L12" s="3" t="s">
        <v>149</v>
      </c>
      <c r="M12" t="s">
        <v>397</v>
      </c>
      <c r="P12" s="3" t="s">
        <v>15</v>
      </c>
      <c r="Q12" t="s">
        <v>414</v>
      </c>
      <c r="R12" s="2">
        <f>T12*3+U12</f>
        <v>2</v>
      </c>
      <c r="S12">
        <v>4</v>
      </c>
      <c r="T12">
        <v>0</v>
      </c>
      <c r="U12">
        <v>2</v>
      </c>
      <c r="V12">
        <f t="shared" si="7"/>
        <v>2</v>
      </c>
      <c r="W12">
        <v>6</v>
      </c>
      <c r="X12">
        <v>9</v>
      </c>
      <c r="Y12">
        <f t="shared" si="8"/>
        <v>-3</v>
      </c>
      <c r="AA12" s="1" t="s">
        <v>13</v>
      </c>
      <c r="AB12" t="s">
        <v>394</v>
      </c>
      <c r="AC12" s="2">
        <f>AE12*3+AF12</f>
        <v>6</v>
      </c>
      <c r="AD12">
        <v>4</v>
      </c>
      <c r="AE12">
        <v>2</v>
      </c>
      <c r="AF12">
        <v>0</v>
      </c>
      <c r="AG12">
        <f t="shared" ref="AG12:AG13" si="9">AD12-AE12-AF12</f>
        <v>2</v>
      </c>
      <c r="AH12">
        <v>4</v>
      </c>
      <c r="AI12">
        <v>3</v>
      </c>
      <c r="AJ12">
        <f t="shared" ref="AJ12:AJ13" si="10">AH12-AI12</f>
        <v>1</v>
      </c>
    </row>
    <row r="13" spans="1:39" x14ac:dyDescent="0.3">
      <c r="A13" t="s">
        <v>11</v>
      </c>
      <c r="B13" t="s">
        <v>396</v>
      </c>
      <c r="C13" s="2">
        <f t="shared" ref="C13:C18" si="11">E13*3+F13</f>
        <v>9</v>
      </c>
      <c r="D13">
        <v>6</v>
      </c>
      <c r="E13">
        <v>3</v>
      </c>
      <c r="F13">
        <v>0</v>
      </c>
      <c r="G13">
        <f t="shared" ref="G13:G18" si="12">D13-E13-F13</f>
        <v>3</v>
      </c>
      <c r="H13">
        <v>12</v>
      </c>
      <c r="I13">
        <v>9</v>
      </c>
      <c r="J13">
        <f t="shared" ref="J13:J18" si="13">H13-I13</f>
        <v>3</v>
      </c>
      <c r="L13" s="3" t="s">
        <v>150</v>
      </c>
      <c r="M13" t="s">
        <v>110</v>
      </c>
      <c r="AA13" t="s">
        <v>15</v>
      </c>
      <c r="AB13" t="s">
        <v>429</v>
      </c>
      <c r="AC13" s="2">
        <f>AE13*3+AF13</f>
        <v>3</v>
      </c>
      <c r="AD13">
        <v>4</v>
      </c>
      <c r="AE13">
        <v>1</v>
      </c>
      <c r="AF13">
        <v>0</v>
      </c>
      <c r="AG13">
        <f t="shared" si="9"/>
        <v>3</v>
      </c>
      <c r="AH13">
        <v>2</v>
      </c>
      <c r="AI13">
        <v>5</v>
      </c>
      <c r="AJ13">
        <f t="shared" si="10"/>
        <v>-3</v>
      </c>
    </row>
    <row r="14" spans="1:39" x14ac:dyDescent="0.3">
      <c r="A14" t="s">
        <v>13</v>
      </c>
      <c r="B14" t="s">
        <v>400</v>
      </c>
      <c r="C14" s="2">
        <f t="shared" si="11"/>
        <v>8</v>
      </c>
      <c r="D14">
        <v>6</v>
      </c>
      <c r="E14">
        <v>2</v>
      </c>
      <c r="F14">
        <v>2</v>
      </c>
      <c r="G14">
        <f t="shared" si="12"/>
        <v>2</v>
      </c>
      <c r="H14">
        <v>7</v>
      </c>
      <c r="I14">
        <v>8</v>
      </c>
      <c r="J14">
        <f t="shared" si="13"/>
        <v>-1</v>
      </c>
      <c r="P14" t="s">
        <v>254</v>
      </c>
    </row>
    <row r="15" spans="1:39" x14ac:dyDescent="0.3">
      <c r="A15" t="s">
        <v>15</v>
      </c>
      <c r="B15" t="s">
        <v>395</v>
      </c>
      <c r="C15" s="2">
        <f t="shared" si="11"/>
        <v>9</v>
      </c>
      <c r="D15">
        <v>6</v>
      </c>
      <c r="E15">
        <v>3</v>
      </c>
      <c r="F15">
        <v>0</v>
      </c>
      <c r="G15">
        <f t="shared" si="12"/>
        <v>3</v>
      </c>
      <c r="H15">
        <v>10</v>
      </c>
      <c r="I15">
        <v>10</v>
      </c>
      <c r="J15">
        <f t="shared" si="13"/>
        <v>0</v>
      </c>
      <c r="P15" t="s">
        <v>1</v>
      </c>
      <c r="Q15" t="s">
        <v>2</v>
      </c>
      <c r="R15" t="s">
        <v>3</v>
      </c>
      <c r="S15" t="s">
        <v>4</v>
      </c>
      <c r="T15" t="s">
        <v>5</v>
      </c>
      <c r="U15" t="s">
        <v>6</v>
      </c>
      <c r="V15" t="s">
        <v>7</v>
      </c>
      <c r="W15" t="s">
        <v>8</v>
      </c>
      <c r="X15" t="s">
        <v>9</v>
      </c>
      <c r="Y15" t="s">
        <v>10</v>
      </c>
      <c r="AA15" t="s">
        <v>254</v>
      </c>
    </row>
    <row r="16" spans="1:39" x14ac:dyDescent="0.3">
      <c r="A16" t="s">
        <v>17</v>
      </c>
      <c r="B16" t="s">
        <v>397</v>
      </c>
      <c r="C16" s="2">
        <f t="shared" si="11"/>
        <v>6</v>
      </c>
      <c r="D16">
        <v>6</v>
      </c>
      <c r="E16">
        <v>2</v>
      </c>
      <c r="F16">
        <v>0</v>
      </c>
      <c r="G16">
        <f t="shared" si="12"/>
        <v>4</v>
      </c>
      <c r="H16">
        <v>7</v>
      </c>
      <c r="I16">
        <v>10</v>
      </c>
      <c r="J16">
        <f t="shared" si="13"/>
        <v>-3</v>
      </c>
      <c r="P16" s="1" t="s">
        <v>11</v>
      </c>
      <c r="Q16" t="s">
        <v>417</v>
      </c>
      <c r="R16" s="2">
        <f>T16*3+U16</f>
        <v>8</v>
      </c>
      <c r="S16">
        <v>4</v>
      </c>
      <c r="T16">
        <v>2</v>
      </c>
      <c r="U16">
        <v>2</v>
      </c>
      <c r="V16">
        <f>S16-T16-U16</f>
        <v>0</v>
      </c>
      <c r="W16">
        <v>5</v>
      </c>
      <c r="X16">
        <v>3</v>
      </c>
      <c r="Y16">
        <f>W16-X16</f>
        <v>2</v>
      </c>
      <c r="AA16" t="s">
        <v>1</v>
      </c>
      <c r="AB16" t="s">
        <v>2</v>
      </c>
      <c r="AC16" t="s">
        <v>3</v>
      </c>
      <c r="AD16" t="s">
        <v>4</v>
      </c>
      <c r="AE16" t="s">
        <v>5</v>
      </c>
      <c r="AF16" t="s">
        <v>6</v>
      </c>
      <c r="AG16" t="s">
        <v>7</v>
      </c>
      <c r="AH16" t="s">
        <v>8</v>
      </c>
      <c r="AI16" t="s">
        <v>9</v>
      </c>
      <c r="AJ16" t="s">
        <v>10</v>
      </c>
    </row>
    <row r="17" spans="1:36" x14ac:dyDescent="0.3">
      <c r="A17" t="s">
        <v>19</v>
      </c>
      <c r="B17" t="s">
        <v>403</v>
      </c>
      <c r="C17" s="2">
        <f t="shared" si="11"/>
        <v>7</v>
      </c>
      <c r="D17">
        <v>6</v>
      </c>
      <c r="E17">
        <v>2</v>
      </c>
      <c r="F17">
        <v>1</v>
      </c>
      <c r="G17">
        <f t="shared" si="12"/>
        <v>3</v>
      </c>
      <c r="H17">
        <v>9</v>
      </c>
      <c r="I17">
        <v>11</v>
      </c>
      <c r="J17">
        <f t="shared" si="13"/>
        <v>-2</v>
      </c>
      <c r="P17" s="1" t="s">
        <v>13</v>
      </c>
      <c r="Q17" t="s">
        <v>420</v>
      </c>
      <c r="R17" s="2">
        <f>T17*3+U17</f>
        <v>5</v>
      </c>
      <c r="S17">
        <v>4</v>
      </c>
      <c r="T17">
        <v>1</v>
      </c>
      <c r="U17">
        <v>2</v>
      </c>
      <c r="V17">
        <f t="shared" ref="V17:V18" si="14">S17-T17-U17</f>
        <v>1</v>
      </c>
      <c r="W17">
        <v>5</v>
      </c>
      <c r="X17">
        <v>5</v>
      </c>
      <c r="Y17">
        <f t="shared" ref="Y17:Y18" si="15">W17-X17</f>
        <v>0</v>
      </c>
      <c r="AA17" s="1" t="s">
        <v>11</v>
      </c>
      <c r="AB17" t="s">
        <v>432</v>
      </c>
      <c r="AC17" s="2">
        <f>AE17*3+AF17</f>
        <v>6</v>
      </c>
      <c r="AD17">
        <v>4</v>
      </c>
      <c r="AE17">
        <v>1</v>
      </c>
      <c r="AF17">
        <v>3</v>
      </c>
      <c r="AG17">
        <f>AD17-AE17-AF17</f>
        <v>0</v>
      </c>
      <c r="AH17">
        <v>4</v>
      </c>
      <c r="AI17">
        <v>2</v>
      </c>
      <c r="AJ17">
        <f>AH17-AI17</f>
        <v>2</v>
      </c>
    </row>
    <row r="18" spans="1:36" x14ac:dyDescent="0.3">
      <c r="A18" t="s">
        <v>21</v>
      </c>
      <c r="B18" t="s">
        <v>110</v>
      </c>
      <c r="C18" s="2">
        <f t="shared" si="11"/>
        <v>2</v>
      </c>
      <c r="D18">
        <v>6</v>
      </c>
      <c r="E18">
        <v>0</v>
      </c>
      <c r="F18">
        <v>2</v>
      </c>
      <c r="G18">
        <f t="shared" si="12"/>
        <v>4</v>
      </c>
      <c r="H18">
        <v>6</v>
      </c>
      <c r="I18">
        <v>14</v>
      </c>
      <c r="J18">
        <f t="shared" si="13"/>
        <v>-8</v>
      </c>
      <c r="P18" s="3" t="s">
        <v>15</v>
      </c>
      <c r="Q18" t="s">
        <v>42</v>
      </c>
      <c r="R18" s="2">
        <f>T18*3+U18</f>
        <v>3</v>
      </c>
      <c r="S18">
        <v>4</v>
      </c>
      <c r="T18">
        <v>1</v>
      </c>
      <c r="U18">
        <v>0</v>
      </c>
      <c r="V18">
        <f t="shared" si="14"/>
        <v>3</v>
      </c>
      <c r="W18">
        <v>4</v>
      </c>
      <c r="X18">
        <v>6</v>
      </c>
      <c r="Y18">
        <f t="shared" si="15"/>
        <v>-2</v>
      </c>
      <c r="AA18" s="1" t="s">
        <v>13</v>
      </c>
      <c r="AB18" t="s">
        <v>189</v>
      </c>
      <c r="AC18" s="2">
        <f>AE18*3+AF18</f>
        <v>5</v>
      </c>
      <c r="AD18">
        <v>4</v>
      </c>
      <c r="AE18">
        <v>1</v>
      </c>
      <c r="AF18">
        <v>2</v>
      </c>
      <c r="AG18">
        <f t="shared" ref="AG18:AG19" si="16">AD18-AE18-AF18</f>
        <v>1</v>
      </c>
      <c r="AH18">
        <v>3</v>
      </c>
      <c r="AI18">
        <v>3</v>
      </c>
      <c r="AJ18">
        <f t="shared" ref="AJ18:AJ19" si="17">AH18-AI18</f>
        <v>0</v>
      </c>
    </row>
    <row r="19" spans="1:36" x14ac:dyDescent="0.3">
      <c r="AA19" t="s">
        <v>15</v>
      </c>
      <c r="AB19" t="s">
        <v>426</v>
      </c>
      <c r="AC19" s="2">
        <f>AE19*3+AF19</f>
        <v>3</v>
      </c>
      <c r="AD19">
        <v>4</v>
      </c>
      <c r="AE19">
        <v>0</v>
      </c>
      <c r="AF19">
        <v>3</v>
      </c>
      <c r="AG19">
        <f t="shared" si="16"/>
        <v>1</v>
      </c>
      <c r="AH19">
        <v>1</v>
      </c>
      <c r="AI19">
        <v>3</v>
      </c>
      <c r="AJ19">
        <f t="shared" si="17"/>
        <v>-2</v>
      </c>
    </row>
    <row r="20" spans="1:36" x14ac:dyDescent="0.3">
      <c r="A20" t="s">
        <v>221</v>
      </c>
      <c r="P20" t="s">
        <v>419</v>
      </c>
    </row>
    <row r="21" spans="1:36" x14ac:dyDescent="0.3">
      <c r="A21" t="str">
        <f>M2</f>
        <v>Independente</v>
      </c>
      <c r="B21" t="s">
        <v>28</v>
      </c>
      <c r="C21" t="str">
        <f>M9</f>
        <v>Cametá</v>
      </c>
      <c r="P21" t="s">
        <v>1</v>
      </c>
      <c r="Q21" t="s">
        <v>2</v>
      </c>
      <c r="R21" t="s">
        <v>3</v>
      </c>
      <c r="S21" t="s">
        <v>4</v>
      </c>
      <c r="T21" t="s">
        <v>5</v>
      </c>
      <c r="U21" t="s">
        <v>6</v>
      </c>
      <c r="V21" t="s">
        <v>7</v>
      </c>
      <c r="W21" t="s">
        <v>8</v>
      </c>
      <c r="X21" t="s">
        <v>9</v>
      </c>
      <c r="Y21" t="s">
        <v>10</v>
      </c>
      <c r="AA21" t="s">
        <v>419</v>
      </c>
    </row>
    <row r="22" spans="1:36" x14ac:dyDescent="0.3">
      <c r="A22" t="str">
        <f>M5</f>
        <v>São Francisco</v>
      </c>
      <c r="B22" t="s">
        <v>408</v>
      </c>
      <c r="C22" t="str">
        <f>M6</f>
        <v>Paysandu</v>
      </c>
      <c r="P22" s="1" t="s">
        <v>11</v>
      </c>
      <c r="Q22" t="s">
        <v>412</v>
      </c>
      <c r="R22" s="2">
        <f>T22*3+U22</f>
        <v>10</v>
      </c>
      <c r="S22">
        <v>4</v>
      </c>
      <c r="T22">
        <v>3</v>
      </c>
      <c r="U22">
        <v>1</v>
      </c>
      <c r="V22">
        <f>S22-T22-U22</f>
        <v>0</v>
      </c>
      <c r="W22">
        <v>5</v>
      </c>
      <c r="X22">
        <v>2</v>
      </c>
      <c r="Y22">
        <f>W22-X22</f>
        <v>3</v>
      </c>
      <c r="AA22" t="s">
        <v>1</v>
      </c>
      <c r="AB22" t="s">
        <v>2</v>
      </c>
      <c r="AC22" t="s">
        <v>3</v>
      </c>
      <c r="AD22" t="s">
        <v>4</v>
      </c>
      <c r="AE22" t="s">
        <v>5</v>
      </c>
      <c r="AF22" t="s">
        <v>6</v>
      </c>
      <c r="AG22" t="s">
        <v>7</v>
      </c>
      <c r="AH22" t="s">
        <v>8</v>
      </c>
      <c r="AI22" t="s">
        <v>9</v>
      </c>
      <c r="AJ22" t="s">
        <v>10</v>
      </c>
    </row>
    <row r="23" spans="1:36" x14ac:dyDescent="0.3">
      <c r="A23" t="str">
        <f>M3</f>
        <v>Bragantino</v>
      </c>
      <c r="B23" t="s">
        <v>239</v>
      </c>
      <c r="C23" t="str">
        <f>M8</f>
        <v>Tuna Luso</v>
      </c>
      <c r="P23" s="1" t="s">
        <v>13</v>
      </c>
      <c r="Q23" t="s">
        <v>415</v>
      </c>
      <c r="R23" s="2">
        <f>T23*3+U23</f>
        <v>4</v>
      </c>
      <c r="S23">
        <v>4</v>
      </c>
      <c r="T23">
        <v>1</v>
      </c>
      <c r="U23">
        <v>1</v>
      </c>
      <c r="V23">
        <f t="shared" ref="V23:V24" si="18">S23-T23-U23</f>
        <v>2</v>
      </c>
      <c r="W23">
        <v>4</v>
      </c>
      <c r="X23">
        <v>5</v>
      </c>
      <c r="Y23">
        <f t="shared" ref="Y23:Y24" si="19">W23-X23</f>
        <v>-1</v>
      </c>
      <c r="AA23" s="1" t="s">
        <v>11</v>
      </c>
      <c r="AB23" t="s">
        <v>421</v>
      </c>
      <c r="AC23" s="2">
        <f>AE23*3+AF23</f>
        <v>7</v>
      </c>
      <c r="AD23">
        <v>4</v>
      </c>
      <c r="AE23">
        <v>2</v>
      </c>
      <c r="AF23">
        <v>1</v>
      </c>
      <c r="AG23">
        <f>AD23-AE23-AF23</f>
        <v>1</v>
      </c>
      <c r="AH23">
        <v>3</v>
      </c>
      <c r="AI23">
        <v>4</v>
      </c>
      <c r="AJ23">
        <f>AH23-AI23</f>
        <v>-1</v>
      </c>
    </row>
    <row r="24" spans="1:36" x14ac:dyDescent="0.3">
      <c r="A24" t="str">
        <f>M4</f>
        <v>São Raimundo</v>
      </c>
      <c r="B24" t="s">
        <v>225</v>
      </c>
      <c r="C24" t="str">
        <f>M7</f>
        <v>Santa Rosa</v>
      </c>
      <c r="P24" t="s">
        <v>15</v>
      </c>
      <c r="Q24" t="s">
        <v>423</v>
      </c>
      <c r="R24" s="2">
        <f>T24*3+U24</f>
        <v>3</v>
      </c>
      <c r="S24">
        <v>4</v>
      </c>
      <c r="T24">
        <v>1</v>
      </c>
      <c r="U24">
        <v>0</v>
      </c>
      <c r="V24">
        <f t="shared" si="18"/>
        <v>3</v>
      </c>
      <c r="W24">
        <v>4</v>
      </c>
      <c r="X24">
        <v>6</v>
      </c>
      <c r="Y24">
        <f t="shared" si="19"/>
        <v>-2</v>
      </c>
      <c r="AA24" s="1" t="s">
        <v>13</v>
      </c>
      <c r="AB24" t="s">
        <v>425</v>
      </c>
      <c r="AC24" s="2">
        <f>AE24*3+AF24</f>
        <v>6</v>
      </c>
      <c r="AD24">
        <v>4</v>
      </c>
      <c r="AE24">
        <v>2</v>
      </c>
      <c r="AF24">
        <v>0</v>
      </c>
      <c r="AG24">
        <f t="shared" ref="AG24:AG25" si="20">AD24-AE24-AF24</f>
        <v>2</v>
      </c>
      <c r="AH24">
        <v>6</v>
      </c>
      <c r="AI24">
        <v>5</v>
      </c>
      <c r="AJ24">
        <f t="shared" ref="AJ24:AJ25" si="21">AH24-AI24</f>
        <v>1</v>
      </c>
    </row>
    <row r="25" spans="1:36" x14ac:dyDescent="0.3">
      <c r="AA25" t="s">
        <v>15</v>
      </c>
      <c r="AB25" t="s">
        <v>418</v>
      </c>
      <c r="AC25" s="2">
        <f>AE25*3+AF25</f>
        <v>4</v>
      </c>
      <c r="AD25">
        <v>4</v>
      </c>
      <c r="AE25">
        <v>1</v>
      </c>
      <c r="AF25">
        <v>1</v>
      </c>
      <c r="AG25">
        <f t="shared" si="20"/>
        <v>2</v>
      </c>
      <c r="AH25">
        <v>3</v>
      </c>
      <c r="AI25">
        <v>3</v>
      </c>
      <c r="AJ25">
        <f t="shared" si="21"/>
        <v>0</v>
      </c>
    </row>
    <row r="26" spans="1:36" x14ac:dyDescent="0.3">
      <c r="A26" t="s">
        <v>27</v>
      </c>
      <c r="P26" t="s">
        <v>221</v>
      </c>
    </row>
    <row r="27" spans="1:36" x14ac:dyDescent="0.3">
      <c r="A27" t="s">
        <v>26</v>
      </c>
      <c r="B27" t="s">
        <v>303</v>
      </c>
      <c r="C27" t="s">
        <v>398</v>
      </c>
      <c r="P27" t="str">
        <f>Q11</f>
        <v>Izabelense</v>
      </c>
      <c r="Q27" t="s">
        <v>30</v>
      </c>
      <c r="R27" t="str">
        <f>Q4</f>
        <v>Remo</v>
      </c>
      <c r="T27" t="str">
        <f>Q4</f>
        <v>Remo</v>
      </c>
      <c r="U27" t="s">
        <v>29</v>
      </c>
      <c r="V27" t="str">
        <f>Q11</f>
        <v>Izabelense</v>
      </c>
      <c r="AA27" t="s">
        <v>221</v>
      </c>
    </row>
    <row r="28" spans="1:36" x14ac:dyDescent="0.3">
      <c r="A28" t="s">
        <v>82</v>
      </c>
      <c r="B28" t="s">
        <v>409</v>
      </c>
      <c r="C28" t="s">
        <v>400</v>
      </c>
      <c r="P28" t="str">
        <f>Q5</f>
        <v>União Paraense</v>
      </c>
      <c r="Q28" t="s">
        <v>44</v>
      </c>
      <c r="R28" t="str">
        <f>Q10</f>
        <v>Amazônia</v>
      </c>
      <c r="T28" t="str">
        <f>Q10</f>
        <v>Amazônia</v>
      </c>
      <c r="U28" t="s">
        <v>36</v>
      </c>
      <c r="V28" t="str">
        <f>Q5</f>
        <v>União Paraense</v>
      </c>
      <c r="AA28" t="str">
        <f>AB12</f>
        <v>Paraense</v>
      </c>
      <c r="AB28" t="s">
        <v>28</v>
      </c>
      <c r="AC28" t="str">
        <f>AB5</f>
        <v>Esmac</v>
      </c>
      <c r="AE28" t="str">
        <f>AB5</f>
        <v>Esmac</v>
      </c>
      <c r="AF28" t="s">
        <v>36</v>
      </c>
      <c r="AG28" t="str">
        <f>AB12</f>
        <v>Paraense</v>
      </c>
    </row>
    <row r="29" spans="1:36" x14ac:dyDescent="0.3">
      <c r="P29" t="str">
        <f>Q23</f>
        <v>Carajás</v>
      </c>
      <c r="Q29" t="s">
        <v>43</v>
      </c>
      <c r="R29" t="str">
        <f>Q16</f>
        <v>Paragominas</v>
      </c>
      <c r="T29" t="str">
        <f>Q16</f>
        <v>Paragominas</v>
      </c>
      <c r="U29" t="s">
        <v>36</v>
      </c>
      <c r="V29" t="str">
        <f>Q23</f>
        <v>Carajás</v>
      </c>
      <c r="AA29" t="str">
        <f>AB6</f>
        <v>Sport Belém</v>
      </c>
      <c r="AB29" t="s">
        <v>44</v>
      </c>
      <c r="AC29" t="str">
        <f>AB11</f>
        <v>Pedreira</v>
      </c>
      <c r="AE29" t="str">
        <f>AB11</f>
        <v>Pedreira</v>
      </c>
      <c r="AF29" t="s">
        <v>28</v>
      </c>
      <c r="AG29" t="str">
        <f>AB6</f>
        <v>Sport Belém</v>
      </c>
    </row>
    <row r="30" spans="1:36" x14ac:dyDescent="0.3">
      <c r="A30" t="s">
        <v>33</v>
      </c>
      <c r="P30" t="str">
        <f>Q17</f>
        <v>Urumajó</v>
      </c>
      <c r="Q30" t="s">
        <v>44</v>
      </c>
      <c r="R30" t="str">
        <f>Q22</f>
        <v>Tapajós</v>
      </c>
      <c r="T30" t="str">
        <f>Q22</f>
        <v>Tapajós</v>
      </c>
      <c r="U30" t="s">
        <v>224</v>
      </c>
      <c r="V30" t="str">
        <f>Q17</f>
        <v>Urumajó</v>
      </c>
      <c r="AA30" t="str">
        <f>AB24</f>
        <v>Gavião Kyikatejê</v>
      </c>
      <c r="AB30" t="s">
        <v>30</v>
      </c>
      <c r="AC30" t="str">
        <f>AB17</f>
        <v>Tesla</v>
      </c>
      <c r="AE30" t="str">
        <f>AB17</f>
        <v>Tesla</v>
      </c>
      <c r="AF30" t="s">
        <v>28</v>
      </c>
      <c r="AG30" t="str">
        <f>AB24</f>
        <v>Gavião Kyikatejê</v>
      </c>
    </row>
    <row r="31" spans="1:36" x14ac:dyDescent="0.3">
      <c r="A31" t="s">
        <v>82</v>
      </c>
      <c r="B31" t="s">
        <v>57</v>
      </c>
      <c r="C31" t="s">
        <v>398</v>
      </c>
      <c r="E31" t="s">
        <v>398</v>
      </c>
      <c r="F31" t="s">
        <v>237</v>
      </c>
      <c r="G31" t="s">
        <v>82</v>
      </c>
      <c r="AA31" t="str">
        <f>AB18</f>
        <v>Tiradentes</v>
      </c>
      <c r="AB31" t="s">
        <v>29</v>
      </c>
      <c r="AC31" t="str">
        <f>AB23</f>
        <v>Itupiranga</v>
      </c>
      <c r="AE31" t="str">
        <f>AB23</f>
        <v>Itupiranga</v>
      </c>
      <c r="AF31" t="s">
        <v>30</v>
      </c>
      <c r="AG31" t="str">
        <f>AB18</f>
        <v>Tiradentes</v>
      </c>
    </row>
    <row r="32" spans="1:36" x14ac:dyDescent="0.3">
      <c r="P32" t="s">
        <v>27</v>
      </c>
    </row>
    <row r="33" spans="1:33" x14ac:dyDescent="0.3">
      <c r="A33" t="s">
        <v>410</v>
      </c>
      <c r="P33" t="s">
        <v>416</v>
      </c>
      <c r="Q33" t="s">
        <v>43</v>
      </c>
      <c r="R33" t="s">
        <v>404</v>
      </c>
      <c r="T33" t="s">
        <v>404</v>
      </c>
      <c r="U33" t="s">
        <v>54</v>
      </c>
      <c r="V33" t="s">
        <v>416</v>
      </c>
      <c r="AA33" t="s">
        <v>27</v>
      </c>
    </row>
    <row r="34" spans="1:33" x14ac:dyDescent="0.3">
      <c r="A34" t="s">
        <v>221</v>
      </c>
      <c r="P34" t="s">
        <v>417</v>
      </c>
      <c r="Q34" t="s">
        <v>54</v>
      </c>
      <c r="R34" t="s">
        <v>412</v>
      </c>
      <c r="T34" t="s">
        <v>412</v>
      </c>
      <c r="U34" t="s">
        <v>65</v>
      </c>
      <c r="V34" t="s">
        <v>417</v>
      </c>
      <c r="AA34" t="s">
        <v>430</v>
      </c>
      <c r="AB34" t="s">
        <v>30</v>
      </c>
      <c r="AC34" t="s">
        <v>427</v>
      </c>
      <c r="AE34" t="s">
        <v>427</v>
      </c>
      <c r="AF34" t="s">
        <v>433</v>
      </c>
      <c r="AG34" t="s">
        <v>430</v>
      </c>
    </row>
    <row r="35" spans="1:33" x14ac:dyDescent="0.3">
      <c r="A35" t="s">
        <v>111</v>
      </c>
      <c r="B35" t="s">
        <v>28</v>
      </c>
      <c r="C35" t="s">
        <v>396</v>
      </c>
      <c r="AA35" t="s">
        <v>421</v>
      </c>
      <c r="AB35" t="s">
        <v>43</v>
      </c>
      <c r="AC35" t="s">
        <v>425</v>
      </c>
      <c r="AE35" t="s">
        <v>425</v>
      </c>
      <c r="AF35" t="s">
        <v>44</v>
      </c>
      <c r="AG35" t="s">
        <v>421</v>
      </c>
    </row>
    <row r="36" spans="1:33" x14ac:dyDescent="0.3">
      <c r="A36" t="s">
        <v>399</v>
      </c>
      <c r="B36" t="s">
        <v>36</v>
      </c>
      <c r="C36" t="s">
        <v>395</v>
      </c>
      <c r="P36" t="s">
        <v>33</v>
      </c>
    </row>
    <row r="37" spans="1:33" x14ac:dyDescent="0.3">
      <c r="P37" t="s">
        <v>417</v>
      </c>
      <c r="Q37" t="s">
        <v>36</v>
      </c>
      <c r="R37" t="s">
        <v>404</v>
      </c>
      <c r="AA37" t="s">
        <v>33</v>
      </c>
    </row>
    <row r="38" spans="1:33" x14ac:dyDescent="0.3">
      <c r="A38" t="s">
        <v>27</v>
      </c>
      <c r="AA38" t="s">
        <v>430</v>
      </c>
      <c r="AB38" t="s">
        <v>56</v>
      </c>
      <c r="AC38" t="s">
        <v>421</v>
      </c>
      <c r="AE38" t="s">
        <v>421</v>
      </c>
      <c r="AF38" t="s">
        <v>125</v>
      </c>
      <c r="AG38" t="s">
        <v>430</v>
      </c>
    </row>
    <row r="39" spans="1:33" x14ac:dyDescent="0.3">
      <c r="A39" t="s">
        <v>26</v>
      </c>
      <c r="B39" t="s">
        <v>30</v>
      </c>
      <c r="C39" t="s">
        <v>399</v>
      </c>
    </row>
    <row r="40" spans="1:33" x14ac:dyDescent="0.3">
      <c r="A40" t="s">
        <v>400</v>
      </c>
      <c r="B40" t="s">
        <v>28</v>
      </c>
      <c r="C40" t="s">
        <v>396</v>
      </c>
    </row>
    <row r="42" spans="1:33" x14ac:dyDescent="0.3">
      <c r="A42" t="s">
        <v>33</v>
      </c>
    </row>
    <row r="43" spans="1:33" x14ac:dyDescent="0.3">
      <c r="A43" t="s">
        <v>26</v>
      </c>
      <c r="B43" t="s">
        <v>300</v>
      </c>
      <c r="C43" t="s">
        <v>396</v>
      </c>
    </row>
    <row r="45" spans="1:33" x14ac:dyDescent="0.3">
      <c r="A45" t="s">
        <v>38</v>
      </c>
    </row>
    <row r="46" spans="1:33" x14ac:dyDescent="0.3">
      <c r="A46" t="s">
        <v>82</v>
      </c>
    </row>
    <row r="47" spans="1:33" x14ac:dyDescent="0.3">
      <c r="A47" t="s">
        <v>398</v>
      </c>
    </row>
    <row r="49" spans="1:1" x14ac:dyDescent="0.3">
      <c r="A49" t="s">
        <v>39</v>
      </c>
    </row>
    <row r="50" spans="1:1" x14ac:dyDescent="0.3">
      <c r="A50" t="s">
        <v>82</v>
      </c>
    </row>
    <row r="51" spans="1:1" x14ac:dyDescent="0.3">
      <c r="A51" t="s">
        <v>398</v>
      </c>
    </row>
    <row r="52" spans="1:1" x14ac:dyDescent="0.3">
      <c r="A52" t="s">
        <v>26</v>
      </c>
    </row>
    <row r="53" spans="1:1" x14ac:dyDescent="0.3">
      <c r="A53" t="s">
        <v>396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55276-6236-4EDE-9877-4E7FDC955878}">
  <dimension ref="A1:AT28"/>
  <sheetViews>
    <sheetView topLeftCell="H1" workbookViewId="0">
      <selection sqref="A1:J18"/>
    </sheetView>
  </sheetViews>
  <sheetFormatPr defaultRowHeight="14.4" x14ac:dyDescent="0.3"/>
  <sheetData>
    <row r="1" spans="1:46" x14ac:dyDescent="0.3">
      <c r="A1" t="s">
        <v>434</v>
      </c>
      <c r="L1" t="s">
        <v>445</v>
      </c>
      <c r="W1" t="s">
        <v>457</v>
      </c>
      <c r="AH1" t="s">
        <v>460</v>
      </c>
      <c r="AS1" t="s">
        <v>70</v>
      </c>
    </row>
    <row r="2" spans="1:4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1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H2" t="s">
        <v>1</v>
      </c>
      <c r="AI2" t="s">
        <v>2</v>
      </c>
      <c r="AJ2" t="s">
        <v>3</v>
      </c>
      <c r="AK2" t="s">
        <v>4</v>
      </c>
      <c r="AL2" t="s">
        <v>5</v>
      </c>
      <c r="AM2" t="s">
        <v>6</v>
      </c>
      <c r="AN2" t="s">
        <v>7</v>
      </c>
      <c r="AO2" t="s">
        <v>8</v>
      </c>
      <c r="AP2" t="s">
        <v>9</v>
      </c>
      <c r="AQ2" t="s">
        <v>10</v>
      </c>
      <c r="AS2" t="s">
        <v>463</v>
      </c>
      <c r="AT2">
        <v>32</v>
      </c>
    </row>
    <row r="3" spans="1:46" x14ac:dyDescent="0.3">
      <c r="A3" s="1" t="s">
        <v>11</v>
      </c>
      <c r="B3" t="s">
        <v>436</v>
      </c>
      <c r="C3" s="2">
        <f t="shared" ref="C3:C12" si="0">E3*3+F3</f>
        <v>20</v>
      </c>
      <c r="D3">
        <v>9</v>
      </c>
      <c r="E3">
        <v>6</v>
      </c>
      <c r="F3">
        <v>2</v>
      </c>
      <c r="G3">
        <f>D3-E3-F3</f>
        <v>1</v>
      </c>
      <c r="H3">
        <v>16</v>
      </c>
      <c r="I3">
        <v>8</v>
      </c>
      <c r="J3">
        <f>H3-I3</f>
        <v>8</v>
      </c>
      <c r="L3" s="1" t="s">
        <v>11</v>
      </c>
      <c r="M3" t="s">
        <v>450</v>
      </c>
      <c r="N3" s="2">
        <f t="shared" ref="N3:N14" si="1">P3*3+Q3</f>
        <v>29</v>
      </c>
      <c r="O3">
        <v>11</v>
      </c>
      <c r="P3">
        <v>9</v>
      </c>
      <c r="Q3">
        <v>2</v>
      </c>
      <c r="R3">
        <f>O3-P3-Q3</f>
        <v>0</v>
      </c>
      <c r="S3">
        <v>25</v>
      </c>
      <c r="T3">
        <v>9</v>
      </c>
      <c r="U3">
        <f>S3-T3</f>
        <v>16</v>
      </c>
      <c r="W3" s="1" t="s">
        <v>11</v>
      </c>
      <c r="X3" t="s">
        <v>454</v>
      </c>
      <c r="Y3" s="2">
        <f>AA3*3+AB3</f>
        <v>9</v>
      </c>
      <c r="Z3">
        <v>4</v>
      </c>
      <c r="AA3">
        <v>3</v>
      </c>
      <c r="AB3">
        <v>0</v>
      </c>
      <c r="AC3">
        <f>Z3-AA3-AB3</f>
        <v>1</v>
      </c>
      <c r="AD3">
        <v>11</v>
      </c>
      <c r="AE3">
        <v>7</v>
      </c>
      <c r="AF3">
        <f>AD3-AE3</f>
        <v>4</v>
      </c>
      <c r="AH3" s="1" t="s">
        <v>11</v>
      </c>
      <c r="AI3" t="s">
        <v>436</v>
      </c>
      <c r="AJ3" s="2">
        <f t="shared" ref="AJ3:AJ8" si="2">AL3*3+AM3</f>
        <v>17</v>
      </c>
      <c r="AK3">
        <v>10</v>
      </c>
      <c r="AL3">
        <v>5</v>
      </c>
      <c r="AM3">
        <v>2</v>
      </c>
      <c r="AN3">
        <f>AK3-AL3-AM3</f>
        <v>3</v>
      </c>
      <c r="AO3">
        <v>14</v>
      </c>
      <c r="AP3">
        <v>14</v>
      </c>
      <c r="AQ3">
        <f>AO3-AP3</f>
        <v>0</v>
      </c>
      <c r="AS3" t="s">
        <v>446</v>
      </c>
      <c r="AT3">
        <v>1</v>
      </c>
    </row>
    <row r="4" spans="1:46" x14ac:dyDescent="0.3">
      <c r="A4" s="1" t="s">
        <v>13</v>
      </c>
      <c r="B4" t="s">
        <v>440</v>
      </c>
      <c r="C4" s="2">
        <f t="shared" si="0"/>
        <v>19</v>
      </c>
      <c r="D4">
        <v>9</v>
      </c>
      <c r="E4">
        <v>6</v>
      </c>
      <c r="F4">
        <v>1</v>
      </c>
      <c r="G4">
        <f t="shared" ref="G4:G12" si="3">D4-E4-F4</f>
        <v>2</v>
      </c>
      <c r="H4">
        <v>16</v>
      </c>
      <c r="I4">
        <v>8</v>
      </c>
      <c r="J4">
        <f t="shared" ref="J4:J12" si="4">H4-I4</f>
        <v>8</v>
      </c>
      <c r="L4" s="1" t="s">
        <v>13</v>
      </c>
      <c r="M4" t="s">
        <v>327</v>
      </c>
      <c r="N4" s="2">
        <f t="shared" si="1"/>
        <v>18</v>
      </c>
      <c r="O4">
        <v>11</v>
      </c>
      <c r="P4">
        <v>6</v>
      </c>
      <c r="Q4">
        <v>0</v>
      </c>
      <c r="R4">
        <f t="shared" ref="R4:R14" si="5">O4-P4-Q4</f>
        <v>5</v>
      </c>
      <c r="S4">
        <v>18</v>
      </c>
      <c r="T4">
        <v>15</v>
      </c>
      <c r="U4">
        <f t="shared" ref="U4:U14" si="6">S4-T4</f>
        <v>3</v>
      </c>
      <c r="W4" s="1" t="s">
        <v>13</v>
      </c>
      <c r="X4" t="s">
        <v>458</v>
      </c>
      <c r="Y4" s="2">
        <f>AA4*3+AB4</f>
        <v>6</v>
      </c>
      <c r="Z4">
        <v>4</v>
      </c>
      <c r="AA4">
        <v>2</v>
      </c>
      <c r="AB4">
        <v>0</v>
      </c>
      <c r="AC4">
        <f t="shared" ref="AC4:AC7" si="7">Z4-AA4-AB4</f>
        <v>2</v>
      </c>
      <c r="AD4">
        <v>6</v>
      </c>
      <c r="AE4">
        <v>4</v>
      </c>
      <c r="AF4">
        <f t="shared" ref="AF4:AF7" si="8">AD4-AE4</f>
        <v>2</v>
      </c>
      <c r="AH4" s="1" t="s">
        <v>13</v>
      </c>
      <c r="AI4" t="s">
        <v>435</v>
      </c>
      <c r="AJ4" s="2">
        <f t="shared" si="2"/>
        <v>16</v>
      </c>
      <c r="AK4">
        <v>10</v>
      </c>
      <c r="AL4">
        <v>5</v>
      </c>
      <c r="AM4">
        <v>1</v>
      </c>
      <c r="AN4">
        <f t="shared" ref="AN4:AN8" si="9">AK4-AL4-AM4</f>
        <v>4</v>
      </c>
      <c r="AO4">
        <v>18</v>
      </c>
      <c r="AP4">
        <v>14</v>
      </c>
      <c r="AQ4">
        <f t="shared" ref="AQ4:AQ8" si="10">AO4-AP4</f>
        <v>4</v>
      </c>
      <c r="AS4" t="s">
        <v>458</v>
      </c>
      <c r="AT4">
        <v>1</v>
      </c>
    </row>
    <row r="5" spans="1:46" x14ac:dyDescent="0.3">
      <c r="A5" s="1" t="s">
        <v>15</v>
      </c>
      <c r="B5" t="s">
        <v>435</v>
      </c>
      <c r="C5" s="2">
        <f t="shared" si="0"/>
        <v>14</v>
      </c>
      <c r="D5">
        <v>9</v>
      </c>
      <c r="E5">
        <v>4</v>
      </c>
      <c r="F5">
        <v>2</v>
      </c>
      <c r="G5">
        <f t="shared" si="3"/>
        <v>3</v>
      </c>
      <c r="H5">
        <v>12</v>
      </c>
      <c r="I5">
        <v>11</v>
      </c>
      <c r="J5">
        <f t="shared" si="4"/>
        <v>1</v>
      </c>
      <c r="L5" s="4" t="s">
        <v>15</v>
      </c>
      <c r="M5" t="s">
        <v>451</v>
      </c>
      <c r="N5" s="2">
        <f t="shared" si="1"/>
        <v>18</v>
      </c>
      <c r="O5">
        <v>11</v>
      </c>
      <c r="P5">
        <v>5</v>
      </c>
      <c r="Q5">
        <v>3</v>
      </c>
      <c r="R5">
        <f t="shared" si="5"/>
        <v>3</v>
      </c>
      <c r="S5">
        <v>15</v>
      </c>
      <c r="T5">
        <v>11</v>
      </c>
      <c r="U5">
        <f t="shared" si="6"/>
        <v>4</v>
      </c>
      <c r="W5" t="s">
        <v>15</v>
      </c>
      <c r="X5" t="s">
        <v>110</v>
      </c>
      <c r="Y5" s="2">
        <f>AA5*3+AB5</f>
        <v>6</v>
      </c>
      <c r="Z5">
        <v>4</v>
      </c>
      <c r="AA5">
        <v>2</v>
      </c>
      <c r="AB5">
        <v>0</v>
      </c>
      <c r="AC5">
        <f t="shared" si="7"/>
        <v>2</v>
      </c>
      <c r="AD5">
        <v>7</v>
      </c>
      <c r="AE5">
        <v>8</v>
      </c>
      <c r="AF5">
        <f t="shared" si="8"/>
        <v>-1</v>
      </c>
      <c r="AH5" s="1" t="s">
        <v>15</v>
      </c>
      <c r="AI5" t="s">
        <v>437</v>
      </c>
      <c r="AJ5" s="2">
        <f t="shared" si="2"/>
        <v>16</v>
      </c>
      <c r="AK5">
        <v>10</v>
      </c>
      <c r="AL5">
        <v>5</v>
      </c>
      <c r="AM5">
        <v>1</v>
      </c>
      <c r="AN5">
        <f t="shared" si="9"/>
        <v>4</v>
      </c>
      <c r="AO5">
        <v>13</v>
      </c>
      <c r="AP5">
        <v>13</v>
      </c>
      <c r="AQ5">
        <f t="shared" si="10"/>
        <v>0</v>
      </c>
      <c r="AS5" t="s">
        <v>439</v>
      </c>
      <c r="AT5">
        <v>2</v>
      </c>
    </row>
    <row r="6" spans="1:46" x14ac:dyDescent="0.3">
      <c r="A6" s="1" t="s">
        <v>17</v>
      </c>
      <c r="B6" t="s">
        <v>438</v>
      </c>
      <c r="C6" s="2">
        <f t="shared" si="0"/>
        <v>13</v>
      </c>
      <c r="D6">
        <v>9</v>
      </c>
      <c r="E6">
        <v>4</v>
      </c>
      <c r="F6">
        <v>1</v>
      </c>
      <c r="G6">
        <f t="shared" si="3"/>
        <v>4</v>
      </c>
      <c r="H6">
        <v>10</v>
      </c>
      <c r="I6">
        <v>13</v>
      </c>
      <c r="J6">
        <f t="shared" si="4"/>
        <v>-3</v>
      </c>
      <c r="L6" s="4" t="s">
        <v>17</v>
      </c>
      <c r="M6" t="s">
        <v>446</v>
      </c>
      <c r="N6" s="2">
        <f t="shared" si="1"/>
        <v>17</v>
      </c>
      <c r="O6">
        <v>11</v>
      </c>
      <c r="P6">
        <v>5</v>
      </c>
      <c r="Q6">
        <v>2</v>
      </c>
      <c r="R6">
        <f t="shared" si="5"/>
        <v>4</v>
      </c>
      <c r="S6">
        <v>18</v>
      </c>
      <c r="T6">
        <v>17</v>
      </c>
      <c r="U6">
        <f t="shared" si="6"/>
        <v>1</v>
      </c>
      <c r="W6" t="s">
        <v>17</v>
      </c>
      <c r="X6" t="s">
        <v>459</v>
      </c>
      <c r="Y6" s="2">
        <f>AA6*3+AB6</f>
        <v>6</v>
      </c>
      <c r="Z6">
        <v>4</v>
      </c>
      <c r="AA6">
        <v>2</v>
      </c>
      <c r="AB6">
        <v>0</v>
      </c>
      <c r="AC6">
        <f t="shared" si="7"/>
        <v>2</v>
      </c>
      <c r="AD6">
        <v>5</v>
      </c>
      <c r="AE6">
        <v>6</v>
      </c>
      <c r="AF6">
        <f t="shared" si="8"/>
        <v>-1</v>
      </c>
      <c r="AH6" s="1" t="s">
        <v>17</v>
      </c>
      <c r="AI6" t="s">
        <v>439</v>
      </c>
      <c r="AJ6" s="2">
        <f t="shared" si="2"/>
        <v>14</v>
      </c>
      <c r="AK6">
        <v>10</v>
      </c>
      <c r="AL6">
        <v>4</v>
      </c>
      <c r="AM6">
        <v>2</v>
      </c>
      <c r="AN6">
        <f t="shared" si="9"/>
        <v>4</v>
      </c>
      <c r="AO6">
        <v>14</v>
      </c>
      <c r="AP6">
        <v>11</v>
      </c>
      <c r="AQ6">
        <f t="shared" si="10"/>
        <v>3</v>
      </c>
    </row>
    <row r="7" spans="1:46" x14ac:dyDescent="0.3">
      <c r="A7" t="s">
        <v>19</v>
      </c>
      <c r="B7" t="s">
        <v>443</v>
      </c>
      <c r="C7" s="2">
        <f t="shared" si="0"/>
        <v>13</v>
      </c>
      <c r="D7">
        <v>9</v>
      </c>
      <c r="E7">
        <v>3</v>
      </c>
      <c r="F7">
        <v>4</v>
      </c>
      <c r="G7">
        <f t="shared" si="3"/>
        <v>2</v>
      </c>
      <c r="H7">
        <v>14</v>
      </c>
      <c r="I7">
        <v>12</v>
      </c>
      <c r="J7">
        <f t="shared" si="4"/>
        <v>2</v>
      </c>
      <c r="L7" s="4" t="s">
        <v>19</v>
      </c>
      <c r="M7" t="s">
        <v>455</v>
      </c>
      <c r="N7" s="2">
        <f t="shared" si="1"/>
        <v>16</v>
      </c>
      <c r="O7">
        <v>11</v>
      </c>
      <c r="P7">
        <v>4</v>
      </c>
      <c r="Q7">
        <v>4</v>
      </c>
      <c r="R7">
        <f t="shared" si="5"/>
        <v>3</v>
      </c>
      <c r="S7">
        <v>20</v>
      </c>
      <c r="T7">
        <v>16</v>
      </c>
      <c r="U7">
        <f t="shared" si="6"/>
        <v>4</v>
      </c>
      <c r="W7" t="s">
        <v>19</v>
      </c>
      <c r="X7" t="s">
        <v>453</v>
      </c>
      <c r="Y7" s="2">
        <f>AA7*3+AB7</f>
        <v>3</v>
      </c>
      <c r="Z7">
        <v>4</v>
      </c>
      <c r="AA7">
        <v>1</v>
      </c>
      <c r="AB7">
        <v>0</v>
      </c>
      <c r="AC7">
        <f t="shared" si="7"/>
        <v>3</v>
      </c>
      <c r="AD7">
        <v>5</v>
      </c>
      <c r="AE7">
        <v>9</v>
      </c>
      <c r="AF7">
        <f t="shared" si="8"/>
        <v>-4</v>
      </c>
      <c r="AH7" t="s">
        <v>19</v>
      </c>
      <c r="AI7" t="s">
        <v>42</v>
      </c>
      <c r="AJ7" s="2">
        <f t="shared" si="2"/>
        <v>12</v>
      </c>
      <c r="AK7">
        <v>10</v>
      </c>
      <c r="AL7">
        <v>3</v>
      </c>
      <c r="AM7">
        <v>3</v>
      </c>
      <c r="AN7">
        <f t="shared" si="9"/>
        <v>4</v>
      </c>
      <c r="AO7">
        <v>11</v>
      </c>
      <c r="AP7">
        <v>13</v>
      </c>
      <c r="AQ7">
        <f t="shared" si="10"/>
        <v>-2</v>
      </c>
    </row>
    <row r="8" spans="1:46" x14ac:dyDescent="0.3">
      <c r="A8" t="s">
        <v>21</v>
      </c>
      <c r="B8" t="s">
        <v>439</v>
      </c>
      <c r="C8" s="2">
        <f t="shared" si="0"/>
        <v>12</v>
      </c>
      <c r="D8">
        <v>9</v>
      </c>
      <c r="E8">
        <v>3</v>
      </c>
      <c r="F8">
        <v>3</v>
      </c>
      <c r="G8">
        <f t="shared" si="3"/>
        <v>3</v>
      </c>
      <c r="H8">
        <v>14</v>
      </c>
      <c r="I8">
        <v>13</v>
      </c>
      <c r="J8">
        <f t="shared" si="4"/>
        <v>1</v>
      </c>
      <c r="L8" s="4" t="s">
        <v>21</v>
      </c>
      <c r="M8" t="s">
        <v>448</v>
      </c>
      <c r="N8" s="2">
        <f t="shared" si="1"/>
        <v>15</v>
      </c>
      <c r="O8">
        <v>11</v>
      </c>
      <c r="P8">
        <v>5</v>
      </c>
      <c r="Q8">
        <v>0</v>
      </c>
      <c r="R8">
        <f t="shared" si="5"/>
        <v>6</v>
      </c>
      <c r="S8">
        <v>13</v>
      </c>
      <c r="T8">
        <v>17</v>
      </c>
      <c r="U8">
        <f t="shared" si="6"/>
        <v>-4</v>
      </c>
      <c r="AH8" t="s">
        <v>21</v>
      </c>
      <c r="AI8" t="s">
        <v>443</v>
      </c>
      <c r="AJ8" s="2">
        <f t="shared" si="2"/>
        <v>9</v>
      </c>
      <c r="AK8">
        <v>10</v>
      </c>
      <c r="AL8">
        <v>2</v>
      </c>
      <c r="AM8">
        <v>3</v>
      </c>
      <c r="AN8">
        <f t="shared" si="9"/>
        <v>5</v>
      </c>
      <c r="AO8">
        <v>15</v>
      </c>
      <c r="AP8">
        <v>20</v>
      </c>
      <c r="AQ8">
        <f t="shared" si="10"/>
        <v>-5</v>
      </c>
    </row>
    <row r="9" spans="1:46" x14ac:dyDescent="0.3">
      <c r="A9" t="s">
        <v>23</v>
      </c>
      <c r="B9" t="s">
        <v>437</v>
      </c>
      <c r="C9" s="2">
        <f t="shared" si="0"/>
        <v>10</v>
      </c>
      <c r="D9">
        <v>9</v>
      </c>
      <c r="E9">
        <v>2</v>
      </c>
      <c r="F9">
        <v>4</v>
      </c>
      <c r="G9">
        <f>D9-E9-F9</f>
        <v>3</v>
      </c>
      <c r="H9">
        <v>9</v>
      </c>
      <c r="I9">
        <v>9</v>
      </c>
      <c r="J9">
        <f t="shared" si="4"/>
        <v>0</v>
      </c>
      <c r="L9" t="s">
        <v>23</v>
      </c>
      <c r="M9" t="s">
        <v>442</v>
      </c>
      <c r="N9" s="2">
        <f t="shared" si="1"/>
        <v>15</v>
      </c>
      <c r="O9">
        <v>11</v>
      </c>
      <c r="P9">
        <v>4</v>
      </c>
      <c r="Q9">
        <v>3</v>
      </c>
      <c r="R9">
        <f>O9-P9-Q9</f>
        <v>4</v>
      </c>
      <c r="S9">
        <v>13</v>
      </c>
      <c r="T9">
        <v>15</v>
      </c>
      <c r="U9">
        <f t="shared" si="6"/>
        <v>-2</v>
      </c>
      <c r="W9" t="s">
        <v>33</v>
      </c>
    </row>
    <row r="10" spans="1:46" x14ac:dyDescent="0.3">
      <c r="A10" t="s">
        <v>25</v>
      </c>
      <c r="B10" t="s">
        <v>42</v>
      </c>
      <c r="C10" s="2">
        <f t="shared" si="0"/>
        <v>8</v>
      </c>
      <c r="D10">
        <v>9</v>
      </c>
      <c r="E10">
        <v>2</v>
      </c>
      <c r="F10">
        <v>2</v>
      </c>
      <c r="G10">
        <f t="shared" si="3"/>
        <v>5</v>
      </c>
      <c r="H10">
        <v>10</v>
      </c>
      <c r="I10">
        <v>14</v>
      </c>
      <c r="J10">
        <f t="shared" si="4"/>
        <v>-4</v>
      </c>
      <c r="L10" t="s">
        <v>25</v>
      </c>
      <c r="M10" t="s">
        <v>83</v>
      </c>
      <c r="N10" s="2">
        <f t="shared" si="1"/>
        <v>13</v>
      </c>
      <c r="O10">
        <v>11</v>
      </c>
      <c r="P10">
        <v>4</v>
      </c>
      <c r="Q10">
        <v>1</v>
      </c>
      <c r="R10">
        <f t="shared" si="5"/>
        <v>6</v>
      </c>
      <c r="S10">
        <v>10</v>
      </c>
      <c r="T10">
        <v>13</v>
      </c>
      <c r="U10">
        <f t="shared" si="6"/>
        <v>-3</v>
      </c>
      <c r="W10" t="str">
        <f>X3</f>
        <v>Auto Esporte</v>
      </c>
      <c r="X10" t="s">
        <v>69</v>
      </c>
      <c r="Y10" t="str">
        <f>X4</f>
        <v>Queimadense</v>
      </c>
      <c r="AH10" t="s">
        <v>27</v>
      </c>
    </row>
    <row r="11" spans="1:46" x14ac:dyDescent="0.3">
      <c r="A11" s="3" t="s">
        <v>66</v>
      </c>
      <c r="B11" t="s">
        <v>228</v>
      </c>
      <c r="C11" s="2">
        <f t="shared" si="0"/>
        <v>8</v>
      </c>
      <c r="D11">
        <v>9</v>
      </c>
      <c r="E11">
        <v>2</v>
      </c>
      <c r="F11">
        <v>2</v>
      </c>
      <c r="G11">
        <f t="shared" si="3"/>
        <v>5</v>
      </c>
      <c r="H11">
        <v>10</v>
      </c>
      <c r="I11">
        <v>15</v>
      </c>
      <c r="J11">
        <f t="shared" si="4"/>
        <v>-5</v>
      </c>
      <c r="L11" t="s">
        <v>66</v>
      </c>
      <c r="M11" t="s">
        <v>447</v>
      </c>
      <c r="N11" s="2">
        <f t="shared" si="1"/>
        <v>13</v>
      </c>
      <c r="O11">
        <v>11</v>
      </c>
      <c r="P11">
        <v>4</v>
      </c>
      <c r="Q11">
        <v>1</v>
      </c>
      <c r="R11">
        <f t="shared" si="5"/>
        <v>6</v>
      </c>
      <c r="S11">
        <v>14</v>
      </c>
      <c r="T11">
        <v>20</v>
      </c>
      <c r="U11">
        <f t="shared" si="6"/>
        <v>-6</v>
      </c>
      <c r="AH11" t="str">
        <f>AI6</f>
        <v>Campinense</v>
      </c>
      <c r="AI11" t="s">
        <v>36</v>
      </c>
      <c r="AJ11" t="str">
        <f>AI3</f>
        <v>Sousa</v>
      </c>
      <c r="AL11" t="str">
        <f>AI3</f>
        <v>Sousa</v>
      </c>
      <c r="AM11" t="s">
        <v>31</v>
      </c>
      <c r="AN11" t="str">
        <f>AI6</f>
        <v>Campinense</v>
      </c>
    </row>
    <row r="12" spans="1:46" x14ac:dyDescent="0.3">
      <c r="A12" s="3" t="s">
        <v>137</v>
      </c>
      <c r="B12" t="s">
        <v>441</v>
      </c>
      <c r="C12" s="2">
        <f t="shared" si="0"/>
        <v>7</v>
      </c>
      <c r="D12">
        <v>9</v>
      </c>
      <c r="E12">
        <v>2</v>
      </c>
      <c r="F12">
        <v>1</v>
      </c>
      <c r="G12">
        <f t="shared" si="3"/>
        <v>6</v>
      </c>
      <c r="H12">
        <v>11</v>
      </c>
      <c r="I12">
        <v>9</v>
      </c>
      <c r="J12">
        <f t="shared" si="4"/>
        <v>2</v>
      </c>
      <c r="L12" t="s">
        <v>137</v>
      </c>
      <c r="M12" t="s">
        <v>51</v>
      </c>
      <c r="N12" s="2">
        <f t="shared" si="1"/>
        <v>12</v>
      </c>
      <c r="O12">
        <v>11</v>
      </c>
      <c r="P12">
        <v>3</v>
      </c>
      <c r="Q12">
        <v>3</v>
      </c>
      <c r="R12">
        <f t="shared" si="5"/>
        <v>5</v>
      </c>
      <c r="S12">
        <v>15</v>
      </c>
      <c r="T12">
        <v>19</v>
      </c>
      <c r="U12">
        <f t="shared" si="6"/>
        <v>-4</v>
      </c>
      <c r="AH12" t="str">
        <f>AI5</f>
        <v>Pombal</v>
      </c>
      <c r="AI12" t="s">
        <v>30</v>
      </c>
      <c r="AJ12" t="str">
        <f>AI4</f>
        <v>Serra Branca</v>
      </c>
      <c r="AL12" t="str">
        <f>AI4</f>
        <v>Serra Branca</v>
      </c>
      <c r="AM12" t="s">
        <v>461</v>
      </c>
      <c r="AN12" t="str">
        <f>AI5</f>
        <v>Pombal</v>
      </c>
    </row>
    <row r="13" spans="1:46" x14ac:dyDescent="0.3">
      <c r="L13" s="3" t="s">
        <v>149</v>
      </c>
      <c r="M13" t="s">
        <v>452</v>
      </c>
      <c r="N13" s="2">
        <f t="shared" si="1"/>
        <v>11</v>
      </c>
      <c r="O13">
        <v>11</v>
      </c>
      <c r="P13">
        <v>3</v>
      </c>
      <c r="Q13">
        <v>2</v>
      </c>
      <c r="R13">
        <f>O13-P13-Q13</f>
        <v>6</v>
      </c>
      <c r="S13">
        <v>12</v>
      </c>
      <c r="T13">
        <v>18</v>
      </c>
      <c r="U13">
        <f>S13-T13</f>
        <v>-6</v>
      </c>
    </row>
    <row r="14" spans="1:46" x14ac:dyDescent="0.3">
      <c r="A14" t="s">
        <v>27</v>
      </c>
      <c r="L14" s="3" t="s">
        <v>150</v>
      </c>
      <c r="M14" t="s">
        <v>449</v>
      </c>
      <c r="N14" s="2">
        <f t="shared" si="1"/>
        <v>10</v>
      </c>
      <c r="O14">
        <v>11</v>
      </c>
      <c r="P14">
        <v>3</v>
      </c>
      <c r="Q14">
        <v>1</v>
      </c>
      <c r="R14">
        <f t="shared" si="5"/>
        <v>7</v>
      </c>
      <c r="S14">
        <v>13</v>
      </c>
      <c r="T14">
        <v>16</v>
      </c>
      <c r="U14">
        <f t="shared" si="6"/>
        <v>-3</v>
      </c>
      <c r="AH14" t="s">
        <v>33</v>
      </c>
    </row>
    <row r="15" spans="1:46" x14ac:dyDescent="0.3">
      <c r="A15" t="str">
        <f>B6</f>
        <v>Treze</v>
      </c>
      <c r="B15" t="s">
        <v>44</v>
      </c>
      <c r="C15" t="str">
        <f>B3</f>
        <v>Sousa</v>
      </c>
      <c r="E15" t="str">
        <f>B3</f>
        <v>Sousa</v>
      </c>
      <c r="F15" t="s">
        <v>69</v>
      </c>
      <c r="G15" t="str">
        <f>B6</f>
        <v>Treze</v>
      </c>
      <c r="AH15" t="s">
        <v>435</v>
      </c>
      <c r="AI15" t="s">
        <v>30</v>
      </c>
      <c r="AJ15" t="s">
        <v>439</v>
      </c>
      <c r="AL15" t="s">
        <v>439</v>
      </c>
      <c r="AM15" t="s">
        <v>462</v>
      </c>
      <c r="AN15" t="s">
        <v>435</v>
      </c>
    </row>
    <row r="16" spans="1:46" x14ac:dyDescent="0.3">
      <c r="A16" t="str">
        <f>B5</f>
        <v>Serra Branca</v>
      </c>
      <c r="B16" t="s">
        <v>31</v>
      </c>
      <c r="C16" t="str">
        <f>B4</f>
        <v>Botafogo</v>
      </c>
      <c r="E16" t="str">
        <f>B4</f>
        <v>Botafogo</v>
      </c>
      <c r="F16" t="s">
        <v>44</v>
      </c>
      <c r="G16" t="str">
        <f>B5</f>
        <v>Serra Branca</v>
      </c>
      <c r="L16" t="s">
        <v>86</v>
      </c>
    </row>
    <row r="17" spans="1:18" x14ac:dyDescent="0.3">
      <c r="L17" t="str">
        <f>M5</f>
        <v>Santa Rita</v>
      </c>
      <c r="M17" t="s">
        <v>54</v>
      </c>
      <c r="N17" t="str">
        <f>M8</f>
        <v>São Paulo Crystal</v>
      </c>
    </row>
    <row r="18" spans="1:18" x14ac:dyDescent="0.3">
      <c r="A18" t="s">
        <v>33</v>
      </c>
      <c r="L18" t="str">
        <f>M6</f>
        <v>Picuiense</v>
      </c>
      <c r="M18" t="s">
        <v>30</v>
      </c>
      <c r="N18" t="str">
        <f>M7</f>
        <v>Sabugy</v>
      </c>
    </row>
    <row r="19" spans="1:18" x14ac:dyDescent="0.3">
      <c r="A19" t="s">
        <v>438</v>
      </c>
      <c r="B19" t="s">
        <v>28</v>
      </c>
      <c r="C19" t="s">
        <v>440</v>
      </c>
      <c r="E19" t="s">
        <v>440</v>
      </c>
      <c r="F19" t="s">
        <v>444</v>
      </c>
      <c r="G19" t="s">
        <v>438</v>
      </c>
    </row>
    <row r="20" spans="1:18" x14ac:dyDescent="0.3">
      <c r="L20" t="s">
        <v>27</v>
      </c>
    </row>
    <row r="21" spans="1:18" x14ac:dyDescent="0.3">
      <c r="A21" t="s">
        <v>38</v>
      </c>
      <c r="L21" t="s">
        <v>446</v>
      </c>
      <c r="M21" t="s">
        <v>29</v>
      </c>
      <c r="N21" t="str">
        <f>M3</f>
        <v>Spartax</v>
      </c>
      <c r="P21" t="str">
        <f>M3</f>
        <v>Spartax</v>
      </c>
      <c r="Q21" t="s">
        <v>456</v>
      </c>
      <c r="R21" t="s">
        <v>446</v>
      </c>
    </row>
    <row r="22" spans="1:18" x14ac:dyDescent="0.3">
      <c r="A22" t="s">
        <v>438</v>
      </c>
      <c r="L22" t="s">
        <v>451</v>
      </c>
      <c r="M22" t="s">
        <v>28</v>
      </c>
      <c r="N22" t="str">
        <f>M4</f>
        <v>Internacional</v>
      </c>
      <c r="P22" t="str">
        <f>M4</f>
        <v>Internacional</v>
      </c>
      <c r="Q22" t="s">
        <v>30</v>
      </c>
      <c r="R22" t="s">
        <v>451</v>
      </c>
    </row>
    <row r="23" spans="1:18" x14ac:dyDescent="0.3">
      <c r="A23" t="s">
        <v>436</v>
      </c>
    </row>
    <row r="24" spans="1:18" x14ac:dyDescent="0.3">
      <c r="L24" t="s">
        <v>33</v>
      </c>
    </row>
    <row r="25" spans="1:18" x14ac:dyDescent="0.3">
      <c r="A25" t="s">
        <v>39</v>
      </c>
      <c r="L25" t="s">
        <v>446</v>
      </c>
      <c r="M25" t="s">
        <v>54</v>
      </c>
      <c r="N25" t="s">
        <v>327</v>
      </c>
      <c r="P25" t="s">
        <v>327</v>
      </c>
      <c r="Q25" t="s">
        <v>43</v>
      </c>
      <c r="R25" t="s">
        <v>446</v>
      </c>
    </row>
    <row r="26" spans="1:18" x14ac:dyDescent="0.3">
      <c r="A26" t="s">
        <v>440</v>
      </c>
    </row>
    <row r="27" spans="1:18" x14ac:dyDescent="0.3">
      <c r="A27" t="s">
        <v>438</v>
      </c>
    </row>
    <row r="28" spans="1:18" x14ac:dyDescent="0.3">
      <c r="A28" t="s">
        <v>439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C841-FDB6-47E7-9B17-79F644D86551}">
  <dimension ref="A1:X37"/>
  <sheetViews>
    <sheetView topLeftCell="M1" workbookViewId="0">
      <selection activeCell="X3" sqref="X3"/>
    </sheetView>
  </sheetViews>
  <sheetFormatPr defaultRowHeight="14.4" x14ac:dyDescent="0.3"/>
  <sheetData>
    <row r="1" spans="1:24" x14ac:dyDescent="0.3">
      <c r="A1" t="s">
        <v>464</v>
      </c>
      <c r="L1" t="s">
        <v>471</v>
      </c>
      <c r="W1" t="s">
        <v>70</v>
      </c>
    </row>
    <row r="2" spans="1:24" x14ac:dyDescent="0.3">
      <c r="A2" t="s">
        <v>72</v>
      </c>
      <c r="L2" t="s">
        <v>72</v>
      </c>
      <c r="W2" t="s">
        <v>466</v>
      </c>
      <c r="X2">
        <v>1</v>
      </c>
    </row>
    <row r="3" spans="1:24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L3" t="s">
        <v>1</v>
      </c>
      <c r="M3" t="s">
        <v>2</v>
      </c>
      <c r="N3" t="s">
        <v>3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W3" t="s">
        <v>476</v>
      </c>
      <c r="X3">
        <v>2</v>
      </c>
    </row>
    <row r="4" spans="1:24" x14ac:dyDescent="0.3">
      <c r="A4" s="1" t="s">
        <v>11</v>
      </c>
      <c r="B4" t="s">
        <v>467</v>
      </c>
      <c r="C4" s="2">
        <f>E4*3+F4</f>
        <v>13</v>
      </c>
      <c r="D4">
        <v>8</v>
      </c>
      <c r="E4">
        <v>4</v>
      </c>
      <c r="F4">
        <v>1</v>
      </c>
      <c r="G4">
        <f>D4-E4-F4</f>
        <v>3</v>
      </c>
      <c r="H4">
        <v>12</v>
      </c>
      <c r="I4">
        <v>8</v>
      </c>
      <c r="J4">
        <f>H4-I4</f>
        <v>4</v>
      </c>
      <c r="L4" s="1" t="s">
        <v>11</v>
      </c>
      <c r="M4" t="s">
        <v>484</v>
      </c>
      <c r="N4" s="2">
        <f>P4*3+Q4</f>
        <v>9</v>
      </c>
      <c r="O4">
        <v>4</v>
      </c>
      <c r="P4">
        <v>3</v>
      </c>
      <c r="Q4">
        <v>0</v>
      </c>
      <c r="R4">
        <f>O4-P4-Q4</f>
        <v>1</v>
      </c>
      <c r="S4">
        <v>5</v>
      </c>
      <c r="T4">
        <v>2</v>
      </c>
      <c r="U4">
        <f>S4-T4</f>
        <v>3</v>
      </c>
    </row>
    <row r="5" spans="1:24" x14ac:dyDescent="0.3">
      <c r="A5" s="1" t="s">
        <v>13</v>
      </c>
      <c r="B5" t="s">
        <v>228</v>
      </c>
      <c r="C5" s="2">
        <f>E5*3+F5</f>
        <v>13</v>
      </c>
      <c r="D5">
        <v>8</v>
      </c>
      <c r="E5">
        <v>4</v>
      </c>
      <c r="F5">
        <v>1</v>
      </c>
      <c r="G5">
        <f>D5-E5-F5</f>
        <v>3</v>
      </c>
      <c r="H5">
        <v>14</v>
      </c>
      <c r="I5">
        <v>13</v>
      </c>
      <c r="J5">
        <f>H5-I5</f>
        <v>1</v>
      </c>
      <c r="L5" s="1" t="s">
        <v>13</v>
      </c>
      <c r="M5" t="s">
        <v>268</v>
      </c>
      <c r="N5" s="2">
        <f>P5*3+Q5</f>
        <v>7</v>
      </c>
      <c r="O5">
        <v>4</v>
      </c>
      <c r="P5">
        <v>2</v>
      </c>
      <c r="Q5">
        <v>1</v>
      </c>
      <c r="R5">
        <f>O5-P5-Q5</f>
        <v>1</v>
      </c>
      <c r="S5">
        <v>3</v>
      </c>
      <c r="T5">
        <v>1</v>
      </c>
      <c r="U5">
        <f>S5-T5</f>
        <v>2</v>
      </c>
    </row>
    <row r="6" spans="1:24" x14ac:dyDescent="0.3">
      <c r="A6" t="s">
        <v>15</v>
      </c>
      <c r="B6" t="s">
        <v>465</v>
      </c>
      <c r="C6" s="2">
        <f>E6*3+F6</f>
        <v>12</v>
      </c>
      <c r="D6">
        <v>8</v>
      </c>
      <c r="E6">
        <v>4</v>
      </c>
      <c r="F6">
        <v>0</v>
      </c>
      <c r="G6">
        <f>D6-E6-F6</f>
        <v>4</v>
      </c>
      <c r="H6">
        <v>11</v>
      </c>
      <c r="I6">
        <v>12</v>
      </c>
      <c r="J6">
        <f>H6-I6</f>
        <v>-1</v>
      </c>
      <c r="L6" s="1" t="s">
        <v>15</v>
      </c>
      <c r="M6" t="s">
        <v>474</v>
      </c>
      <c r="N6" s="2">
        <f>P6*3+Q6</f>
        <v>6</v>
      </c>
      <c r="O6">
        <v>4</v>
      </c>
      <c r="P6">
        <v>2</v>
      </c>
      <c r="Q6">
        <v>0</v>
      </c>
      <c r="R6">
        <f>O6-P6-Q6</f>
        <v>2</v>
      </c>
      <c r="S6">
        <v>3</v>
      </c>
      <c r="T6">
        <v>2</v>
      </c>
      <c r="U6">
        <f>S6-T6</f>
        <v>1</v>
      </c>
    </row>
    <row r="7" spans="1:24" x14ac:dyDescent="0.3">
      <c r="A7" t="s">
        <v>17</v>
      </c>
      <c r="B7" t="s">
        <v>362</v>
      </c>
      <c r="C7" s="2">
        <f>E7*3+F7</f>
        <v>11</v>
      </c>
      <c r="D7">
        <v>8</v>
      </c>
      <c r="E7">
        <v>3</v>
      </c>
      <c r="F7">
        <v>2</v>
      </c>
      <c r="G7">
        <f>D7-E7-F7</f>
        <v>3</v>
      </c>
      <c r="H7">
        <v>14</v>
      </c>
      <c r="I7">
        <v>14</v>
      </c>
      <c r="J7">
        <f>H7-I7</f>
        <v>0</v>
      </c>
      <c r="L7" t="s">
        <v>17</v>
      </c>
      <c r="M7" t="s">
        <v>472</v>
      </c>
      <c r="N7" s="2">
        <f>P7*3+Q7</f>
        <v>6</v>
      </c>
      <c r="O7">
        <v>4</v>
      </c>
      <c r="P7">
        <v>2</v>
      </c>
      <c r="Q7">
        <v>0</v>
      </c>
      <c r="R7">
        <f>O7-P7-Q7</f>
        <v>2</v>
      </c>
      <c r="S7">
        <v>4</v>
      </c>
      <c r="T7">
        <v>5</v>
      </c>
      <c r="U7">
        <f>S7-T7</f>
        <v>-1</v>
      </c>
    </row>
    <row r="8" spans="1:24" x14ac:dyDescent="0.3">
      <c r="A8" s="3" t="s">
        <v>19</v>
      </c>
      <c r="B8" t="s">
        <v>469</v>
      </c>
      <c r="C8" s="2">
        <f>E8*3+F8</f>
        <v>9</v>
      </c>
      <c r="D8">
        <v>8</v>
      </c>
      <c r="E8">
        <v>3</v>
      </c>
      <c r="F8">
        <v>0</v>
      </c>
      <c r="G8">
        <f>D8-E8-F8</f>
        <v>5</v>
      </c>
      <c r="H8">
        <v>14</v>
      </c>
      <c r="I8">
        <v>18</v>
      </c>
      <c r="J8">
        <f>H8-I8</f>
        <v>-4</v>
      </c>
      <c r="L8" t="s">
        <v>19</v>
      </c>
      <c r="M8" t="s">
        <v>135</v>
      </c>
      <c r="N8" s="2">
        <f>P8*3+Q8</f>
        <v>1</v>
      </c>
      <c r="O8">
        <v>4</v>
      </c>
      <c r="P8">
        <v>0</v>
      </c>
      <c r="Q8">
        <v>1</v>
      </c>
      <c r="R8">
        <f>O8-P8-Q8</f>
        <v>3</v>
      </c>
      <c r="S8">
        <v>1</v>
      </c>
      <c r="T8">
        <v>6</v>
      </c>
      <c r="U8">
        <f>S8-T8</f>
        <v>-5</v>
      </c>
    </row>
    <row r="10" spans="1:24" x14ac:dyDescent="0.3">
      <c r="A10" t="s">
        <v>73</v>
      </c>
      <c r="L10" t="s">
        <v>73</v>
      </c>
    </row>
    <row r="11" spans="1:24" x14ac:dyDescent="0.3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L11" t="s">
        <v>1</v>
      </c>
      <c r="M11" t="s">
        <v>2</v>
      </c>
      <c r="N11" t="s">
        <v>3</v>
      </c>
      <c r="O11" t="s">
        <v>4</v>
      </c>
      <c r="P11" t="s">
        <v>5</v>
      </c>
      <c r="Q11" t="s">
        <v>6</v>
      </c>
      <c r="R11" t="s">
        <v>7</v>
      </c>
      <c r="S11" t="s">
        <v>8</v>
      </c>
      <c r="T11" t="s">
        <v>9</v>
      </c>
      <c r="U11" t="s">
        <v>10</v>
      </c>
    </row>
    <row r="12" spans="1:24" x14ac:dyDescent="0.3">
      <c r="A12" s="1" t="s">
        <v>11</v>
      </c>
      <c r="B12" t="s">
        <v>470</v>
      </c>
      <c r="C12" s="2">
        <f>E12*3+F12</f>
        <v>15</v>
      </c>
      <c r="D12">
        <v>8</v>
      </c>
      <c r="E12">
        <v>4</v>
      </c>
      <c r="F12">
        <v>3</v>
      </c>
      <c r="G12">
        <f>D12-E12-F12</f>
        <v>1</v>
      </c>
      <c r="H12">
        <v>12</v>
      </c>
      <c r="I12">
        <v>8</v>
      </c>
      <c r="J12">
        <f>H12-I12</f>
        <v>4</v>
      </c>
      <c r="L12" s="1" t="s">
        <v>11</v>
      </c>
      <c r="M12" t="s">
        <v>129</v>
      </c>
      <c r="N12" s="2">
        <f>P12*3+Q12</f>
        <v>7</v>
      </c>
      <c r="O12">
        <v>4</v>
      </c>
      <c r="P12">
        <v>2</v>
      </c>
      <c r="Q12">
        <v>1</v>
      </c>
      <c r="R12">
        <f>O12-P12-Q12</f>
        <v>1</v>
      </c>
      <c r="S12">
        <v>5</v>
      </c>
      <c r="T12">
        <v>4</v>
      </c>
      <c r="U12">
        <f>S12-T12</f>
        <v>1</v>
      </c>
    </row>
    <row r="13" spans="1:24" x14ac:dyDescent="0.3">
      <c r="A13" s="1" t="s">
        <v>13</v>
      </c>
      <c r="B13" t="s">
        <v>466</v>
      </c>
      <c r="C13" s="2">
        <f>E13*3+F13</f>
        <v>11</v>
      </c>
      <c r="D13">
        <v>8</v>
      </c>
      <c r="E13">
        <v>3</v>
      </c>
      <c r="F13">
        <v>2</v>
      </c>
      <c r="G13">
        <f>D13-E13-F13</f>
        <v>3</v>
      </c>
      <c r="H13">
        <v>11</v>
      </c>
      <c r="I13">
        <v>11</v>
      </c>
      <c r="J13">
        <f>H13-I13</f>
        <v>0</v>
      </c>
      <c r="L13" s="1" t="s">
        <v>13</v>
      </c>
      <c r="M13" t="s">
        <v>481</v>
      </c>
      <c r="N13" s="2">
        <f>P13*3+Q13</f>
        <v>6</v>
      </c>
      <c r="O13">
        <v>4</v>
      </c>
      <c r="P13">
        <v>2</v>
      </c>
      <c r="Q13">
        <v>0</v>
      </c>
      <c r="R13">
        <f>O13-P13-Q13</f>
        <v>2</v>
      </c>
      <c r="S13">
        <v>3</v>
      </c>
      <c r="T13">
        <v>2</v>
      </c>
      <c r="U13">
        <f>S13-T13</f>
        <v>1</v>
      </c>
    </row>
    <row r="14" spans="1:24" x14ac:dyDescent="0.3">
      <c r="A14" t="s">
        <v>15</v>
      </c>
      <c r="B14" t="s">
        <v>468</v>
      </c>
      <c r="C14" s="2">
        <f>E14*3+F14</f>
        <v>11</v>
      </c>
      <c r="D14">
        <v>8</v>
      </c>
      <c r="E14">
        <v>3</v>
      </c>
      <c r="F14">
        <v>2</v>
      </c>
      <c r="G14">
        <f>D14-E14-F14</f>
        <v>3</v>
      </c>
      <c r="H14">
        <v>10</v>
      </c>
      <c r="I14">
        <v>11</v>
      </c>
      <c r="J14">
        <f>H14-I14</f>
        <v>-1</v>
      </c>
      <c r="L14" t="s">
        <v>15</v>
      </c>
      <c r="M14" t="s">
        <v>479</v>
      </c>
      <c r="N14" s="2">
        <f>P14*3+Q14</f>
        <v>6</v>
      </c>
      <c r="O14">
        <v>4</v>
      </c>
      <c r="P14">
        <v>2</v>
      </c>
      <c r="Q14">
        <v>0</v>
      </c>
      <c r="R14">
        <f>O14-P14-Q14</f>
        <v>2</v>
      </c>
      <c r="S14">
        <v>2</v>
      </c>
      <c r="T14">
        <v>3</v>
      </c>
      <c r="U14">
        <f>S14-T14</f>
        <v>-1</v>
      </c>
    </row>
    <row r="15" spans="1:24" x14ac:dyDescent="0.3">
      <c r="A15" t="s">
        <v>17</v>
      </c>
      <c r="B15" t="s">
        <v>12</v>
      </c>
      <c r="C15" s="2">
        <f>E15*3+F15</f>
        <v>9</v>
      </c>
      <c r="D15">
        <v>8</v>
      </c>
      <c r="E15">
        <v>2</v>
      </c>
      <c r="F15">
        <v>3</v>
      </c>
      <c r="G15">
        <f>D15-E15-F15</f>
        <v>3</v>
      </c>
      <c r="H15">
        <v>6</v>
      </c>
      <c r="I15">
        <v>6</v>
      </c>
      <c r="J15">
        <f>H15-I15</f>
        <v>0</v>
      </c>
      <c r="L15" t="s">
        <v>17</v>
      </c>
      <c r="M15" t="s">
        <v>485</v>
      </c>
      <c r="N15" s="2">
        <f>P15*3+Q15</f>
        <v>5</v>
      </c>
      <c r="O15">
        <v>4</v>
      </c>
      <c r="P15">
        <v>1</v>
      </c>
      <c r="Q15">
        <v>2</v>
      </c>
      <c r="R15">
        <f>O15-P15-Q15</f>
        <v>1</v>
      </c>
      <c r="S15">
        <v>1</v>
      </c>
      <c r="T15">
        <v>2</v>
      </c>
      <c r="U15">
        <f>S15-T15</f>
        <v>-1</v>
      </c>
    </row>
    <row r="16" spans="1:24" x14ac:dyDescent="0.3">
      <c r="A16" s="3" t="s">
        <v>19</v>
      </c>
      <c r="B16" t="s">
        <v>109</v>
      </c>
      <c r="C16" s="2">
        <f>E16*3+F16</f>
        <v>7</v>
      </c>
      <c r="D16">
        <v>8</v>
      </c>
      <c r="E16">
        <v>1</v>
      </c>
      <c r="F16">
        <v>4</v>
      </c>
      <c r="G16">
        <f>D16-E16-F16</f>
        <v>3</v>
      </c>
      <c r="H16">
        <v>9</v>
      </c>
      <c r="I16">
        <v>12</v>
      </c>
      <c r="J16">
        <f>H16-I16</f>
        <v>-3</v>
      </c>
      <c r="L16" t="s">
        <v>19</v>
      </c>
      <c r="M16" t="s">
        <v>477</v>
      </c>
      <c r="N16" s="2">
        <f>P16*3+Q16</f>
        <v>4</v>
      </c>
      <c r="O16">
        <v>4</v>
      </c>
      <c r="P16">
        <v>1</v>
      </c>
      <c r="Q16">
        <v>1</v>
      </c>
      <c r="R16">
        <f>O16-P16-Q16</f>
        <v>2</v>
      </c>
      <c r="S16">
        <v>5</v>
      </c>
      <c r="T16">
        <v>5</v>
      </c>
      <c r="U16">
        <f>S16-T16</f>
        <v>0</v>
      </c>
    </row>
    <row r="18" spans="1:21" x14ac:dyDescent="0.3">
      <c r="A18" t="s">
        <v>27</v>
      </c>
      <c r="L18" t="s">
        <v>254</v>
      </c>
    </row>
    <row r="19" spans="1:21" x14ac:dyDescent="0.3">
      <c r="A19" t="str">
        <f>B13</f>
        <v>Maguary</v>
      </c>
      <c r="B19" t="s">
        <v>54</v>
      </c>
      <c r="C19" t="str">
        <f>B4</f>
        <v>Decisão</v>
      </c>
      <c r="E19" t="str">
        <f>B4</f>
        <v>Decisão</v>
      </c>
      <c r="F19" t="s">
        <v>69</v>
      </c>
      <c r="G19" t="str">
        <f>B13</f>
        <v>Maguary</v>
      </c>
      <c r="L19" t="s">
        <v>1</v>
      </c>
      <c r="M19" t="s">
        <v>2</v>
      </c>
      <c r="N19" t="s">
        <v>3</v>
      </c>
      <c r="O19" t="s">
        <v>4</v>
      </c>
      <c r="P19" t="s">
        <v>5</v>
      </c>
      <c r="Q19" t="s">
        <v>6</v>
      </c>
      <c r="R19" t="s">
        <v>7</v>
      </c>
      <c r="S19" t="s">
        <v>8</v>
      </c>
      <c r="T19" t="s">
        <v>9</v>
      </c>
      <c r="U19" t="s">
        <v>10</v>
      </c>
    </row>
    <row r="20" spans="1:21" x14ac:dyDescent="0.3">
      <c r="A20" t="str">
        <f>B5</f>
        <v>Sport</v>
      </c>
      <c r="B20" t="s">
        <v>56</v>
      </c>
      <c r="C20" t="str">
        <f>B12</f>
        <v>Águia</v>
      </c>
      <c r="E20" t="str">
        <f>B12</f>
        <v>Águia</v>
      </c>
      <c r="F20" t="s">
        <v>43</v>
      </c>
      <c r="G20" t="str">
        <f>B5</f>
        <v>Sport</v>
      </c>
      <c r="L20" s="1" t="s">
        <v>11</v>
      </c>
      <c r="M20" t="s">
        <v>478</v>
      </c>
      <c r="N20" s="2">
        <f>P20*3+Q20</f>
        <v>10</v>
      </c>
      <c r="O20">
        <v>4</v>
      </c>
      <c r="P20">
        <v>3</v>
      </c>
      <c r="Q20">
        <v>1</v>
      </c>
      <c r="R20">
        <f>O20-P20-Q20</f>
        <v>0</v>
      </c>
      <c r="S20">
        <v>8</v>
      </c>
      <c r="T20">
        <v>4</v>
      </c>
      <c r="U20">
        <f>S20-T20</f>
        <v>4</v>
      </c>
    </row>
    <row r="21" spans="1:21" x14ac:dyDescent="0.3">
      <c r="L21" s="1" t="s">
        <v>13</v>
      </c>
      <c r="M21" t="s">
        <v>42</v>
      </c>
      <c r="N21" s="2">
        <f>P21*3+Q21</f>
        <v>9</v>
      </c>
      <c r="O21">
        <v>4</v>
      </c>
      <c r="P21">
        <v>3</v>
      </c>
      <c r="Q21">
        <v>0</v>
      </c>
      <c r="R21">
        <f>O21-P21-Q21</f>
        <v>1</v>
      </c>
      <c r="S21">
        <v>5</v>
      </c>
      <c r="T21">
        <v>4</v>
      </c>
      <c r="U21">
        <f>S21-T21</f>
        <v>1</v>
      </c>
    </row>
    <row r="22" spans="1:21" x14ac:dyDescent="0.3">
      <c r="A22" t="s">
        <v>33</v>
      </c>
      <c r="L22" s="1" t="s">
        <v>15</v>
      </c>
      <c r="M22" t="s">
        <v>476</v>
      </c>
      <c r="N22" s="2">
        <f>P22*3+Q22</f>
        <v>6</v>
      </c>
      <c r="O22">
        <v>4</v>
      </c>
      <c r="P22">
        <v>2</v>
      </c>
      <c r="Q22">
        <v>0</v>
      </c>
      <c r="R22">
        <f>O22-P22-Q22</f>
        <v>2</v>
      </c>
      <c r="S22">
        <v>8</v>
      </c>
      <c r="T22">
        <v>7</v>
      </c>
      <c r="U22">
        <f>S22-T22</f>
        <v>1</v>
      </c>
    </row>
    <row r="23" spans="1:21" x14ac:dyDescent="0.3">
      <c r="A23" t="s">
        <v>466</v>
      </c>
      <c r="B23" t="s">
        <v>54</v>
      </c>
      <c r="C23" t="s">
        <v>470</v>
      </c>
      <c r="E23" t="s">
        <v>470</v>
      </c>
      <c r="F23" t="s">
        <v>386</v>
      </c>
      <c r="G23" t="s">
        <v>466</v>
      </c>
      <c r="L23" t="s">
        <v>17</v>
      </c>
      <c r="M23" t="s">
        <v>475</v>
      </c>
      <c r="N23" s="2">
        <f>P23*3+Q23</f>
        <v>3</v>
      </c>
      <c r="O23">
        <v>4</v>
      </c>
      <c r="P23">
        <v>1</v>
      </c>
      <c r="Q23">
        <v>0</v>
      </c>
      <c r="R23">
        <f>O23-P23-Q23</f>
        <v>3</v>
      </c>
      <c r="S23">
        <v>4</v>
      </c>
      <c r="T23">
        <v>6</v>
      </c>
      <c r="U23">
        <f>S23-T23</f>
        <v>-2</v>
      </c>
    </row>
    <row r="24" spans="1:21" x14ac:dyDescent="0.3">
      <c r="L24" t="s">
        <v>19</v>
      </c>
      <c r="M24" t="s">
        <v>473</v>
      </c>
      <c r="N24" s="2">
        <f>P24*3+Q24</f>
        <v>1</v>
      </c>
      <c r="O24">
        <v>4</v>
      </c>
      <c r="P24">
        <v>0</v>
      </c>
      <c r="Q24">
        <v>1</v>
      </c>
      <c r="R24">
        <f>O24-P24-Q24</f>
        <v>3</v>
      </c>
      <c r="S24">
        <v>5</v>
      </c>
      <c r="T24">
        <v>9</v>
      </c>
      <c r="U24">
        <f>S24-T24</f>
        <v>-4</v>
      </c>
    </row>
    <row r="25" spans="1:21" x14ac:dyDescent="0.3">
      <c r="A25" t="s">
        <v>38</v>
      </c>
    </row>
    <row r="26" spans="1:21" x14ac:dyDescent="0.3">
      <c r="A26" t="s">
        <v>466</v>
      </c>
      <c r="L26" t="s">
        <v>221</v>
      </c>
    </row>
    <row r="27" spans="1:21" x14ac:dyDescent="0.3">
      <c r="A27" t="s">
        <v>470</v>
      </c>
      <c r="L27" t="s">
        <v>481</v>
      </c>
      <c r="M27" t="s">
        <v>36</v>
      </c>
      <c r="N27" t="s">
        <v>478</v>
      </c>
      <c r="P27" t="s">
        <v>478</v>
      </c>
      <c r="Q27" t="s">
        <v>30</v>
      </c>
      <c r="R27" t="s">
        <v>481</v>
      </c>
    </row>
    <row r="28" spans="1:21" x14ac:dyDescent="0.3">
      <c r="L28" t="s">
        <v>474</v>
      </c>
      <c r="M28" t="s">
        <v>29</v>
      </c>
      <c r="N28" t="s">
        <v>484</v>
      </c>
      <c r="P28" t="s">
        <v>484</v>
      </c>
      <c r="Q28" t="s">
        <v>69</v>
      </c>
      <c r="R28" t="s">
        <v>474</v>
      </c>
    </row>
    <row r="29" spans="1:21" x14ac:dyDescent="0.3">
      <c r="A29" t="s">
        <v>39</v>
      </c>
      <c r="L29" t="s">
        <v>476</v>
      </c>
      <c r="M29" t="s">
        <v>30</v>
      </c>
      <c r="N29" t="s">
        <v>42</v>
      </c>
      <c r="P29" t="s">
        <v>42</v>
      </c>
      <c r="Q29" t="s">
        <v>44</v>
      </c>
      <c r="R29" t="s">
        <v>476</v>
      </c>
    </row>
    <row r="30" spans="1:21" x14ac:dyDescent="0.3">
      <c r="A30" t="s">
        <v>466</v>
      </c>
      <c r="L30" t="s">
        <v>129</v>
      </c>
      <c r="M30" t="s">
        <v>57</v>
      </c>
      <c r="N30" t="s">
        <v>268</v>
      </c>
      <c r="P30" t="s">
        <v>268</v>
      </c>
      <c r="Q30" t="s">
        <v>30</v>
      </c>
      <c r="R30" t="s">
        <v>129</v>
      </c>
    </row>
    <row r="31" spans="1:21" x14ac:dyDescent="0.3">
      <c r="A31" t="s">
        <v>470</v>
      </c>
    </row>
    <row r="32" spans="1:21" x14ac:dyDescent="0.3">
      <c r="A32" t="s">
        <v>467</v>
      </c>
      <c r="L32" t="s">
        <v>27</v>
      </c>
    </row>
    <row r="33" spans="1:18" x14ac:dyDescent="0.3">
      <c r="A33" t="s">
        <v>228</v>
      </c>
      <c r="L33" t="s">
        <v>481</v>
      </c>
      <c r="M33" t="s">
        <v>44</v>
      </c>
      <c r="N33" t="s">
        <v>268</v>
      </c>
      <c r="P33" t="s">
        <v>268</v>
      </c>
      <c r="Q33" t="s">
        <v>36</v>
      </c>
      <c r="R33" t="s">
        <v>481</v>
      </c>
    </row>
    <row r="34" spans="1:18" x14ac:dyDescent="0.3">
      <c r="L34" t="s">
        <v>476</v>
      </c>
      <c r="M34" t="s">
        <v>36</v>
      </c>
      <c r="N34" t="s">
        <v>474</v>
      </c>
      <c r="P34" t="s">
        <v>474</v>
      </c>
      <c r="Q34" t="s">
        <v>44</v>
      </c>
      <c r="R34" t="s">
        <v>476</v>
      </c>
    </row>
    <row r="36" spans="1:18" x14ac:dyDescent="0.3">
      <c r="L36" t="s">
        <v>33</v>
      </c>
    </row>
    <row r="37" spans="1:18" x14ac:dyDescent="0.3">
      <c r="L37" t="s">
        <v>268</v>
      </c>
      <c r="M37" t="s">
        <v>486</v>
      </c>
      <c r="N37" t="s">
        <v>476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0D90-4E70-450C-AA78-F8FFA6656284}">
  <dimension ref="A1:X26"/>
  <sheetViews>
    <sheetView workbookViewId="0">
      <selection activeCell="N3" sqref="N3:N8"/>
    </sheetView>
  </sheetViews>
  <sheetFormatPr defaultRowHeight="14.4" x14ac:dyDescent="0.3"/>
  <sheetData>
    <row r="1" spans="1:24" x14ac:dyDescent="0.3">
      <c r="A1" t="s">
        <v>487</v>
      </c>
      <c r="L1" t="s">
        <v>496</v>
      </c>
      <c r="W1" t="s">
        <v>501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489</v>
      </c>
      <c r="X2">
        <v>1</v>
      </c>
    </row>
    <row r="3" spans="1:24" x14ac:dyDescent="0.3">
      <c r="A3" s="1" t="s">
        <v>11</v>
      </c>
      <c r="B3" t="s">
        <v>494</v>
      </c>
      <c r="C3" s="2">
        <f t="shared" ref="C3:C10" si="0">E3*3+F3</f>
        <v>15</v>
      </c>
      <c r="D3">
        <v>7</v>
      </c>
      <c r="E3">
        <v>5</v>
      </c>
      <c r="F3">
        <v>0</v>
      </c>
      <c r="G3">
        <f>D3-E3-F3</f>
        <v>2</v>
      </c>
      <c r="H3">
        <v>19</v>
      </c>
      <c r="I3">
        <v>9</v>
      </c>
      <c r="J3">
        <f>H3-I3</f>
        <v>10</v>
      </c>
      <c r="L3" s="1" t="s">
        <v>11</v>
      </c>
      <c r="M3" t="s">
        <v>497</v>
      </c>
      <c r="N3" s="2">
        <f t="shared" ref="N3:N8" si="1">P3*3+Q3</f>
        <v>13</v>
      </c>
      <c r="O3">
        <v>5</v>
      </c>
      <c r="P3">
        <v>4</v>
      </c>
      <c r="Q3">
        <v>1</v>
      </c>
      <c r="R3">
        <f>O3-P3-Q3</f>
        <v>0</v>
      </c>
      <c r="S3">
        <v>11</v>
      </c>
      <c r="T3">
        <v>5</v>
      </c>
      <c r="U3">
        <f>S3-T3</f>
        <v>6</v>
      </c>
      <c r="W3" t="s">
        <v>498</v>
      </c>
      <c r="X3">
        <v>1</v>
      </c>
    </row>
    <row r="4" spans="1:24" x14ac:dyDescent="0.3">
      <c r="A4" s="1" t="s">
        <v>13</v>
      </c>
      <c r="B4" t="s">
        <v>490</v>
      </c>
      <c r="C4" s="2">
        <f t="shared" si="0"/>
        <v>12</v>
      </c>
      <c r="D4">
        <v>7</v>
      </c>
      <c r="E4">
        <v>4</v>
      </c>
      <c r="F4">
        <v>0</v>
      </c>
      <c r="G4">
        <f t="shared" ref="G4:G10" si="2">D4-E4-F4</f>
        <v>3</v>
      </c>
      <c r="H4">
        <v>9</v>
      </c>
      <c r="I4">
        <v>7</v>
      </c>
      <c r="J4">
        <f t="shared" ref="J4:J10" si="3">H4-I4</f>
        <v>2</v>
      </c>
      <c r="L4" s="1" t="s">
        <v>13</v>
      </c>
      <c r="M4" t="s">
        <v>498</v>
      </c>
      <c r="N4" s="2">
        <f t="shared" si="1"/>
        <v>8</v>
      </c>
      <c r="O4">
        <v>5</v>
      </c>
      <c r="P4">
        <v>2</v>
      </c>
      <c r="Q4">
        <v>2</v>
      </c>
      <c r="R4">
        <f t="shared" ref="R4:R8" si="4">O4-P4-Q4</f>
        <v>1</v>
      </c>
      <c r="S4">
        <v>7</v>
      </c>
      <c r="T4">
        <v>7</v>
      </c>
      <c r="U4">
        <f t="shared" ref="U4:U8" si="5">S4-T4</f>
        <v>0</v>
      </c>
    </row>
    <row r="5" spans="1:24" x14ac:dyDescent="0.3">
      <c r="A5" s="1" t="s">
        <v>15</v>
      </c>
      <c r="B5" t="s">
        <v>489</v>
      </c>
      <c r="C5" s="2">
        <f t="shared" si="0"/>
        <v>11</v>
      </c>
      <c r="D5">
        <v>7</v>
      </c>
      <c r="E5">
        <v>3</v>
      </c>
      <c r="F5">
        <v>2</v>
      </c>
      <c r="G5">
        <f t="shared" si="2"/>
        <v>2</v>
      </c>
      <c r="H5">
        <v>12</v>
      </c>
      <c r="I5">
        <v>9</v>
      </c>
      <c r="J5">
        <f t="shared" si="3"/>
        <v>3</v>
      </c>
      <c r="L5" s="1" t="s">
        <v>15</v>
      </c>
      <c r="M5" t="s">
        <v>493</v>
      </c>
      <c r="N5" s="2">
        <f t="shared" si="1"/>
        <v>6</v>
      </c>
      <c r="O5">
        <v>5</v>
      </c>
      <c r="P5">
        <v>2</v>
      </c>
      <c r="Q5">
        <v>0</v>
      </c>
      <c r="R5">
        <f t="shared" si="4"/>
        <v>3</v>
      </c>
      <c r="S5">
        <v>8</v>
      </c>
      <c r="T5">
        <v>9</v>
      </c>
      <c r="U5">
        <f t="shared" si="5"/>
        <v>-1</v>
      </c>
    </row>
    <row r="6" spans="1:24" x14ac:dyDescent="0.3">
      <c r="A6" s="1" t="s">
        <v>17</v>
      </c>
      <c r="B6" t="s">
        <v>139</v>
      </c>
      <c r="C6" s="2">
        <f t="shared" si="0"/>
        <v>9</v>
      </c>
      <c r="D6">
        <v>7</v>
      </c>
      <c r="E6">
        <v>3</v>
      </c>
      <c r="F6">
        <v>0</v>
      </c>
      <c r="G6">
        <f t="shared" si="2"/>
        <v>4</v>
      </c>
      <c r="H6">
        <v>10</v>
      </c>
      <c r="I6">
        <v>11</v>
      </c>
      <c r="J6">
        <f t="shared" si="3"/>
        <v>-1</v>
      </c>
      <c r="L6" s="1" t="s">
        <v>17</v>
      </c>
      <c r="M6" t="s">
        <v>499</v>
      </c>
      <c r="N6" s="2">
        <f t="shared" si="1"/>
        <v>6</v>
      </c>
      <c r="O6">
        <v>5</v>
      </c>
      <c r="P6">
        <v>2</v>
      </c>
      <c r="Q6">
        <v>0</v>
      </c>
      <c r="R6">
        <f t="shared" si="4"/>
        <v>3</v>
      </c>
      <c r="S6">
        <v>7</v>
      </c>
      <c r="T6">
        <v>8</v>
      </c>
      <c r="U6">
        <f t="shared" si="5"/>
        <v>-1</v>
      </c>
    </row>
    <row r="7" spans="1:24" x14ac:dyDescent="0.3">
      <c r="A7" t="s">
        <v>19</v>
      </c>
      <c r="B7" t="s">
        <v>495</v>
      </c>
      <c r="C7" s="2">
        <f t="shared" si="0"/>
        <v>9</v>
      </c>
      <c r="D7">
        <v>7</v>
      </c>
      <c r="E7">
        <v>3</v>
      </c>
      <c r="F7">
        <v>0</v>
      </c>
      <c r="G7">
        <f t="shared" si="2"/>
        <v>4</v>
      </c>
      <c r="H7">
        <v>11</v>
      </c>
      <c r="I7">
        <v>15</v>
      </c>
      <c r="J7">
        <f t="shared" si="3"/>
        <v>-4</v>
      </c>
      <c r="L7" t="s">
        <v>19</v>
      </c>
      <c r="M7" t="s">
        <v>354</v>
      </c>
      <c r="N7" s="2">
        <f t="shared" si="1"/>
        <v>6</v>
      </c>
      <c r="O7">
        <v>5</v>
      </c>
      <c r="P7">
        <v>2</v>
      </c>
      <c r="Q7">
        <v>0</v>
      </c>
      <c r="R7">
        <f t="shared" si="4"/>
        <v>3</v>
      </c>
      <c r="S7">
        <v>6</v>
      </c>
      <c r="T7">
        <v>10</v>
      </c>
      <c r="U7">
        <f t="shared" si="5"/>
        <v>-4</v>
      </c>
    </row>
    <row r="8" spans="1:24" x14ac:dyDescent="0.3">
      <c r="A8" t="s">
        <v>21</v>
      </c>
      <c r="B8" t="s">
        <v>491</v>
      </c>
      <c r="C8" s="2">
        <f t="shared" si="0"/>
        <v>9</v>
      </c>
      <c r="D8">
        <v>7</v>
      </c>
      <c r="E8">
        <v>3</v>
      </c>
      <c r="F8">
        <v>0</v>
      </c>
      <c r="G8">
        <f t="shared" si="2"/>
        <v>4</v>
      </c>
      <c r="H8">
        <v>11</v>
      </c>
      <c r="I8">
        <v>16</v>
      </c>
      <c r="J8">
        <f t="shared" si="3"/>
        <v>-5</v>
      </c>
      <c r="L8" t="s">
        <v>21</v>
      </c>
      <c r="M8" t="s">
        <v>492</v>
      </c>
      <c r="N8" s="2">
        <f t="shared" si="1"/>
        <v>4</v>
      </c>
      <c r="O8">
        <v>5</v>
      </c>
      <c r="P8">
        <v>1</v>
      </c>
      <c r="Q8">
        <v>1</v>
      </c>
      <c r="R8">
        <f t="shared" si="4"/>
        <v>3</v>
      </c>
      <c r="S8">
        <v>6</v>
      </c>
      <c r="T8">
        <v>6</v>
      </c>
      <c r="U8">
        <f t="shared" si="5"/>
        <v>0</v>
      </c>
    </row>
    <row r="9" spans="1:24" x14ac:dyDescent="0.3">
      <c r="A9" s="3" t="s">
        <v>23</v>
      </c>
      <c r="B9" t="s">
        <v>42</v>
      </c>
      <c r="C9" s="2">
        <f t="shared" si="0"/>
        <v>8</v>
      </c>
      <c r="D9">
        <v>7</v>
      </c>
      <c r="E9">
        <v>2</v>
      </c>
      <c r="F9">
        <v>2</v>
      </c>
      <c r="G9">
        <f t="shared" si="2"/>
        <v>3</v>
      </c>
      <c r="H9">
        <v>9</v>
      </c>
      <c r="I9">
        <v>9</v>
      </c>
      <c r="J9">
        <f t="shared" si="3"/>
        <v>0</v>
      </c>
    </row>
    <row r="10" spans="1:24" x14ac:dyDescent="0.3">
      <c r="A10" s="3" t="s">
        <v>25</v>
      </c>
      <c r="B10" t="s">
        <v>488</v>
      </c>
      <c r="C10" s="2">
        <f t="shared" si="0"/>
        <v>8</v>
      </c>
      <c r="D10">
        <v>7</v>
      </c>
      <c r="E10">
        <v>2</v>
      </c>
      <c r="F10">
        <v>2</v>
      </c>
      <c r="G10">
        <f t="shared" si="2"/>
        <v>3</v>
      </c>
      <c r="H10">
        <v>11</v>
      </c>
      <c r="I10">
        <v>16</v>
      </c>
      <c r="J10">
        <f t="shared" si="3"/>
        <v>-5</v>
      </c>
      <c r="L10" t="s">
        <v>27</v>
      </c>
    </row>
    <row r="11" spans="1:24" x14ac:dyDescent="0.3">
      <c r="L11" t="str">
        <f>M6</f>
        <v>Picos</v>
      </c>
      <c r="M11" t="s">
        <v>57</v>
      </c>
      <c r="N11" t="str">
        <f>M3</f>
        <v>Flamengo</v>
      </c>
      <c r="P11" t="str">
        <f>M3</f>
        <v>Flamengo</v>
      </c>
      <c r="Q11" t="s">
        <v>303</v>
      </c>
      <c r="R11" t="str">
        <f>M6</f>
        <v>Picos</v>
      </c>
    </row>
    <row r="12" spans="1:24" x14ac:dyDescent="0.3">
      <c r="A12" t="s">
        <v>27</v>
      </c>
      <c r="L12" t="str">
        <f>M5</f>
        <v>Altos</v>
      </c>
      <c r="M12" t="s">
        <v>36</v>
      </c>
      <c r="N12" t="str">
        <f>M4</f>
        <v>River</v>
      </c>
      <c r="P12" t="str">
        <f>M4</f>
        <v>River</v>
      </c>
      <c r="Q12" t="s">
        <v>54</v>
      </c>
      <c r="R12" t="str">
        <f>M5</f>
        <v>Altos</v>
      </c>
    </row>
    <row r="13" spans="1:24" x14ac:dyDescent="0.3">
      <c r="A13" t="str">
        <f>B6</f>
        <v>Fluminense</v>
      </c>
      <c r="B13" t="s">
        <v>31</v>
      </c>
      <c r="C13" t="str">
        <f>B3</f>
        <v>4 de Julho</v>
      </c>
      <c r="E13" t="str">
        <f>B3</f>
        <v>4 de Julho</v>
      </c>
      <c r="F13" t="s">
        <v>57</v>
      </c>
      <c r="G13" t="str">
        <f>B6</f>
        <v>Fluminense</v>
      </c>
    </row>
    <row r="14" spans="1:24" x14ac:dyDescent="0.3">
      <c r="A14" t="str">
        <f>B5</f>
        <v>Oeirense</v>
      </c>
      <c r="B14" t="s">
        <v>36</v>
      </c>
      <c r="C14" t="str">
        <f>B4</f>
        <v>Piauí</v>
      </c>
      <c r="E14" t="str">
        <f>B4</f>
        <v>Piauí</v>
      </c>
      <c r="F14" t="s">
        <v>57</v>
      </c>
      <c r="G14" t="str">
        <f>B5</f>
        <v>Oeirense</v>
      </c>
      <c r="L14" t="s">
        <v>33</v>
      </c>
    </row>
    <row r="15" spans="1:24" x14ac:dyDescent="0.3">
      <c r="L15" t="s">
        <v>498</v>
      </c>
      <c r="M15" t="s">
        <v>500</v>
      </c>
      <c r="N15" t="s">
        <v>499</v>
      </c>
    </row>
    <row r="16" spans="1:24" x14ac:dyDescent="0.3">
      <c r="A16" t="s">
        <v>33</v>
      </c>
    </row>
    <row r="17" spans="1:7" x14ac:dyDescent="0.3">
      <c r="A17" t="s">
        <v>489</v>
      </c>
      <c r="B17" t="s">
        <v>57</v>
      </c>
      <c r="C17" t="s">
        <v>494</v>
      </c>
      <c r="E17" t="s">
        <v>494</v>
      </c>
      <c r="F17" t="s">
        <v>103</v>
      </c>
      <c r="G17" t="s">
        <v>489</v>
      </c>
    </row>
    <row r="19" spans="1:7" x14ac:dyDescent="0.3">
      <c r="A19" t="s">
        <v>38</v>
      </c>
    </row>
    <row r="20" spans="1:7" x14ac:dyDescent="0.3">
      <c r="A20" t="s">
        <v>489</v>
      </c>
    </row>
    <row r="21" spans="1:7" x14ac:dyDescent="0.3">
      <c r="A21" t="s">
        <v>494</v>
      </c>
    </row>
    <row r="23" spans="1:7" x14ac:dyDescent="0.3">
      <c r="A23" t="s">
        <v>39</v>
      </c>
    </row>
    <row r="24" spans="1:7" x14ac:dyDescent="0.3">
      <c r="A24" t="s">
        <v>489</v>
      </c>
    </row>
    <row r="25" spans="1:7" x14ac:dyDescent="0.3">
      <c r="A25" t="s">
        <v>494</v>
      </c>
    </row>
    <row r="26" spans="1:7" x14ac:dyDescent="0.3">
      <c r="A26" t="s">
        <v>490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0B8A-33A1-4D28-95CF-FFA0AB818AE2}">
  <dimension ref="A1:AT46"/>
  <sheetViews>
    <sheetView topLeftCell="AD1" workbookViewId="0">
      <selection activeCell="AJ4" sqref="AJ4:AJ9"/>
    </sheetView>
  </sheetViews>
  <sheetFormatPr defaultRowHeight="14.4" x14ac:dyDescent="0.3"/>
  <sheetData>
    <row r="1" spans="1:46" x14ac:dyDescent="0.3">
      <c r="A1" t="s">
        <v>502</v>
      </c>
      <c r="L1" t="s">
        <v>518</v>
      </c>
      <c r="W1" t="s">
        <v>527</v>
      </c>
      <c r="AH1" t="s">
        <v>538</v>
      </c>
      <c r="AS1" t="s">
        <v>70</v>
      </c>
    </row>
    <row r="2" spans="1:46" x14ac:dyDescent="0.3">
      <c r="A2" t="s">
        <v>72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72</v>
      </c>
      <c r="AH2" t="s">
        <v>72</v>
      </c>
      <c r="AS2" t="s">
        <v>511</v>
      </c>
      <c r="AT2">
        <v>1</v>
      </c>
    </row>
    <row r="3" spans="1:4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L3" s="1" t="s">
        <v>11</v>
      </c>
      <c r="M3" t="s">
        <v>519</v>
      </c>
      <c r="N3" s="2">
        <f t="shared" ref="N3:N12" si="0">P3*3+Q3</f>
        <v>18</v>
      </c>
      <c r="O3">
        <v>9</v>
      </c>
      <c r="P3">
        <v>6</v>
      </c>
      <c r="Q3">
        <v>0</v>
      </c>
      <c r="R3">
        <f>O3-P3-Q3</f>
        <v>3</v>
      </c>
      <c r="S3">
        <v>17</v>
      </c>
      <c r="T3">
        <v>13</v>
      </c>
      <c r="U3">
        <f>S3-T3</f>
        <v>4</v>
      </c>
      <c r="W3" t="s">
        <v>1</v>
      </c>
      <c r="X3" t="s">
        <v>2</v>
      </c>
      <c r="Y3" t="s">
        <v>3</v>
      </c>
      <c r="Z3" t="s">
        <v>4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H3" t="s">
        <v>1</v>
      </c>
      <c r="AI3" t="s">
        <v>2</v>
      </c>
      <c r="AJ3" t="s">
        <v>3</v>
      </c>
      <c r="AK3" t="s">
        <v>4</v>
      </c>
      <c r="AL3" t="s">
        <v>5</v>
      </c>
      <c r="AM3" t="s">
        <v>6</v>
      </c>
      <c r="AN3" t="s">
        <v>7</v>
      </c>
      <c r="AO3" t="s">
        <v>8</v>
      </c>
      <c r="AP3" t="s">
        <v>9</v>
      </c>
      <c r="AQ3" t="s">
        <v>10</v>
      </c>
      <c r="AS3" t="s">
        <v>526</v>
      </c>
      <c r="AT3">
        <v>2</v>
      </c>
    </row>
    <row r="4" spans="1:46" x14ac:dyDescent="0.3">
      <c r="A4" s="1" t="s">
        <v>11</v>
      </c>
      <c r="B4" t="s">
        <v>510</v>
      </c>
      <c r="C4" s="2">
        <f t="shared" ref="C4:C9" si="1">E4*3+F4</f>
        <v>13</v>
      </c>
      <c r="D4">
        <v>6</v>
      </c>
      <c r="E4">
        <v>4</v>
      </c>
      <c r="F4">
        <v>1</v>
      </c>
      <c r="G4">
        <f t="shared" ref="G4:G9" si="2">D4-E4-F4</f>
        <v>1</v>
      </c>
      <c r="H4">
        <v>14</v>
      </c>
      <c r="I4">
        <v>10</v>
      </c>
      <c r="J4">
        <f t="shared" ref="J4:J9" si="3">H4-I4</f>
        <v>4</v>
      </c>
      <c r="L4" s="1" t="s">
        <v>13</v>
      </c>
      <c r="M4" t="s">
        <v>523</v>
      </c>
      <c r="N4" s="2">
        <f t="shared" si="0"/>
        <v>15</v>
      </c>
      <c r="O4">
        <v>9</v>
      </c>
      <c r="P4">
        <v>5</v>
      </c>
      <c r="Q4">
        <v>0</v>
      </c>
      <c r="R4">
        <f t="shared" ref="R4:R12" si="4">O4-P4-Q4</f>
        <v>4</v>
      </c>
      <c r="S4">
        <v>18</v>
      </c>
      <c r="T4">
        <v>13</v>
      </c>
      <c r="U4">
        <f t="shared" ref="U4:U12" si="5">S4-T4</f>
        <v>5</v>
      </c>
      <c r="W4" s="1" t="s">
        <v>11</v>
      </c>
      <c r="X4" t="s">
        <v>530</v>
      </c>
      <c r="Y4" s="2">
        <f>AA4*3+AB4</f>
        <v>9</v>
      </c>
      <c r="Z4">
        <v>6</v>
      </c>
      <c r="AA4">
        <v>2</v>
      </c>
      <c r="AB4">
        <v>3</v>
      </c>
      <c r="AC4">
        <f>Z4-AA4-AB4</f>
        <v>1</v>
      </c>
      <c r="AD4">
        <v>12</v>
      </c>
      <c r="AE4">
        <v>10</v>
      </c>
      <c r="AF4">
        <f>AD4-AE4</f>
        <v>2</v>
      </c>
      <c r="AH4" s="1" t="s">
        <v>11</v>
      </c>
      <c r="AI4" t="s">
        <v>523</v>
      </c>
      <c r="AJ4" s="2">
        <f t="shared" ref="AJ4:AJ9" si="6">AL4*3+AM4</f>
        <v>10</v>
      </c>
      <c r="AK4">
        <v>5</v>
      </c>
      <c r="AL4">
        <v>3</v>
      </c>
      <c r="AM4">
        <v>1</v>
      </c>
      <c r="AN4">
        <f>AK4-AL4-AM4</f>
        <v>1</v>
      </c>
      <c r="AO4">
        <v>8</v>
      </c>
      <c r="AP4">
        <v>6</v>
      </c>
      <c r="AQ4">
        <f>AO4-AP4</f>
        <v>2</v>
      </c>
      <c r="AS4" t="s">
        <v>525</v>
      </c>
      <c r="AT4">
        <v>1</v>
      </c>
    </row>
    <row r="5" spans="1:46" x14ac:dyDescent="0.3">
      <c r="A5" s="1" t="s">
        <v>13</v>
      </c>
      <c r="B5" t="s">
        <v>513</v>
      </c>
      <c r="C5" s="2">
        <f t="shared" si="1"/>
        <v>10</v>
      </c>
      <c r="D5">
        <v>6</v>
      </c>
      <c r="E5">
        <v>3</v>
      </c>
      <c r="F5">
        <v>1</v>
      </c>
      <c r="G5">
        <f t="shared" si="2"/>
        <v>2</v>
      </c>
      <c r="H5">
        <v>10</v>
      </c>
      <c r="I5">
        <v>7</v>
      </c>
      <c r="J5">
        <f t="shared" si="3"/>
        <v>3</v>
      </c>
      <c r="L5" s="1" t="s">
        <v>15</v>
      </c>
      <c r="M5" t="s">
        <v>508</v>
      </c>
      <c r="N5" s="2">
        <f t="shared" si="0"/>
        <v>15</v>
      </c>
      <c r="O5">
        <v>9</v>
      </c>
      <c r="P5">
        <v>5</v>
      </c>
      <c r="Q5">
        <v>0</v>
      </c>
      <c r="R5">
        <f t="shared" si="4"/>
        <v>4</v>
      </c>
      <c r="S5">
        <v>15</v>
      </c>
      <c r="T5">
        <v>11</v>
      </c>
      <c r="U5">
        <f t="shared" si="5"/>
        <v>4</v>
      </c>
      <c r="W5" s="1" t="s">
        <v>13</v>
      </c>
      <c r="X5" t="s">
        <v>525</v>
      </c>
      <c r="Y5" s="2">
        <f>AA5*3+AB5</f>
        <v>8</v>
      </c>
      <c r="Z5">
        <v>6</v>
      </c>
      <c r="AA5">
        <v>2</v>
      </c>
      <c r="AB5">
        <v>2</v>
      </c>
      <c r="AC5">
        <f t="shared" ref="AC5:AC7" si="7">Z5-AA5-AB5</f>
        <v>2</v>
      </c>
      <c r="AD5">
        <v>13</v>
      </c>
      <c r="AE5">
        <v>13</v>
      </c>
      <c r="AF5">
        <f t="shared" ref="AF5:AF7" si="8">AD5-AE5</f>
        <v>0</v>
      </c>
      <c r="AH5" s="1" t="s">
        <v>13</v>
      </c>
      <c r="AI5" t="s">
        <v>508</v>
      </c>
      <c r="AJ5" s="2">
        <f t="shared" si="6"/>
        <v>10</v>
      </c>
      <c r="AK5">
        <v>5</v>
      </c>
      <c r="AL5">
        <v>3</v>
      </c>
      <c r="AM5">
        <v>1</v>
      </c>
      <c r="AN5">
        <f t="shared" ref="AN5:AN9" si="9">AK5-AL5-AM5</f>
        <v>1</v>
      </c>
      <c r="AO5">
        <v>5</v>
      </c>
      <c r="AP5">
        <v>3</v>
      </c>
      <c r="AQ5">
        <f t="shared" ref="AQ5:AQ9" si="10">AO5-AP5</f>
        <v>2</v>
      </c>
      <c r="AS5" t="s">
        <v>508</v>
      </c>
      <c r="AT5">
        <v>1</v>
      </c>
    </row>
    <row r="6" spans="1:46" x14ac:dyDescent="0.3">
      <c r="A6" s="1" t="s">
        <v>15</v>
      </c>
      <c r="B6" t="s">
        <v>503</v>
      </c>
      <c r="C6" s="2">
        <f t="shared" si="1"/>
        <v>9</v>
      </c>
      <c r="D6">
        <v>6</v>
      </c>
      <c r="E6">
        <v>3</v>
      </c>
      <c r="F6">
        <v>0</v>
      </c>
      <c r="G6">
        <f t="shared" si="2"/>
        <v>3</v>
      </c>
      <c r="H6">
        <v>9</v>
      </c>
      <c r="I6">
        <v>10</v>
      </c>
      <c r="J6">
        <f t="shared" si="3"/>
        <v>-1</v>
      </c>
      <c r="L6" s="1" t="s">
        <v>17</v>
      </c>
      <c r="M6" t="s">
        <v>522</v>
      </c>
      <c r="N6" s="2">
        <f t="shared" si="0"/>
        <v>15</v>
      </c>
      <c r="O6">
        <v>9</v>
      </c>
      <c r="P6">
        <v>5</v>
      </c>
      <c r="Q6">
        <v>0</v>
      </c>
      <c r="R6">
        <f t="shared" si="4"/>
        <v>4</v>
      </c>
      <c r="S6">
        <v>11</v>
      </c>
      <c r="T6">
        <v>14</v>
      </c>
      <c r="U6">
        <f t="shared" si="5"/>
        <v>-3</v>
      </c>
      <c r="W6" s="1" t="s">
        <v>15</v>
      </c>
      <c r="X6" t="s">
        <v>529</v>
      </c>
      <c r="Y6" s="2">
        <f>AA6*3+AB6</f>
        <v>8</v>
      </c>
      <c r="Z6">
        <v>6</v>
      </c>
      <c r="AA6">
        <v>2</v>
      </c>
      <c r="AB6">
        <v>2</v>
      </c>
      <c r="AC6">
        <f t="shared" si="7"/>
        <v>2</v>
      </c>
      <c r="AD6">
        <v>13</v>
      </c>
      <c r="AE6">
        <v>13</v>
      </c>
      <c r="AF6">
        <f t="shared" si="8"/>
        <v>0</v>
      </c>
      <c r="AH6" s="1" t="s">
        <v>15</v>
      </c>
      <c r="AI6" t="s">
        <v>14</v>
      </c>
      <c r="AJ6" s="2">
        <f t="shared" si="6"/>
        <v>9</v>
      </c>
      <c r="AK6">
        <v>5</v>
      </c>
      <c r="AL6">
        <v>3</v>
      </c>
      <c r="AM6">
        <v>0</v>
      </c>
      <c r="AN6">
        <f t="shared" si="9"/>
        <v>2</v>
      </c>
      <c r="AO6">
        <v>7</v>
      </c>
      <c r="AP6">
        <v>6</v>
      </c>
      <c r="AQ6">
        <f t="shared" si="10"/>
        <v>1</v>
      </c>
    </row>
    <row r="7" spans="1:46" x14ac:dyDescent="0.3">
      <c r="A7" s="1" t="s">
        <v>17</v>
      </c>
      <c r="B7" t="s">
        <v>515</v>
      </c>
      <c r="C7" s="2">
        <f t="shared" si="1"/>
        <v>9</v>
      </c>
      <c r="D7">
        <v>6</v>
      </c>
      <c r="E7">
        <v>3</v>
      </c>
      <c r="F7">
        <v>0</v>
      </c>
      <c r="G7">
        <f t="shared" si="2"/>
        <v>3</v>
      </c>
      <c r="H7">
        <v>8</v>
      </c>
      <c r="I7">
        <v>9</v>
      </c>
      <c r="J7">
        <f t="shared" si="3"/>
        <v>-1</v>
      </c>
      <c r="L7" s="1" t="s">
        <v>19</v>
      </c>
      <c r="M7" t="s">
        <v>520</v>
      </c>
      <c r="N7" s="2">
        <f t="shared" si="0"/>
        <v>12</v>
      </c>
      <c r="O7">
        <v>9</v>
      </c>
      <c r="P7">
        <v>4</v>
      </c>
      <c r="Q7">
        <v>0</v>
      </c>
      <c r="R7">
        <f t="shared" si="4"/>
        <v>5</v>
      </c>
      <c r="S7">
        <v>16</v>
      </c>
      <c r="T7">
        <v>13</v>
      </c>
      <c r="U7">
        <f t="shared" si="5"/>
        <v>3</v>
      </c>
      <c r="W7" t="s">
        <v>17</v>
      </c>
      <c r="X7" t="s">
        <v>528</v>
      </c>
      <c r="Y7" s="2">
        <f>AA7*3+AB7</f>
        <v>7</v>
      </c>
      <c r="Z7">
        <v>6</v>
      </c>
      <c r="AA7">
        <v>2</v>
      </c>
      <c r="AB7">
        <v>1</v>
      </c>
      <c r="AC7">
        <f t="shared" si="7"/>
        <v>3</v>
      </c>
      <c r="AD7">
        <v>7</v>
      </c>
      <c r="AE7">
        <v>9</v>
      </c>
      <c r="AF7">
        <f t="shared" si="8"/>
        <v>-2</v>
      </c>
      <c r="AH7" s="1" t="s">
        <v>17</v>
      </c>
      <c r="AI7" t="s">
        <v>512</v>
      </c>
      <c r="AJ7" s="2">
        <f t="shared" si="6"/>
        <v>6</v>
      </c>
      <c r="AK7">
        <v>5</v>
      </c>
      <c r="AL7">
        <v>2</v>
      </c>
      <c r="AM7">
        <v>0</v>
      </c>
      <c r="AN7">
        <f t="shared" si="9"/>
        <v>3</v>
      </c>
      <c r="AO7">
        <v>5</v>
      </c>
      <c r="AP7">
        <v>6</v>
      </c>
      <c r="AQ7">
        <f t="shared" si="10"/>
        <v>-1</v>
      </c>
    </row>
    <row r="8" spans="1:46" x14ac:dyDescent="0.3">
      <c r="A8" s="6" t="s">
        <v>19</v>
      </c>
      <c r="B8" t="s">
        <v>506</v>
      </c>
      <c r="C8" s="2">
        <f t="shared" si="1"/>
        <v>7</v>
      </c>
      <c r="D8">
        <v>6</v>
      </c>
      <c r="E8">
        <v>2</v>
      </c>
      <c r="F8">
        <v>1</v>
      </c>
      <c r="G8">
        <f t="shared" si="2"/>
        <v>3</v>
      </c>
      <c r="H8">
        <v>5</v>
      </c>
      <c r="I8">
        <v>6</v>
      </c>
      <c r="J8">
        <f t="shared" si="3"/>
        <v>-1</v>
      </c>
      <c r="L8" s="1" t="s">
        <v>21</v>
      </c>
      <c r="M8" t="s">
        <v>521</v>
      </c>
      <c r="N8" s="2">
        <f t="shared" si="0"/>
        <v>12</v>
      </c>
      <c r="O8">
        <v>9</v>
      </c>
      <c r="P8">
        <v>4</v>
      </c>
      <c r="Q8">
        <v>0</v>
      </c>
      <c r="R8">
        <f t="shared" si="4"/>
        <v>5</v>
      </c>
      <c r="S8">
        <v>14</v>
      </c>
      <c r="T8">
        <v>14</v>
      </c>
      <c r="U8">
        <f t="shared" si="5"/>
        <v>0</v>
      </c>
      <c r="AH8" t="s">
        <v>19</v>
      </c>
      <c r="AI8" t="s">
        <v>505</v>
      </c>
      <c r="AJ8" s="2">
        <f t="shared" si="6"/>
        <v>6</v>
      </c>
      <c r="AK8">
        <v>5</v>
      </c>
      <c r="AL8">
        <v>2</v>
      </c>
      <c r="AM8">
        <v>0</v>
      </c>
      <c r="AN8">
        <f>AK8-AL8-AM8</f>
        <v>3</v>
      </c>
      <c r="AO8">
        <v>4</v>
      </c>
      <c r="AP8">
        <v>5</v>
      </c>
      <c r="AQ8">
        <f>AO8-AP8</f>
        <v>-1</v>
      </c>
    </row>
    <row r="9" spans="1:46" x14ac:dyDescent="0.3">
      <c r="A9" s="6" t="s">
        <v>21</v>
      </c>
      <c r="B9" t="s">
        <v>509</v>
      </c>
      <c r="C9" s="2">
        <f t="shared" si="1"/>
        <v>6</v>
      </c>
      <c r="D9">
        <v>6</v>
      </c>
      <c r="E9">
        <v>2</v>
      </c>
      <c r="F9">
        <v>0</v>
      </c>
      <c r="G9">
        <f t="shared" si="2"/>
        <v>4</v>
      </c>
      <c r="H9">
        <v>5</v>
      </c>
      <c r="I9">
        <v>9</v>
      </c>
      <c r="J9">
        <f t="shared" si="3"/>
        <v>-4</v>
      </c>
      <c r="L9" s="1" t="s">
        <v>23</v>
      </c>
      <c r="M9" t="s">
        <v>526</v>
      </c>
      <c r="N9" s="2">
        <f t="shared" si="0"/>
        <v>12</v>
      </c>
      <c r="O9">
        <v>9</v>
      </c>
      <c r="P9">
        <v>4</v>
      </c>
      <c r="Q9">
        <v>0</v>
      </c>
      <c r="R9">
        <f>O9-P9-Q9</f>
        <v>5</v>
      </c>
      <c r="S9">
        <v>13</v>
      </c>
      <c r="T9">
        <v>14</v>
      </c>
      <c r="U9">
        <f>S9-T9</f>
        <v>-1</v>
      </c>
      <c r="W9" t="s">
        <v>73</v>
      </c>
      <c r="AH9" t="s">
        <v>21</v>
      </c>
      <c r="AI9" t="s">
        <v>83</v>
      </c>
      <c r="AJ9" s="2">
        <f t="shared" si="6"/>
        <v>3</v>
      </c>
      <c r="AK9">
        <v>5</v>
      </c>
      <c r="AL9">
        <v>1</v>
      </c>
      <c r="AM9">
        <v>0</v>
      </c>
      <c r="AN9">
        <f t="shared" si="9"/>
        <v>4</v>
      </c>
      <c r="AO9">
        <v>3</v>
      </c>
      <c r="AP9">
        <v>6</v>
      </c>
      <c r="AQ9">
        <f t="shared" si="10"/>
        <v>-3</v>
      </c>
    </row>
    <row r="10" spans="1:46" x14ac:dyDescent="0.3">
      <c r="L10" s="1" t="s">
        <v>25</v>
      </c>
      <c r="M10" t="s">
        <v>83</v>
      </c>
      <c r="N10" s="2">
        <f t="shared" si="0"/>
        <v>12</v>
      </c>
      <c r="O10">
        <v>9</v>
      </c>
      <c r="P10">
        <v>4</v>
      </c>
      <c r="Q10">
        <v>0</v>
      </c>
      <c r="R10">
        <f t="shared" si="4"/>
        <v>5</v>
      </c>
      <c r="S10">
        <v>15</v>
      </c>
      <c r="T10">
        <v>18</v>
      </c>
      <c r="U10">
        <f t="shared" si="5"/>
        <v>-3</v>
      </c>
      <c r="W10" t="s">
        <v>1</v>
      </c>
      <c r="X10" t="s">
        <v>2</v>
      </c>
      <c r="Y10" t="s">
        <v>3</v>
      </c>
      <c r="Z10" t="s">
        <v>4</v>
      </c>
      <c r="AA10" t="s">
        <v>5</v>
      </c>
      <c r="AB10" t="s">
        <v>6</v>
      </c>
      <c r="AC10" t="s">
        <v>7</v>
      </c>
      <c r="AD10" t="s">
        <v>8</v>
      </c>
      <c r="AE10" t="s">
        <v>9</v>
      </c>
      <c r="AF10" t="s">
        <v>10</v>
      </c>
    </row>
    <row r="11" spans="1:46" x14ac:dyDescent="0.3">
      <c r="A11" t="s">
        <v>73</v>
      </c>
      <c r="L11" s="3" t="s">
        <v>66</v>
      </c>
      <c r="M11" t="s">
        <v>507</v>
      </c>
      <c r="N11" s="2">
        <f t="shared" si="0"/>
        <v>12</v>
      </c>
      <c r="O11">
        <v>9</v>
      </c>
      <c r="P11">
        <v>4</v>
      </c>
      <c r="Q11">
        <v>0</v>
      </c>
      <c r="R11">
        <f t="shared" si="4"/>
        <v>5</v>
      </c>
      <c r="S11">
        <v>9</v>
      </c>
      <c r="T11">
        <v>13</v>
      </c>
      <c r="U11">
        <f t="shared" si="5"/>
        <v>-4</v>
      </c>
      <c r="W11" s="1" t="s">
        <v>11</v>
      </c>
      <c r="X11" t="s">
        <v>534</v>
      </c>
      <c r="Y11" s="2">
        <f>AA11*3+AB11</f>
        <v>13</v>
      </c>
      <c r="Z11">
        <v>6</v>
      </c>
      <c r="AA11">
        <v>4</v>
      </c>
      <c r="AB11">
        <v>1</v>
      </c>
      <c r="AC11">
        <f>Z11-AA11-AB11</f>
        <v>1</v>
      </c>
      <c r="AD11">
        <v>11</v>
      </c>
      <c r="AE11">
        <v>4</v>
      </c>
      <c r="AF11">
        <f>AD11-AE11</f>
        <v>7</v>
      </c>
      <c r="AH11" t="s">
        <v>73</v>
      </c>
    </row>
    <row r="12" spans="1:46" x14ac:dyDescent="0.3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  <c r="L12" s="3" t="s">
        <v>137</v>
      </c>
      <c r="M12" t="s">
        <v>118</v>
      </c>
      <c r="N12" s="2">
        <f t="shared" si="0"/>
        <v>12</v>
      </c>
      <c r="O12">
        <v>9</v>
      </c>
      <c r="P12">
        <v>4</v>
      </c>
      <c r="Q12">
        <v>0</v>
      </c>
      <c r="R12">
        <f t="shared" si="4"/>
        <v>5</v>
      </c>
      <c r="S12">
        <v>14</v>
      </c>
      <c r="T12">
        <v>19</v>
      </c>
      <c r="U12">
        <f t="shared" si="5"/>
        <v>-5</v>
      </c>
      <c r="W12" s="1" t="s">
        <v>13</v>
      </c>
      <c r="X12" t="s">
        <v>524</v>
      </c>
      <c r="Y12" s="2">
        <f>AA12*3+AB12</f>
        <v>9</v>
      </c>
      <c r="Z12">
        <v>6</v>
      </c>
      <c r="AA12">
        <v>3</v>
      </c>
      <c r="AB12">
        <v>0</v>
      </c>
      <c r="AC12">
        <f t="shared" ref="AC12:AC14" si="11">Z12-AA12-AB12</f>
        <v>3</v>
      </c>
      <c r="AD12">
        <v>5</v>
      </c>
      <c r="AE12">
        <v>6</v>
      </c>
      <c r="AF12">
        <f t="shared" ref="AF12:AF14" si="12">AD12-AE12</f>
        <v>-1</v>
      </c>
      <c r="AH12" t="s">
        <v>1</v>
      </c>
      <c r="AI12" t="s">
        <v>2</v>
      </c>
      <c r="AJ12" t="s">
        <v>3</v>
      </c>
      <c r="AK12" t="s">
        <v>4</v>
      </c>
      <c r="AL12" t="s">
        <v>5</v>
      </c>
      <c r="AM12" t="s">
        <v>6</v>
      </c>
      <c r="AN12" t="s">
        <v>7</v>
      </c>
      <c r="AO12" t="s">
        <v>8</v>
      </c>
      <c r="AP12" t="s">
        <v>9</v>
      </c>
      <c r="AQ12" t="s">
        <v>10</v>
      </c>
    </row>
    <row r="13" spans="1:46" x14ac:dyDescent="0.3">
      <c r="A13" s="1" t="s">
        <v>11</v>
      </c>
      <c r="B13" t="s">
        <v>511</v>
      </c>
      <c r="C13" s="2">
        <f t="shared" ref="C13:C18" si="13">E13*3+F13</f>
        <v>10</v>
      </c>
      <c r="D13">
        <v>6</v>
      </c>
      <c r="E13">
        <v>3</v>
      </c>
      <c r="F13">
        <v>1</v>
      </c>
      <c r="G13">
        <f t="shared" ref="G13:G18" si="14">D13-E13-F13</f>
        <v>2</v>
      </c>
      <c r="H13">
        <v>11</v>
      </c>
      <c r="I13">
        <v>5</v>
      </c>
      <c r="J13">
        <f t="shared" ref="J13:J18" si="15">H13-I13</f>
        <v>6</v>
      </c>
      <c r="W13" t="s">
        <v>15</v>
      </c>
      <c r="X13" t="s">
        <v>533</v>
      </c>
      <c r="Y13" s="2">
        <f>AA13*3+AB13</f>
        <v>7</v>
      </c>
      <c r="Z13">
        <v>6</v>
      </c>
      <c r="AA13">
        <v>2</v>
      </c>
      <c r="AB13">
        <v>1</v>
      </c>
      <c r="AC13">
        <f t="shared" si="11"/>
        <v>3</v>
      </c>
      <c r="AD13">
        <v>7</v>
      </c>
      <c r="AE13">
        <v>10</v>
      </c>
      <c r="AF13">
        <f t="shared" si="12"/>
        <v>-3</v>
      </c>
      <c r="AH13" s="1" t="s">
        <v>11</v>
      </c>
      <c r="AI13" t="s">
        <v>510</v>
      </c>
      <c r="AJ13" s="2">
        <f t="shared" ref="AJ13:AJ18" si="16">AL13*3+AM13</f>
        <v>11</v>
      </c>
      <c r="AK13">
        <v>5</v>
      </c>
      <c r="AL13">
        <v>3</v>
      </c>
      <c r="AM13">
        <v>2</v>
      </c>
      <c r="AN13">
        <f>AK13-AL13-AM13</f>
        <v>0</v>
      </c>
      <c r="AO13">
        <v>7</v>
      </c>
      <c r="AP13">
        <v>2</v>
      </c>
      <c r="AQ13">
        <f>AO13-AP13</f>
        <v>5</v>
      </c>
    </row>
    <row r="14" spans="1:46" x14ac:dyDescent="0.3">
      <c r="A14" s="1" t="s">
        <v>13</v>
      </c>
      <c r="B14" t="s">
        <v>99</v>
      </c>
      <c r="C14" s="2">
        <f t="shared" si="13"/>
        <v>10</v>
      </c>
      <c r="D14">
        <v>6</v>
      </c>
      <c r="E14">
        <v>3</v>
      </c>
      <c r="F14">
        <v>1</v>
      </c>
      <c r="G14">
        <f t="shared" si="14"/>
        <v>2</v>
      </c>
      <c r="H14">
        <v>7</v>
      </c>
      <c r="I14">
        <v>8</v>
      </c>
      <c r="J14">
        <f t="shared" si="15"/>
        <v>-1</v>
      </c>
      <c r="L14" t="s">
        <v>221</v>
      </c>
      <c r="W14" t="s">
        <v>17</v>
      </c>
      <c r="X14" t="s">
        <v>532</v>
      </c>
      <c r="Y14" s="2">
        <f>AA14*3+AB14</f>
        <v>6</v>
      </c>
      <c r="Z14">
        <v>6</v>
      </c>
      <c r="AA14">
        <v>2</v>
      </c>
      <c r="AB14">
        <v>0</v>
      </c>
      <c r="AC14">
        <f t="shared" si="11"/>
        <v>4</v>
      </c>
      <c r="AD14">
        <v>6</v>
      </c>
      <c r="AE14">
        <v>9</v>
      </c>
      <c r="AF14">
        <f t="shared" si="12"/>
        <v>-3</v>
      </c>
      <c r="AH14" s="1" t="s">
        <v>13</v>
      </c>
      <c r="AI14" t="s">
        <v>513</v>
      </c>
      <c r="AJ14" s="2">
        <f t="shared" si="16"/>
        <v>10</v>
      </c>
      <c r="AK14">
        <v>5</v>
      </c>
      <c r="AL14">
        <v>3</v>
      </c>
      <c r="AM14">
        <v>1</v>
      </c>
      <c r="AN14">
        <f t="shared" ref="AN14:AN16" si="17">AK14-AL14-AM14</f>
        <v>1</v>
      </c>
      <c r="AO14">
        <v>8</v>
      </c>
      <c r="AP14">
        <v>4</v>
      </c>
      <c r="AQ14">
        <f t="shared" ref="AQ14:AQ16" si="18">AO14-AP14</f>
        <v>4</v>
      </c>
    </row>
    <row r="15" spans="1:46" x14ac:dyDescent="0.3">
      <c r="A15" s="1" t="s">
        <v>15</v>
      </c>
      <c r="B15" t="s">
        <v>505</v>
      </c>
      <c r="C15" s="2">
        <f t="shared" si="13"/>
        <v>9</v>
      </c>
      <c r="D15">
        <v>6</v>
      </c>
      <c r="E15">
        <v>3</v>
      </c>
      <c r="F15">
        <v>0</v>
      </c>
      <c r="G15">
        <f t="shared" si="14"/>
        <v>3</v>
      </c>
      <c r="H15">
        <v>11</v>
      </c>
      <c r="I15">
        <v>9</v>
      </c>
      <c r="J15">
        <f t="shared" si="15"/>
        <v>2</v>
      </c>
      <c r="L15" t="str">
        <f>M10</f>
        <v>Nacional</v>
      </c>
      <c r="M15" t="s">
        <v>30</v>
      </c>
      <c r="N15" t="str">
        <f>M3</f>
        <v>Toledo</v>
      </c>
      <c r="P15" t="str">
        <f>M3</f>
        <v>Toledo</v>
      </c>
      <c r="Q15" t="s">
        <v>44</v>
      </c>
      <c r="R15" t="str">
        <f>M10</f>
        <v>Nacional</v>
      </c>
      <c r="AH15" s="1" t="s">
        <v>15</v>
      </c>
      <c r="AI15" t="s">
        <v>519</v>
      </c>
      <c r="AJ15" s="2">
        <f t="shared" si="16"/>
        <v>7</v>
      </c>
      <c r="AK15">
        <v>5</v>
      </c>
      <c r="AL15">
        <v>2</v>
      </c>
      <c r="AM15">
        <v>1</v>
      </c>
      <c r="AN15">
        <f t="shared" si="17"/>
        <v>2</v>
      </c>
      <c r="AO15">
        <v>4</v>
      </c>
      <c r="AP15">
        <v>2</v>
      </c>
      <c r="AQ15">
        <f t="shared" si="18"/>
        <v>2</v>
      </c>
    </row>
    <row r="16" spans="1:46" x14ac:dyDescent="0.3">
      <c r="A16" s="1" t="s">
        <v>17</v>
      </c>
      <c r="B16" t="s">
        <v>14</v>
      </c>
      <c r="C16" s="2">
        <f t="shared" si="13"/>
        <v>9</v>
      </c>
      <c r="D16">
        <v>6</v>
      </c>
      <c r="E16">
        <v>3</v>
      </c>
      <c r="F16">
        <v>0</v>
      </c>
      <c r="G16">
        <f t="shared" si="14"/>
        <v>3</v>
      </c>
      <c r="H16">
        <v>8</v>
      </c>
      <c r="I16">
        <v>8</v>
      </c>
      <c r="J16">
        <f t="shared" si="15"/>
        <v>0</v>
      </c>
      <c r="L16" t="str">
        <f>M9</f>
        <v>Grêmio Maringá</v>
      </c>
      <c r="M16" t="s">
        <v>65</v>
      </c>
      <c r="N16" t="str">
        <f>M4</f>
        <v>Patriotas</v>
      </c>
      <c r="P16" t="str">
        <f>M4</f>
        <v>Patriotas</v>
      </c>
      <c r="Q16" t="s">
        <v>44</v>
      </c>
      <c r="R16" t="str">
        <f>M9</f>
        <v>Grêmio Maringá</v>
      </c>
      <c r="W16" t="s">
        <v>254</v>
      </c>
      <c r="AH16" s="1" t="s">
        <v>17</v>
      </c>
      <c r="AI16" t="s">
        <v>520</v>
      </c>
      <c r="AJ16" s="2">
        <f t="shared" si="16"/>
        <v>6</v>
      </c>
      <c r="AK16">
        <v>5</v>
      </c>
      <c r="AL16">
        <v>2</v>
      </c>
      <c r="AM16">
        <v>0</v>
      </c>
      <c r="AN16">
        <f t="shared" si="17"/>
        <v>3</v>
      </c>
      <c r="AO16">
        <v>4</v>
      </c>
      <c r="AP16">
        <v>5</v>
      </c>
      <c r="AQ16">
        <f t="shared" si="18"/>
        <v>-1</v>
      </c>
    </row>
    <row r="17" spans="1:43" x14ac:dyDescent="0.3">
      <c r="A17" s="6" t="s">
        <v>19</v>
      </c>
      <c r="B17" t="s">
        <v>504</v>
      </c>
      <c r="C17" s="2">
        <f t="shared" si="13"/>
        <v>7</v>
      </c>
      <c r="D17">
        <v>6</v>
      </c>
      <c r="E17">
        <v>2</v>
      </c>
      <c r="F17">
        <v>1</v>
      </c>
      <c r="G17">
        <f t="shared" si="14"/>
        <v>3</v>
      </c>
      <c r="H17">
        <v>8</v>
      </c>
      <c r="I17">
        <v>8</v>
      </c>
      <c r="J17">
        <f t="shared" si="15"/>
        <v>0</v>
      </c>
      <c r="L17" t="str">
        <f>M8</f>
        <v>Batel</v>
      </c>
      <c r="M17" t="s">
        <v>43</v>
      </c>
      <c r="N17" t="str">
        <f>M5</f>
        <v>São Joseense</v>
      </c>
      <c r="P17" t="str">
        <f>M5</f>
        <v>São Joseense</v>
      </c>
      <c r="Q17" t="s">
        <v>28</v>
      </c>
      <c r="R17" t="str">
        <f>M8</f>
        <v>Batel</v>
      </c>
      <c r="W17" t="s">
        <v>1</v>
      </c>
      <c r="X17" t="s">
        <v>2</v>
      </c>
      <c r="Y17" t="s">
        <v>3</v>
      </c>
      <c r="Z17" t="s">
        <v>4</v>
      </c>
      <c r="AA17" t="s">
        <v>5</v>
      </c>
      <c r="AB17" t="s">
        <v>6</v>
      </c>
      <c r="AC17" t="s">
        <v>7</v>
      </c>
      <c r="AD17" t="s">
        <v>8</v>
      </c>
      <c r="AE17" t="s">
        <v>9</v>
      </c>
      <c r="AF17" t="s">
        <v>10</v>
      </c>
      <c r="AH17" t="s">
        <v>19</v>
      </c>
      <c r="AI17" t="s">
        <v>503</v>
      </c>
      <c r="AJ17" s="2">
        <f t="shared" si="16"/>
        <v>6</v>
      </c>
      <c r="AK17">
        <v>5</v>
      </c>
      <c r="AL17">
        <v>2</v>
      </c>
      <c r="AM17">
        <v>0</v>
      </c>
      <c r="AN17">
        <f>AK17-AL17-AM17</f>
        <v>3</v>
      </c>
      <c r="AO17">
        <v>6</v>
      </c>
      <c r="AP17">
        <v>9</v>
      </c>
      <c r="AQ17">
        <f>AO17-AP17</f>
        <v>-3</v>
      </c>
    </row>
    <row r="18" spans="1:43" x14ac:dyDescent="0.3">
      <c r="A18" s="6" t="s">
        <v>21</v>
      </c>
      <c r="B18" t="s">
        <v>512</v>
      </c>
      <c r="C18" s="2">
        <f t="shared" si="13"/>
        <v>6</v>
      </c>
      <c r="D18">
        <v>6</v>
      </c>
      <c r="E18">
        <v>2</v>
      </c>
      <c r="F18">
        <v>0</v>
      </c>
      <c r="G18">
        <f t="shared" si="14"/>
        <v>4</v>
      </c>
      <c r="H18">
        <v>6</v>
      </c>
      <c r="I18">
        <v>14</v>
      </c>
      <c r="J18">
        <f t="shared" si="15"/>
        <v>-8</v>
      </c>
      <c r="L18" t="str">
        <f>M7</f>
        <v>Laranja Mecânica</v>
      </c>
      <c r="M18" t="s">
        <v>57</v>
      </c>
      <c r="N18" t="str">
        <f>M6</f>
        <v>Prudentópolis</v>
      </c>
      <c r="P18" t="str">
        <f>M6</f>
        <v>Prudentópolis</v>
      </c>
      <c r="Q18" t="s">
        <v>36</v>
      </c>
      <c r="R18" t="str">
        <f>M7</f>
        <v>Laranja Mecânica</v>
      </c>
      <c r="W18" s="1" t="s">
        <v>11</v>
      </c>
      <c r="X18" t="s">
        <v>535</v>
      </c>
      <c r="Y18" s="2">
        <f>AA18*3+AB18</f>
        <v>10</v>
      </c>
      <c r="Z18">
        <v>6</v>
      </c>
      <c r="AA18">
        <v>3</v>
      </c>
      <c r="AB18">
        <v>1</v>
      </c>
      <c r="AC18">
        <f>Z18-AA18-AB18</f>
        <v>2</v>
      </c>
      <c r="AD18">
        <v>10</v>
      </c>
      <c r="AE18">
        <v>7</v>
      </c>
      <c r="AF18">
        <f>AD18-AE18</f>
        <v>3</v>
      </c>
      <c r="AH18" t="s">
        <v>21</v>
      </c>
      <c r="AI18" t="s">
        <v>521</v>
      </c>
      <c r="AJ18" s="2">
        <f t="shared" si="16"/>
        <v>3</v>
      </c>
      <c r="AK18">
        <v>5</v>
      </c>
      <c r="AL18">
        <v>1</v>
      </c>
      <c r="AM18">
        <v>0</v>
      </c>
      <c r="AN18">
        <f t="shared" ref="AN18" si="19">AK18-AL18-AM18</f>
        <v>4</v>
      </c>
      <c r="AO18">
        <v>1</v>
      </c>
      <c r="AP18">
        <v>8</v>
      </c>
      <c r="AQ18">
        <f t="shared" ref="AQ18" si="20">AO18-AP18</f>
        <v>-7</v>
      </c>
    </row>
    <row r="19" spans="1:43" x14ac:dyDescent="0.3">
      <c r="W19" s="1" t="s">
        <v>13</v>
      </c>
      <c r="X19" t="s">
        <v>536</v>
      </c>
      <c r="Y19" s="2">
        <f>AA19*3+AB19</f>
        <v>9</v>
      </c>
      <c r="Z19">
        <v>6</v>
      </c>
      <c r="AA19">
        <v>3</v>
      </c>
      <c r="AB19">
        <v>0</v>
      </c>
      <c r="AC19">
        <f t="shared" ref="AC19:AC21" si="21">Z19-AA19-AB19</f>
        <v>3</v>
      </c>
      <c r="AD19">
        <v>9</v>
      </c>
      <c r="AE19">
        <v>10</v>
      </c>
      <c r="AF19">
        <f t="shared" ref="AF19:AF21" si="22">AD19-AE19</f>
        <v>-1</v>
      </c>
    </row>
    <row r="20" spans="1:43" x14ac:dyDescent="0.3">
      <c r="A20" t="s">
        <v>221</v>
      </c>
      <c r="L20" t="s">
        <v>27</v>
      </c>
      <c r="W20" s="1" t="s">
        <v>15</v>
      </c>
      <c r="X20" t="s">
        <v>531</v>
      </c>
      <c r="Y20" s="2">
        <f>AA20*3+AB20</f>
        <v>8</v>
      </c>
      <c r="Z20">
        <v>6</v>
      </c>
      <c r="AA20">
        <v>2</v>
      </c>
      <c r="AB20">
        <v>2</v>
      </c>
      <c r="AC20">
        <f t="shared" si="21"/>
        <v>2</v>
      </c>
      <c r="AD20">
        <v>7</v>
      </c>
      <c r="AE20">
        <v>6</v>
      </c>
      <c r="AF20">
        <f t="shared" si="22"/>
        <v>1</v>
      </c>
      <c r="AH20" t="s">
        <v>221</v>
      </c>
    </row>
    <row r="21" spans="1:43" x14ac:dyDescent="0.3">
      <c r="A21" t="str">
        <f>B7</f>
        <v>Araucária</v>
      </c>
      <c r="B21" t="s">
        <v>36</v>
      </c>
      <c r="C21" t="str">
        <f>B4</f>
        <v>Cianorte</v>
      </c>
      <c r="E21" t="str">
        <f>B4</f>
        <v>Cianorte</v>
      </c>
      <c r="F21" t="s">
        <v>69</v>
      </c>
      <c r="G21" t="str">
        <f>B7</f>
        <v>Araucária</v>
      </c>
      <c r="L21" t="s">
        <v>83</v>
      </c>
      <c r="M21" t="s">
        <v>57</v>
      </c>
      <c r="N21" t="s">
        <v>526</v>
      </c>
      <c r="P21" t="s">
        <v>526</v>
      </c>
      <c r="Q21" t="s">
        <v>314</v>
      </c>
      <c r="R21" t="s">
        <v>83</v>
      </c>
      <c r="W21" t="s">
        <v>17</v>
      </c>
      <c r="X21" t="s">
        <v>537</v>
      </c>
      <c r="Y21" s="2">
        <f>AA21*3+AB21</f>
        <v>7</v>
      </c>
      <c r="Z21">
        <v>6</v>
      </c>
      <c r="AA21">
        <v>2</v>
      </c>
      <c r="AB21">
        <v>1</v>
      </c>
      <c r="AC21">
        <f t="shared" si="21"/>
        <v>3</v>
      </c>
      <c r="AD21">
        <v>8</v>
      </c>
      <c r="AE21">
        <v>11</v>
      </c>
      <c r="AF21">
        <f t="shared" si="22"/>
        <v>-3</v>
      </c>
      <c r="AH21" t="str">
        <f>AI16</f>
        <v>Laranja Mecânica</v>
      </c>
      <c r="AI21" t="s">
        <v>57</v>
      </c>
      <c r="AJ21" t="str">
        <f>AI4</f>
        <v>Patriotas</v>
      </c>
      <c r="AL21" t="str">
        <f>AI4</f>
        <v>Patriotas</v>
      </c>
      <c r="AM21" t="s">
        <v>30</v>
      </c>
      <c r="AN21" t="str">
        <f>AI16</f>
        <v>Laranja Mecânica</v>
      </c>
    </row>
    <row r="22" spans="1:43" x14ac:dyDescent="0.3">
      <c r="A22" t="str">
        <f>B6</f>
        <v>Cascavel</v>
      </c>
      <c r="B22" t="s">
        <v>57</v>
      </c>
      <c r="C22" t="str">
        <f>B5</f>
        <v>Coritiba</v>
      </c>
      <c r="E22" t="str">
        <f>B5</f>
        <v>Coritiba</v>
      </c>
      <c r="F22" t="s">
        <v>30</v>
      </c>
      <c r="G22" t="str">
        <f>B6</f>
        <v>Cascavel</v>
      </c>
      <c r="L22" t="s">
        <v>521</v>
      </c>
      <c r="M22" t="s">
        <v>28</v>
      </c>
      <c r="N22" t="s">
        <v>522</v>
      </c>
      <c r="P22" t="s">
        <v>522</v>
      </c>
      <c r="Q22" t="s">
        <v>44</v>
      </c>
      <c r="R22" t="s">
        <v>521</v>
      </c>
      <c r="AH22" t="str">
        <f>AI15</f>
        <v>Toledo</v>
      </c>
      <c r="AI22" t="s">
        <v>28</v>
      </c>
      <c r="AJ22" t="str">
        <f>AI5</f>
        <v>São Joseense</v>
      </c>
      <c r="AL22" t="str">
        <f>AI5</f>
        <v>São Joseense</v>
      </c>
      <c r="AM22" t="s">
        <v>444</v>
      </c>
      <c r="AN22" t="str">
        <f>AI15</f>
        <v>Toledo</v>
      </c>
    </row>
    <row r="23" spans="1:43" x14ac:dyDescent="0.3">
      <c r="A23" t="str">
        <f>B16</f>
        <v>Rio Branco</v>
      </c>
      <c r="B23" t="s">
        <v>74</v>
      </c>
      <c r="C23" t="str">
        <f>B13</f>
        <v>Galo Maringá</v>
      </c>
      <c r="E23" t="str">
        <f>B13</f>
        <v>Galo Maringá</v>
      </c>
      <c r="F23" t="s">
        <v>516</v>
      </c>
      <c r="G23" t="str">
        <f>B16</f>
        <v>Rio Branco</v>
      </c>
      <c r="W23" t="s">
        <v>221</v>
      </c>
      <c r="AH23" t="str">
        <f>AI14</f>
        <v>Coritiba</v>
      </c>
      <c r="AI23" t="s">
        <v>65</v>
      </c>
      <c r="AJ23" t="str">
        <f>AI6</f>
        <v>Rio Branco</v>
      </c>
      <c r="AL23" t="str">
        <f>AI6</f>
        <v>Rio Branco</v>
      </c>
      <c r="AM23" t="s">
        <v>44</v>
      </c>
      <c r="AN23" t="str">
        <f>AI14</f>
        <v>Coritiba</v>
      </c>
    </row>
    <row r="24" spans="1:43" x14ac:dyDescent="0.3">
      <c r="A24" t="str">
        <f>B15</f>
        <v>Athletico</v>
      </c>
      <c r="B24" t="s">
        <v>30</v>
      </c>
      <c r="C24" t="str">
        <f>B14</f>
        <v>Operário</v>
      </c>
      <c r="E24" t="str">
        <f>B14</f>
        <v>Operário</v>
      </c>
      <c r="F24" t="s">
        <v>44</v>
      </c>
      <c r="G24" t="str">
        <f>B15</f>
        <v>Athletico</v>
      </c>
      <c r="L24" t="s">
        <v>33</v>
      </c>
      <c r="W24" t="s">
        <v>529</v>
      </c>
      <c r="X24" t="s">
        <v>56</v>
      </c>
      <c r="Y24" t="s">
        <v>534</v>
      </c>
      <c r="AA24" t="s">
        <v>534</v>
      </c>
      <c r="AB24" t="s">
        <v>31</v>
      </c>
      <c r="AC24" t="s">
        <v>529</v>
      </c>
      <c r="AH24" t="str">
        <f>AI13</f>
        <v>Cianorte</v>
      </c>
      <c r="AI24" t="s">
        <v>29</v>
      </c>
      <c r="AJ24" t="str">
        <f>AI7</f>
        <v>Azuriz</v>
      </c>
      <c r="AL24" t="str">
        <f>AI7</f>
        <v>Azuriz</v>
      </c>
      <c r="AM24" t="s">
        <v>514</v>
      </c>
      <c r="AN24" t="str">
        <f>AI13</f>
        <v>Cianorte</v>
      </c>
    </row>
    <row r="25" spans="1:43" x14ac:dyDescent="0.3">
      <c r="L25" t="s">
        <v>526</v>
      </c>
      <c r="M25" t="s">
        <v>44</v>
      </c>
      <c r="N25" t="s">
        <v>522</v>
      </c>
      <c r="P25" t="s">
        <v>522</v>
      </c>
      <c r="Q25" t="s">
        <v>303</v>
      </c>
      <c r="R25" t="s">
        <v>526</v>
      </c>
      <c r="W25" t="s">
        <v>525</v>
      </c>
      <c r="X25" t="s">
        <v>54</v>
      </c>
      <c r="Y25" t="s">
        <v>535</v>
      </c>
      <c r="AA25" t="s">
        <v>535</v>
      </c>
      <c r="AB25" t="s">
        <v>57</v>
      </c>
      <c r="AC25" t="s">
        <v>525</v>
      </c>
    </row>
    <row r="26" spans="1:43" x14ac:dyDescent="0.3">
      <c r="A26" t="s">
        <v>27</v>
      </c>
      <c r="W26" t="s">
        <v>531</v>
      </c>
      <c r="X26" t="s">
        <v>65</v>
      </c>
      <c r="Y26" t="s">
        <v>530</v>
      </c>
      <c r="AA26" t="s">
        <v>530</v>
      </c>
      <c r="AB26" t="s">
        <v>54</v>
      </c>
      <c r="AC26" t="s">
        <v>531</v>
      </c>
      <c r="AH26" t="s">
        <v>27</v>
      </c>
    </row>
    <row r="27" spans="1:43" x14ac:dyDescent="0.3">
      <c r="A27" t="s">
        <v>513</v>
      </c>
      <c r="B27" t="s">
        <v>30</v>
      </c>
      <c r="C27" t="s">
        <v>515</v>
      </c>
      <c r="E27" t="s">
        <v>515</v>
      </c>
      <c r="F27" t="s">
        <v>69</v>
      </c>
      <c r="G27" t="s">
        <v>513</v>
      </c>
      <c r="W27" t="s">
        <v>524</v>
      </c>
      <c r="X27" t="s">
        <v>36</v>
      </c>
      <c r="Y27" t="s">
        <v>536</v>
      </c>
      <c r="AA27" t="s">
        <v>536</v>
      </c>
      <c r="AB27" t="s">
        <v>30</v>
      </c>
      <c r="AC27" t="s">
        <v>524</v>
      </c>
      <c r="AH27" t="s">
        <v>513</v>
      </c>
      <c r="AI27" t="s">
        <v>31</v>
      </c>
      <c r="AJ27" t="s">
        <v>523</v>
      </c>
      <c r="AL27" t="s">
        <v>523</v>
      </c>
      <c r="AM27" t="s">
        <v>44</v>
      </c>
      <c r="AN27" t="s">
        <v>513</v>
      </c>
    </row>
    <row r="28" spans="1:43" x14ac:dyDescent="0.3">
      <c r="A28" t="s">
        <v>505</v>
      </c>
      <c r="B28" t="s">
        <v>44</v>
      </c>
      <c r="C28" t="s">
        <v>511</v>
      </c>
      <c r="E28" t="s">
        <v>511</v>
      </c>
      <c r="F28" t="s">
        <v>30</v>
      </c>
      <c r="G28" t="s">
        <v>505</v>
      </c>
      <c r="AH28" t="s">
        <v>512</v>
      </c>
      <c r="AI28" t="s">
        <v>28</v>
      </c>
      <c r="AJ28" t="s">
        <v>508</v>
      </c>
      <c r="AL28" t="s">
        <v>508</v>
      </c>
      <c r="AM28" t="s">
        <v>36</v>
      </c>
      <c r="AN28" t="s">
        <v>512</v>
      </c>
    </row>
    <row r="29" spans="1:43" x14ac:dyDescent="0.3">
      <c r="W29" t="s">
        <v>27</v>
      </c>
    </row>
    <row r="30" spans="1:43" x14ac:dyDescent="0.3">
      <c r="A30" t="s">
        <v>33</v>
      </c>
      <c r="W30" t="s">
        <v>524</v>
      </c>
      <c r="X30" t="s">
        <v>69</v>
      </c>
      <c r="Y30" t="s">
        <v>534</v>
      </c>
      <c r="AA30" t="s">
        <v>534</v>
      </c>
      <c r="AB30" t="s">
        <v>30</v>
      </c>
      <c r="AC30" t="s">
        <v>524</v>
      </c>
      <c r="AH30" t="s">
        <v>33</v>
      </c>
    </row>
    <row r="31" spans="1:43" x14ac:dyDescent="0.3">
      <c r="A31" t="s">
        <v>511</v>
      </c>
      <c r="B31" t="s">
        <v>36</v>
      </c>
      <c r="C31" t="s">
        <v>513</v>
      </c>
      <c r="E31" t="s">
        <v>513</v>
      </c>
      <c r="F31" t="s">
        <v>386</v>
      </c>
      <c r="G31" t="s">
        <v>511</v>
      </c>
      <c r="W31" t="s">
        <v>530</v>
      </c>
      <c r="X31" t="s">
        <v>30</v>
      </c>
      <c r="Y31" t="s">
        <v>525</v>
      </c>
      <c r="AA31" t="s">
        <v>525</v>
      </c>
      <c r="AB31" t="s">
        <v>36</v>
      </c>
      <c r="AC31" t="s">
        <v>530</v>
      </c>
      <c r="AH31" t="s">
        <v>523</v>
      </c>
      <c r="AI31" t="s">
        <v>28</v>
      </c>
      <c r="AJ31" t="s">
        <v>508</v>
      </c>
      <c r="AL31" t="s">
        <v>508</v>
      </c>
      <c r="AM31" t="s">
        <v>30</v>
      </c>
      <c r="AN31" t="s">
        <v>523</v>
      </c>
    </row>
    <row r="33" spans="1:29" x14ac:dyDescent="0.3">
      <c r="A33" t="s">
        <v>517</v>
      </c>
      <c r="W33" t="s">
        <v>33</v>
      </c>
    </row>
    <row r="34" spans="1:29" x14ac:dyDescent="0.3">
      <c r="A34" t="s">
        <v>512</v>
      </c>
      <c r="B34" t="s">
        <v>28</v>
      </c>
      <c r="C34" t="s">
        <v>506</v>
      </c>
      <c r="E34" t="s">
        <v>506</v>
      </c>
      <c r="F34" t="s">
        <v>43</v>
      </c>
      <c r="G34" t="s">
        <v>512</v>
      </c>
      <c r="W34" t="s">
        <v>525</v>
      </c>
      <c r="X34" t="s">
        <v>30</v>
      </c>
      <c r="Y34" t="s">
        <v>534</v>
      </c>
      <c r="AA34" t="s">
        <v>534</v>
      </c>
      <c r="AB34" t="s">
        <v>57</v>
      </c>
      <c r="AC34" t="s">
        <v>525</v>
      </c>
    </row>
    <row r="35" spans="1:29" x14ac:dyDescent="0.3">
      <c r="A35" t="s">
        <v>509</v>
      </c>
      <c r="B35" t="s">
        <v>44</v>
      </c>
      <c r="C35" t="s">
        <v>504</v>
      </c>
      <c r="E35" t="s">
        <v>504</v>
      </c>
      <c r="F35" t="s">
        <v>30</v>
      </c>
      <c r="G35" t="s">
        <v>509</v>
      </c>
    </row>
    <row r="37" spans="1:29" x14ac:dyDescent="0.3">
      <c r="A37" t="s">
        <v>38</v>
      </c>
    </row>
    <row r="38" spans="1:29" x14ac:dyDescent="0.3">
      <c r="A38" t="s">
        <v>511</v>
      </c>
    </row>
    <row r="39" spans="1:29" x14ac:dyDescent="0.3">
      <c r="A39" t="s">
        <v>515</v>
      </c>
    </row>
    <row r="40" spans="1:29" x14ac:dyDescent="0.3">
      <c r="A40" t="s">
        <v>510</v>
      </c>
    </row>
    <row r="42" spans="1:29" x14ac:dyDescent="0.3">
      <c r="A42" t="s">
        <v>39</v>
      </c>
    </row>
    <row r="43" spans="1:29" x14ac:dyDescent="0.3">
      <c r="A43" t="s">
        <v>511</v>
      </c>
    </row>
    <row r="44" spans="1:29" x14ac:dyDescent="0.3">
      <c r="A44" t="s">
        <v>513</v>
      </c>
    </row>
    <row r="45" spans="1:29" x14ac:dyDescent="0.3">
      <c r="A45" t="s">
        <v>515</v>
      </c>
    </row>
    <row r="46" spans="1:29" x14ac:dyDescent="0.3">
      <c r="A46" t="s">
        <v>505</v>
      </c>
    </row>
  </sheetData>
  <sortState xmlns:xlrd2="http://schemas.microsoft.com/office/spreadsheetml/2017/richdata2" ref="B13:J18">
    <sortCondition descending="1" ref="C13:C18"/>
    <sortCondition descending="1" ref="J13:J18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D2A6-F7F6-4ADA-B51A-A43F63ECB367}">
  <dimension ref="A1:BN59"/>
  <sheetViews>
    <sheetView workbookViewId="0">
      <selection activeCell="N3" sqref="N3:N10"/>
    </sheetView>
  </sheetViews>
  <sheetFormatPr defaultRowHeight="14.4" x14ac:dyDescent="0.3"/>
  <sheetData>
    <row r="1" spans="1:66" x14ac:dyDescent="0.3">
      <c r="A1" t="s">
        <v>539</v>
      </c>
      <c r="L1" t="s">
        <v>549</v>
      </c>
      <c r="W1" t="s">
        <v>560</v>
      </c>
      <c r="AH1" t="s">
        <v>571</v>
      </c>
      <c r="AS1" t="s">
        <v>579</v>
      </c>
      <c r="BD1" t="s">
        <v>597</v>
      </c>
      <c r="BM1" t="s">
        <v>70</v>
      </c>
    </row>
    <row r="2" spans="1:66" x14ac:dyDescent="0.3">
      <c r="A2" t="s">
        <v>72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1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H2" t="s">
        <v>1</v>
      </c>
      <c r="AI2" t="s">
        <v>2</v>
      </c>
      <c r="AJ2" t="s">
        <v>3</v>
      </c>
      <c r="AK2" t="s">
        <v>4</v>
      </c>
      <c r="AL2" t="s">
        <v>5</v>
      </c>
      <c r="AM2" t="s">
        <v>6</v>
      </c>
      <c r="AN2" t="s">
        <v>7</v>
      </c>
      <c r="AO2" t="s">
        <v>8</v>
      </c>
      <c r="AP2" t="s">
        <v>9</v>
      </c>
      <c r="AQ2" t="s">
        <v>10</v>
      </c>
      <c r="AS2" t="s">
        <v>72</v>
      </c>
      <c r="BD2" t="s">
        <v>86</v>
      </c>
      <c r="BM2" t="s">
        <v>547</v>
      </c>
      <c r="BN2">
        <v>1</v>
      </c>
    </row>
    <row r="3" spans="1:6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L3" s="1" t="s">
        <v>11</v>
      </c>
      <c r="M3" t="s">
        <v>139</v>
      </c>
      <c r="N3" s="2">
        <f t="shared" ref="N3:N14" si="0">P3*3+Q3</f>
        <v>27</v>
      </c>
      <c r="O3">
        <v>11</v>
      </c>
      <c r="P3">
        <v>9</v>
      </c>
      <c r="Q3">
        <v>0</v>
      </c>
      <c r="R3">
        <f>O3-P3-Q3</f>
        <v>2</v>
      </c>
      <c r="S3">
        <v>21</v>
      </c>
      <c r="T3">
        <v>9</v>
      </c>
      <c r="U3">
        <f>S3-T3</f>
        <v>12</v>
      </c>
      <c r="W3" s="1" t="s">
        <v>11</v>
      </c>
      <c r="X3" t="s">
        <v>558</v>
      </c>
      <c r="Y3" s="2">
        <f t="shared" ref="Y3:Y14" si="1">AA3*3+AB3</f>
        <v>27</v>
      </c>
      <c r="Z3">
        <v>11</v>
      </c>
      <c r="AA3">
        <v>9</v>
      </c>
      <c r="AB3">
        <v>0</v>
      </c>
      <c r="AC3">
        <f>Z3-AA3-AB3</f>
        <v>2</v>
      </c>
      <c r="AD3">
        <v>27</v>
      </c>
      <c r="AE3">
        <v>15</v>
      </c>
      <c r="AF3">
        <f>AD3-AE3</f>
        <v>12</v>
      </c>
      <c r="AH3" s="1" t="s">
        <v>11</v>
      </c>
      <c r="AI3" t="s">
        <v>567</v>
      </c>
      <c r="AJ3" s="2">
        <f t="shared" ref="AJ3:AJ12" si="2">AL3*3+AM3</f>
        <v>20</v>
      </c>
      <c r="AK3">
        <v>9</v>
      </c>
      <c r="AL3">
        <v>6</v>
      </c>
      <c r="AM3">
        <v>2</v>
      </c>
      <c r="AN3">
        <f>AK3-AL3-AM3</f>
        <v>1</v>
      </c>
      <c r="AO3">
        <v>21</v>
      </c>
      <c r="AP3">
        <v>14</v>
      </c>
      <c r="AQ3">
        <f>AO3-AP3</f>
        <v>7</v>
      </c>
      <c r="AS3" t="s">
        <v>1</v>
      </c>
      <c r="AT3" t="s">
        <v>2</v>
      </c>
      <c r="AU3" t="s">
        <v>3</v>
      </c>
      <c r="AV3" t="s">
        <v>4</v>
      </c>
      <c r="AW3" t="s">
        <v>5</v>
      </c>
      <c r="AX3" t="s">
        <v>6</v>
      </c>
      <c r="AY3" t="s">
        <v>7</v>
      </c>
      <c r="AZ3" t="s">
        <v>8</v>
      </c>
      <c r="BA3" t="s">
        <v>9</v>
      </c>
      <c r="BB3" t="s">
        <v>10</v>
      </c>
      <c r="BD3" t="s">
        <v>558</v>
      </c>
      <c r="BE3" t="s">
        <v>36</v>
      </c>
      <c r="BF3" t="s">
        <v>551</v>
      </c>
      <c r="BH3" t="s">
        <v>551</v>
      </c>
      <c r="BI3" t="s">
        <v>406</v>
      </c>
      <c r="BJ3" t="s">
        <v>558</v>
      </c>
      <c r="BM3" t="s">
        <v>553</v>
      </c>
      <c r="BN3">
        <v>1</v>
      </c>
    </row>
    <row r="4" spans="1:66" x14ac:dyDescent="0.3">
      <c r="A4" s="1" t="s">
        <v>11</v>
      </c>
      <c r="B4" t="s">
        <v>18</v>
      </c>
      <c r="C4" s="2">
        <f t="shared" ref="C4:C9" si="3">E4*3+F4</f>
        <v>16</v>
      </c>
      <c r="D4">
        <v>6</v>
      </c>
      <c r="E4">
        <v>5</v>
      </c>
      <c r="F4">
        <v>1</v>
      </c>
      <c r="G4">
        <f t="shared" ref="G4:G9" si="4">D4-E4-F4</f>
        <v>0</v>
      </c>
      <c r="H4">
        <v>18</v>
      </c>
      <c r="I4">
        <v>4</v>
      </c>
      <c r="J4">
        <f t="shared" ref="J4:J9" si="5">H4-I4</f>
        <v>14</v>
      </c>
      <c r="L4" s="1" t="s">
        <v>13</v>
      </c>
      <c r="M4" t="s">
        <v>557</v>
      </c>
      <c r="N4" s="2">
        <f t="shared" si="0"/>
        <v>22</v>
      </c>
      <c r="O4">
        <v>11</v>
      </c>
      <c r="P4">
        <v>7</v>
      </c>
      <c r="Q4">
        <v>1</v>
      </c>
      <c r="R4">
        <f t="shared" ref="R4:R14" si="6">O4-P4-Q4</f>
        <v>3</v>
      </c>
      <c r="S4">
        <v>22</v>
      </c>
      <c r="T4">
        <v>13</v>
      </c>
      <c r="U4">
        <f t="shared" ref="U4:U14" si="7">S4-T4</f>
        <v>9</v>
      </c>
      <c r="W4" s="1" t="s">
        <v>13</v>
      </c>
      <c r="X4" t="s">
        <v>363</v>
      </c>
      <c r="Y4" s="2">
        <f t="shared" si="1"/>
        <v>20</v>
      </c>
      <c r="Z4">
        <v>11</v>
      </c>
      <c r="AA4">
        <v>6</v>
      </c>
      <c r="AB4">
        <v>2</v>
      </c>
      <c r="AC4">
        <f t="shared" ref="AC4:AC14" si="8">Z4-AA4-AB4</f>
        <v>3</v>
      </c>
      <c r="AD4">
        <v>15</v>
      </c>
      <c r="AE4">
        <v>12</v>
      </c>
      <c r="AF4">
        <f t="shared" ref="AF4:AF14" si="9">AD4-AE4</f>
        <v>3</v>
      </c>
      <c r="AH4" s="1" t="s">
        <v>13</v>
      </c>
      <c r="AI4" t="s">
        <v>566</v>
      </c>
      <c r="AJ4" s="2">
        <f t="shared" si="2"/>
        <v>19</v>
      </c>
      <c r="AK4">
        <v>9</v>
      </c>
      <c r="AL4">
        <v>6</v>
      </c>
      <c r="AM4">
        <v>1</v>
      </c>
      <c r="AN4">
        <f t="shared" ref="AN4:AN12" si="10">AK4-AL4-AM4</f>
        <v>2</v>
      </c>
      <c r="AO4">
        <v>20</v>
      </c>
      <c r="AP4">
        <v>11</v>
      </c>
      <c r="AQ4">
        <f t="shared" ref="AQ4:AQ12" si="11">AO4-AP4</f>
        <v>9</v>
      </c>
      <c r="AS4" s="1" t="s">
        <v>11</v>
      </c>
      <c r="AT4" t="s">
        <v>586</v>
      </c>
      <c r="AU4" s="2">
        <f t="shared" ref="AU4:AU14" si="12">AW4*3+AX4</f>
        <v>22</v>
      </c>
      <c r="AV4">
        <v>11</v>
      </c>
      <c r="AW4">
        <v>6</v>
      </c>
      <c r="AX4">
        <v>4</v>
      </c>
      <c r="AY4">
        <f t="shared" ref="AY4:AY14" si="13">AV4-AW4-AX4</f>
        <v>1</v>
      </c>
      <c r="AZ4">
        <v>19</v>
      </c>
      <c r="BA4">
        <v>12</v>
      </c>
      <c r="BB4">
        <f t="shared" ref="BB4:BB14" si="14">AZ4-BA4</f>
        <v>7</v>
      </c>
      <c r="BD4" t="s">
        <v>557</v>
      </c>
      <c r="BE4" t="s">
        <v>65</v>
      </c>
      <c r="BF4" t="s">
        <v>550</v>
      </c>
      <c r="BH4" t="s">
        <v>550</v>
      </c>
      <c r="BI4" t="s">
        <v>44</v>
      </c>
      <c r="BJ4" t="s">
        <v>557</v>
      </c>
      <c r="BM4" t="s">
        <v>558</v>
      </c>
      <c r="BN4">
        <v>2</v>
      </c>
    </row>
    <row r="5" spans="1:66" x14ac:dyDescent="0.3">
      <c r="A5" s="1" t="s">
        <v>13</v>
      </c>
      <c r="B5" t="s">
        <v>542</v>
      </c>
      <c r="C5" s="2">
        <f t="shared" si="3"/>
        <v>12</v>
      </c>
      <c r="D5">
        <v>6</v>
      </c>
      <c r="E5">
        <v>4</v>
      </c>
      <c r="F5">
        <v>0</v>
      </c>
      <c r="G5">
        <f t="shared" si="4"/>
        <v>2</v>
      </c>
      <c r="H5">
        <v>10</v>
      </c>
      <c r="I5">
        <v>5</v>
      </c>
      <c r="J5">
        <f t="shared" si="5"/>
        <v>5</v>
      </c>
      <c r="L5" s="1" t="s">
        <v>15</v>
      </c>
      <c r="M5" t="s">
        <v>294</v>
      </c>
      <c r="N5" s="2">
        <f t="shared" si="0"/>
        <v>22</v>
      </c>
      <c r="O5">
        <v>11</v>
      </c>
      <c r="P5">
        <v>7</v>
      </c>
      <c r="Q5">
        <v>1</v>
      </c>
      <c r="R5">
        <f t="shared" si="6"/>
        <v>3</v>
      </c>
      <c r="S5">
        <v>21</v>
      </c>
      <c r="T5">
        <v>12</v>
      </c>
      <c r="U5">
        <f t="shared" si="7"/>
        <v>9</v>
      </c>
      <c r="W5" s="1" t="s">
        <v>15</v>
      </c>
      <c r="X5" t="s">
        <v>564</v>
      </c>
      <c r="Y5" s="2">
        <f t="shared" si="1"/>
        <v>18</v>
      </c>
      <c r="Z5">
        <v>11</v>
      </c>
      <c r="AA5">
        <v>6</v>
      </c>
      <c r="AB5">
        <v>0</v>
      </c>
      <c r="AC5">
        <f t="shared" si="8"/>
        <v>5</v>
      </c>
      <c r="AD5">
        <v>19</v>
      </c>
      <c r="AE5">
        <v>18</v>
      </c>
      <c r="AF5">
        <f t="shared" si="9"/>
        <v>1</v>
      </c>
      <c r="AH5" s="1" t="s">
        <v>15</v>
      </c>
      <c r="AI5" t="s">
        <v>593</v>
      </c>
      <c r="AJ5" s="2">
        <f t="shared" si="2"/>
        <v>14</v>
      </c>
      <c r="AK5">
        <v>9</v>
      </c>
      <c r="AL5">
        <v>4</v>
      </c>
      <c r="AM5">
        <v>2</v>
      </c>
      <c r="AN5">
        <f t="shared" si="10"/>
        <v>3</v>
      </c>
      <c r="AO5">
        <v>21</v>
      </c>
      <c r="AP5">
        <v>18</v>
      </c>
      <c r="AQ5">
        <f t="shared" si="11"/>
        <v>3</v>
      </c>
      <c r="AS5" s="1" t="s">
        <v>13</v>
      </c>
      <c r="AT5" t="s">
        <v>337</v>
      </c>
      <c r="AU5" s="2">
        <f t="shared" si="12"/>
        <v>20</v>
      </c>
      <c r="AV5">
        <v>11</v>
      </c>
      <c r="AW5">
        <v>6</v>
      </c>
      <c r="AX5">
        <v>2</v>
      </c>
      <c r="AY5">
        <f t="shared" si="13"/>
        <v>3</v>
      </c>
      <c r="AZ5">
        <v>19</v>
      </c>
      <c r="BA5">
        <v>14</v>
      </c>
      <c r="BB5">
        <f t="shared" si="14"/>
        <v>5</v>
      </c>
      <c r="BD5" t="s">
        <v>363</v>
      </c>
      <c r="BE5" t="s">
        <v>407</v>
      </c>
      <c r="BF5" t="s">
        <v>552</v>
      </c>
      <c r="BH5" t="s">
        <v>552</v>
      </c>
      <c r="BI5" t="s">
        <v>69</v>
      </c>
      <c r="BJ5" t="s">
        <v>363</v>
      </c>
      <c r="BM5" t="s">
        <v>593</v>
      </c>
      <c r="BN5">
        <v>1</v>
      </c>
    </row>
    <row r="6" spans="1:66" x14ac:dyDescent="0.3">
      <c r="A6" s="1" t="s">
        <v>15</v>
      </c>
      <c r="B6" t="s">
        <v>545</v>
      </c>
      <c r="C6" s="2">
        <f t="shared" si="3"/>
        <v>10</v>
      </c>
      <c r="D6">
        <v>6</v>
      </c>
      <c r="E6">
        <v>3</v>
      </c>
      <c r="F6">
        <v>1</v>
      </c>
      <c r="G6">
        <f t="shared" si="4"/>
        <v>2</v>
      </c>
      <c r="H6">
        <v>8</v>
      </c>
      <c r="I6">
        <v>7</v>
      </c>
      <c r="J6">
        <f t="shared" si="5"/>
        <v>1</v>
      </c>
      <c r="L6" s="1" t="s">
        <v>17</v>
      </c>
      <c r="M6" t="s">
        <v>553</v>
      </c>
      <c r="N6" s="2">
        <f t="shared" si="0"/>
        <v>21</v>
      </c>
      <c r="O6">
        <v>11</v>
      </c>
      <c r="P6">
        <v>7</v>
      </c>
      <c r="Q6">
        <v>0</v>
      </c>
      <c r="R6">
        <f t="shared" si="6"/>
        <v>4</v>
      </c>
      <c r="S6">
        <v>18</v>
      </c>
      <c r="T6">
        <v>14</v>
      </c>
      <c r="U6">
        <f t="shared" si="7"/>
        <v>4</v>
      </c>
      <c r="W6" s="1" t="s">
        <v>17</v>
      </c>
      <c r="X6" t="s">
        <v>555</v>
      </c>
      <c r="Y6" s="2">
        <f t="shared" si="1"/>
        <v>18</v>
      </c>
      <c r="Z6">
        <v>11</v>
      </c>
      <c r="AA6">
        <v>5</v>
      </c>
      <c r="AB6">
        <v>3</v>
      </c>
      <c r="AC6">
        <f t="shared" si="8"/>
        <v>3</v>
      </c>
      <c r="AD6">
        <v>18</v>
      </c>
      <c r="AE6">
        <v>15</v>
      </c>
      <c r="AF6">
        <f t="shared" si="9"/>
        <v>3</v>
      </c>
      <c r="AH6" s="1" t="s">
        <v>17</v>
      </c>
      <c r="AI6" t="s">
        <v>12</v>
      </c>
      <c r="AJ6" s="2">
        <f t="shared" si="2"/>
        <v>12</v>
      </c>
      <c r="AK6">
        <v>9</v>
      </c>
      <c r="AL6">
        <v>4</v>
      </c>
      <c r="AM6">
        <v>0</v>
      </c>
      <c r="AN6">
        <f t="shared" si="10"/>
        <v>5</v>
      </c>
      <c r="AO6">
        <v>21</v>
      </c>
      <c r="AP6">
        <v>22</v>
      </c>
      <c r="AQ6">
        <f t="shared" si="11"/>
        <v>-1</v>
      </c>
      <c r="AS6" s="1" t="s">
        <v>15</v>
      </c>
      <c r="AT6" t="s">
        <v>580</v>
      </c>
      <c r="AU6" s="2">
        <f t="shared" si="12"/>
        <v>19</v>
      </c>
      <c r="AV6">
        <v>11</v>
      </c>
      <c r="AW6">
        <v>6</v>
      </c>
      <c r="AX6">
        <v>1</v>
      </c>
      <c r="AY6">
        <f t="shared" si="13"/>
        <v>4</v>
      </c>
      <c r="AZ6">
        <v>21</v>
      </c>
      <c r="BA6">
        <v>15</v>
      </c>
      <c r="BB6">
        <f t="shared" si="14"/>
        <v>6</v>
      </c>
      <c r="BD6" t="s">
        <v>561</v>
      </c>
      <c r="BE6" t="s">
        <v>30</v>
      </c>
      <c r="BF6" t="s">
        <v>268</v>
      </c>
      <c r="BH6" t="s">
        <v>268</v>
      </c>
      <c r="BI6" t="s">
        <v>28</v>
      </c>
      <c r="BJ6" t="s">
        <v>561</v>
      </c>
      <c r="BM6" t="s">
        <v>583</v>
      </c>
      <c r="BN6">
        <v>1</v>
      </c>
    </row>
    <row r="7" spans="1:66" x14ac:dyDescent="0.3">
      <c r="A7" s="1" t="s">
        <v>17</v>
      </c>
      <c r="B7" t="s">
        <v>541</v>
      </c>
      <c r="C7" s="2">
        <f t="shared" si="3"/>
        <v>9</v>
      </c>
      <c r="D7">
        <v>6</v>
      </c>
      <c r="E7">
        <v>2</v>
      </c>
      <c r="F7">
        <v>3</v>
      </c>
      <c r="G7">
        <f t="shared" si="4"/>
        <v>1</v>
      </c>
      <c r="H7">
        <v>11</v>
      </c>
      <c r="I7">
        <v>8</v>
      </c>
      <c r="J7">
        <f t="shared" si="5"/>
        <v>3</v>
      </c>
      <c r="L7" t="s">
        <v>19</v>
      </c>
      <c r="M7" t="s">
        <v>551</v>
      </c>
      <c r="N7" s="2">
        <f t="shared" si="0"/>
        <v>18</v>
      </c>
      <c r="O7">
        <v>11</v>
      </c>
      <c r="P7">
        <v>6</v>
      </c>
      <c r="Q7">
        <v>0</v>
      </c>
      <c r="R7">
        <f t="shared" si="6"/>
        <v>5</v>
      </c>
      <c r="S7">
        <v>15</v>
      </c>
      <c r="T7">
        <v>17</v>
      </c>
      <c r="U7">
        <f t="shared" si="7"/>
        <v>-2</v>
      </c>
      <c r="W7" t="s">
        <v>19</v>
      </c>
      <c r="X7" t="s">
        <v>561</v>
      </c>
      <c r="Y7" s="2">
        <f t="shared" si="1"/>
        <v>17</v>
      </c>
      <c r="Z7">
        <v>11</v>
      </c>
      <c r="AA7">
        <v>5</v>
      </c>
      <c r="AB7">
        <v>2</v>
      </c>
      <c r="AC7">
        <f t="shared" si="8"/>
        <v>4</v>
      </c>
      <c r="AD7">
        <v>19</v>
      </c>
      <c r="AE7">
        <v>19</v>
      </c>
      <c r="AF7">
        <f t="shared" si="9"/>
        <v>0</v>
      </c>
      <c r="AH7" t="s">
        <v>19</v>
      </c>
      <c r="AI7" t="s">
        <v>583</v>
      </c>
      <c r="AJ7" s="2">
        <f t="shared" si="2"/>
        <v>12</v>
      </c>
      <c r="AK7">
        <v>9</v>
      </c>
      <c r="AL7">
        <v>4</v>
      </c>
      <c r="AM7">
        <v>0</v>
      </c>
      <c r="AN7">
        <f t="shared" si="10"/>
        <v>5</v>
      </c>
      <c r="AO7">
        <v>15</v>
      </c>
      <c r="AP7">
        <v>18</v>
      </c>
      <c r="AQ7">
        <f t="shared" si="11"/>
        <v>-3</v>
      </c>
      <c r="AS7" s="1" t="s">
        <v>17</v>
      </c>
      <c r="AT7" t="s">
        <v>583</v>
      </c>
      <c r="AU7" s="2">
        <f t="shared" si="12"/>
        <v>18</v>
      </c>
      <c r="AV7">
        <v>11</v>
      </c>
      <c r="AW7">
        <v>5</v>
      </c>
      <c r="AX7">
        <v>3</v>
      </c>
      <c r="AY7">
        <f t="shared" si="13"/>
        <v>3</v>
      </c>
      <c r="AZ7">
        <v>16</v>
      </c>
      <c r="BA7">
        <v>13</v>
      </c>
      <c r="BB7">
        <f t="shared" si="14"/>
        <v>3</v>
      </c>
      <c r="BD7" t="s">
        <v>569</v>
      </c>
      <c r="BE7" t="s">
        <v>57</v>
      </c>
      <c r="BF7" t="s">
        <v>554</v>
      </c>
      <c r="BH7" t="s">
        <v>554</v>
      </c>
      <c r="BI7" t="s">
        <v>36</v>
      </c>
      <c r="BJ7" t="s">
        <v>569</v>
      </c>
      <c r="BM7" t="s">
        <v>553</v>
      </c>
      <c r="BN7">
        <v>2</v>
      </c>
    </row>
    <row r="8" spans="1:66" x14ac:dyDescent="0.3">
      <c r="A8" s="6" t="s">
        <v>19</v>
      </c>
      <c r="B8" t="s">
        <v>139</v>
      </c>
      <c r="C8" s="2">
        <f t="shared" si="3"/>
        <v>8</v>
      </c>
      <c r="D8">
        <v>6</v>
      </c>
      <c r="E8">
        <v>2</v>
      </c>
      <c r="F8">
        <v>2</v>
      </c>
      <c r="G8">
        <f t="shared" si="4"/>
        <v>2</v>
      </c>
      <c r="H8">
        <v>8</v>
      </c>
      <c r="I8">
        <v>10</v>
      </c>
      <c r="J8">
        <f t="shared" si="5"/>
        <v>-2</v>
      </c>
      <c r="L8" t="s">
        <v>21</v>
      </c>
      <c r="M8" t="s">
        <v>552</v>
      </c>
      <c r="N8" s="2">
        <f t="shared" si="0"/>
        <v>17</v>
      </c>
      <c r="O8">
        <v>11</v>
      </c>
      <c r="P8">
        <v>5</v>
      </c>
      <c r="Q8">
        <v>2</v>
      </c>
      <c r="R8">
        <f t="shared" si="6"/>
        <v>4</v>
      </c>
      <c r="S8">
        <v>19</v>
      </c>
      <c r="T8">
        <v>16</v>
      </c>
      <c r="U8">
        <f t="shared" si="7"/>
        <v>3</v>
      </c>
      <c r="W8" t="s">
        <v>21</v>
      </c>
      <c r="X8" t="s">
        <v>447</v>
      </c>
      <c r="Y8" s="2">
        <f t="shared" si="1"/>
        <v>16</v>
      </c>
      <c r="Z8">
        <v>11</v>
      </c>
      <c r="AA8">
        <v>5</v>
      </c>
      <c r="AB8">
        <v>1</v>
      </c>
      <c r="AC8">
        <f t="shared" si="8"/>
        <v>5</v>
      </c>
      <c r="AD8">
        <v>18</v>
      </c>
      <c r="AE8">
        <v>17</v>
      </c>
      <c r="AF8">
        <f t="shared" si="9"/>
        <v>1</v>
      </c>
      <c r="AH8" t="s">
        <v>21</v>
      </c>
      <c r="AI8" t="s">
        <v>574</v>
      </c>
      <c r="AJ8" s="2">
        <f t="shared" si="2"/>
        <v>12</v>
      </c>
      <c r="AK8">
        <v>9</v>
      </c>
      <c r="AL8">
        <v>4</v>
      </c>
      <c r="AM8">
        <v>0</v>
      </c>
      <c r="AN8">
        <f t="shared" si="10"/>
        <v>5</v>
      </c>
      <c r="AO8">
        <v>17</v>
      </c>
      <c r="AP8">
        <v>21</v>
      </c>
      <c r="AQ8">
        <f t="shared" si="11"/>
        <v>-4</v>
      </c>
      <c r="AS8" t="s">
        <v>19</v>
      </c>
      <c r="AT8" t="s">
        <v>582</v>
      </c>
      <c r="AU8" s="2">
        <f t="shared" si="12"/>
        <v>16</v>
      </c>
      <c r="AV8">
        <v>11</v>
      </c>
      <c r="AW8">
        <v>5</v>
      </c>
      <c r="AX8">
        <v>1</v>
      </c>
      <c r="AY8">
        <f t="shared" si="13"/>
        <v>5</v>
      </c>
      <c r="AZ8">
        <v>12</v>
      </c>
      <c r="BA8">
        <v>12</v>
      </c>
      <c r="BB8">
        <f t="shared" si="14"/>
        <v>0</v>
      </c>
      <c r="BD8" t="s">
        <v>568</v>
      </c>
      <c r="BE8" t="s">
        <v>28</v>
      </c>
      <c r="BF8" t="s">
        <v>553</v>
      </c>
      <c r="BH8" t="s">
        <v>553</v>
      </c>
      <c r="BI8" t="s">
        <v>57</v>
      </c>
      <c r="BJ8" t="s">
        <v>568</v>
      </c>
    </row>
    <row r="9" spans="1:66" x14ac:dyDescent="0.3">
      <c r="A9" s="6" t="s">
        <v>21</v>
      </c>
      <c r="B9" t="s">
        <v>118</v>
      </c>
      <c r="C9" s="2">
        <f t="shared" si="3"/>
        <v>7</v>
      </c>
      <c r="D9">
        <v>6</v>
      </c>
      <c r="E9">
        <v>2</v>
      </c>
      <c r="F9">
        <v>1</v>
      </c>
      <c r="G9">
        <f t="shared" si="4"/>
        <v>3</v>
      </c>
      <c r="H9">
        <v>4</v>
      </c>
      <c r="I9">
        <v>7</v>
      </c>
      <c r="J9">
        <f t="shared" si="5"/>
        <v>-3</v>
      </c>
      <c r="L9" t="s">
        <v>23</v>
      </c>
      <c r="M9" t="s">
        <v>285</v>
      </c>
      <c r="N9" s="2">
        <f t="shared" si="0"/>
        <v>16</v>
      </c>
      <c r="O9">
        <v>11</v>
      </c>
      <c r="P9">
        <v>5</v>
      </c>
      <c r="Q9">
        <v>1</v>
      </c>
      <c r="R9">
        <f>O9-P9-Q9</f>
        <v>5</v>
      </c>
      <c r="S9">
        <v>20</v>
      </c>
      <c r="T9">
        <v>17</v>
      </c>
      <c r="U9">
        <f t="shared" si="7"/>
        <v>3</v>
      </c>
      <c r="W9" t="s">
        <v>23</v>
      </c>
      <c r="X9" t="s">
        <v>565</v>
      </c>
      <c r="Y9" s="2">
        <f t="shared" si="1"/>
        <v>14</v>
      </c>
      <c r="Z9">
        <v>11</v>
      </c>
      <c r="AA9">
        <v>4</v>
      </c>
      <c r="AB9">
        <v>2</v>
      </c>
      <c r="AC9">
        <f>Z9-AA9-AB9</f>
        <v>5</v>
      </c>
      <c r="AD9">
        <v>17</v>
      </c>
      <c r="AE9">
        <v>17</v>
      </c>
      <c r="AF9">
        <f t="shared" si="9"/>
        <v>0</v>
      </c>
      <c r="AH9" t="s">
        <v>23</v>
      </c>
      <c r="AI9" t="s">
        <v>575</v>
      </c>
      <c r="AJ9" s="2">
        <f t="shared" si="2"/>
        <v>12</v>
      </c>
      <c r="AK9">
        <v>9</v>
      </c>
      <c r="AL9">
        <v>3</v>
      </c>
      <c r="AM9">
        <v>3</v>
      </c>
      <c r="AN9">
        <f>AK9-AL9-AM9</f>
        <v>3</v>
      </c>
      <c r="AO9">
        <v>17</v>
      </c>
      <c r="AP9">
        <v>15</v>
      </c>
      <c r="AQ9">
        <f t="shared" si="11"/>
        <v>2</v>
      </c>
      <c r="AS9" t="s">
        <v>21</v>
      </c>
      <c r="AT9" t="s">
        <v>581</v>
      </c>
      <c r="AU9" s="2">
        <f t="shared" si="12"/>
        <v>16</v>
      </c>
      <c r="AV9">
        <v>11</v>
      </c>
      <c r="AW9">
        <v>4</v>
      </c>
      <c r="AX9">
        <v>4</v>
      </c>
      <c r="AY9">
        <f t="shared" si="13"/>
        <v>3</v>
      </c>
      <c r="AZ9">
        <v>17</v>
      </c>
      <c r="BA9">
        <v>15</v>
      </c>
      <c r="BB9">
        <f t="shared" si="14"/>
        <v>2</v>
      </c>
      <c r="BD9" t="s">
        <v>572</v>
      </c>
      <c r="BE9" t="s">
        <v>36</v>
      </c>
      <c r="BF9" t="s">
        <v>294</v>
      </c>
      <c r="BH9" t="s">
        <v>294</v>
      </c>
      <c r="BI9" t="s">
        <v>69</v>
      </c>
      <c r="BJ9" t="s">
        <v>572</v>
      </c>
    </row>
    <row r="10" spans="1:66" x14ac:dyDescent="0.3">
      <c r="L10" t="s">
        <v>25</v>
      </c>
      <c r="M10" t="s">
        <v>268</v>
      </c>
      <c r="N10" s="2">
        <f t="shared" si="0"/>
        <v>15</v>
      </c>
      <c r="O10">
        <v>11</v>
      </c>
      <c r="P10">
        <v>5</v>
      </c>
      <c r="Q10">
        <v>0</v>
      </c>
      <c r="R10">
        <f t="shared" si="6"/>
        <v>6</v>
      </c>
      <c r="S10">
        <v>17</v>
      </c>
      <c r="T10">
        <v>20</v>
      </c>
      <c r="U10">
        <f t="shared" si="7"/>
        <v>-3</v>
      </c>
      <c r="W10" t="s">
        <v>25</v>
      </c>
      <c r="X10" t="s">
        <v>556</v>
      </c>
      <c r="Y10" s="2">
        <f t="shared" si="1"/>
        <v>14</v>
      </c>
      <c r="Z10">
        <v>11</v>
      </c>
      <c r="AA10">
        <v>4</v>
      </c>
      <c r="AB10">
        <v>2</v>
      </c>
      <c r="AC10">
        <f t="shared" si="8"/>
        <v>5</v>
      </c>
      <c r="AD10">
        <v>14</v>
      </c>
      <c r="AE10">
        <v>14</v>
      </c>
      <c r="AF10">
        <f t="shared" si="9"/>
        <v>0</v>
      </c>
      <c r="AH10" t="s">
        <v>25</v>
      </c>
      <c r="AI10" t="s">
        <v>573</v>
      </c>
      <c r="AJ10" s="2">
        <f t="shared" si="2"/>
        <v>12</v>
      </c>
      <c r="AK10">
        <v>9</v>
      </c>
      <c r="AL10">
        <v>3</v>
      </c>
      <c r="AM10">
        <v>3</v>
      </c>
      <c r="AN10">
        <f t="shared" si="10"/>
        <v>3</v>
      </c>
      <c r="AO10">
        <v>12</v>
      </c>
      <c r="AP10">
        <v>12</v>
      </c>
      <c r="AQ10">
        <f t="shared" si="11"/>
        <v>0</v>
      </c>
      <c r="AS10" t="s">
        <v>23</v>
      </c>
      <c r="AT10" t="s">
        <v>111</v>
      </c>
      <c r="AU10" s="2">
        <f t="shared" si="12"/>
        <v>15</v>
      </c>
      <c r="AV10">
        <v>11</v>
      </c>
      <c r="AW10">
        <v>4</v>
      </c>
      <c r="AX10">
        <v>3</v>
      </c>
      <c r="AY10">
        <f t="shared" si="13"/>
        <v>4</v>
      </c>
      <c r="AZ10">
        <v>17</v>
      </c>
      <c r="BA10">
        <v>17</v>
      </c>
      <c r="BB10">
        <f t="shared" si="14"/>
        <v>0</v>
      </c>
      <c r="BD10" t="s">
        <v>573</v>
      </c>
      <c r="BE10" t="s">
        <v>36</v>
      </c>
      <c r="BF10" t="s">
        <v>547</v>
      </c>
      <c r="BH10" t="s">
        <v>547</v>
      </c>
      <c r="BI10" t="s">
        <v>57</v>
      </c>
      <c r="BJ10" t="s">
        <v>573</v>
      </c>
    </row>
    <row r="11" spans="1:66" x14ac:dyDescent="0.3">
      <c r="A11" t="s">
        <v>73</v>
      </c>
      <c r="L11" t="s">
        <v>66</v>
      </c>
      <c r="M11" t="s">
        <v>550</v>
      </c>
      <c r="N11" s="2">
        <f t="shared" si="0"/>
        <v>13</v>
      </c>
      <c r="O11">
        <v>11</v>
      </c>
      <c r="P11">
        <v>4</v>
      </c>
      <c r="Q11">
        <v>1</v>
      </c>
      <c r="R11">
        <f t="shared" si="6"/>
        <v>6</v>
      </c>
      <c r="S11">
        <v>15</v>
      </c>
      <c r="T11">
        <v>13</v>
      </c>
      <c r="U11">
        <f t="shared" si="7"/>
        <v>2</v>
      </c>
      <c r="W11" t="s">
        <v>66</v>
      </c>
      <c r="X11" t="s">
        <v>568</v>
      </c>
      <c r="Y11" s="2">
        <f t="shared" si="1"/>
        <v>14</v>
      </c>
      <c r="Z11">
        <v>11</v>
      </c>
      <c r="AA11">
        <v>4</v>
      </c>
      <c r="AB11">
        <v>2</v>
      </c>
      <c r="AC11">
        <f t="shared" si="8"/>
        <v>5</v>
      </c>
      <c r="AD11">
        <v>15</v>
      </c>
      <c r="AE11">
        <v>16</v>
      </c>
      <c r="AF11">
        <f t="shared" si="9"/>
        <v>-1</v>
      </c>
      <c r="AH11" s="3" t="s">
        <v>66</v>
      </c>
      <c r="AI11" t="s">
        <v>576</v>
      </c>
      <c r="AJ11" s="2">
        <f t="shared" si="2"/>
        <v>10</v>
      </c>
      <c r="AK11">
        <v>9</v>
      </c>
      <c r="AL11">
        <v>3</v>
      </c>
      <c r="AM11">
        <v>1</v>
      </c>
      <c r="AN11">
        <f t="shared" si="10"/>
        <v>5</v>
      </c>
      <c r="AO11">
        <v>15</v>
      </c>
      <c r="AP11">
        <v>22</v>
      </c>
      <c r="AQ11">
        <f t="shared" si="11"/>
        <v>-7</v>
      </c>
      <c r="AS11" t="s">
        <v>25</v>
      </c>
      <c r="AT11" t="s">
        <v>585</v>
      </c>
      <c r="AU11" s="2">
        <f t="shared" si="12"/>
        <v>14</v>
      </c>
      <c r="AV11">
        <v>11</v>
      </c>
      <c r="AW11">
        <v>4</v>
      </c>
      <c r="AX11">
        <v>2</v>
      </c>
      <c r="AY11">
        <f t="shared" si="13"/>
        <v>5</v>
      </c>
      <c r="AZ11">
        <v>17</v>
      </c>
      <c r="BA11">
        <v>21</v>
      </c>
      <c r="BB11">
        <f t="shared" si="14"/>
        <v>-4</v>
      </c>
    </row>
    <row r="12" spans="1:66" x14ac:dyDescent="0.3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  <c r="L12" t="s">
        <v>137</v>
      </c>
      <c r="M12" t="s">
        <v>554</v>
      </c>
      <c r="N12" s="2">
        <f t="shared" si="0"/>
        <v>13</v>
      </c>
      <c r="O12">
        <v>11</v>
      </c>
      <c r="P12">
        <v>4</v>
      </c>
      <c r="Q12">
        <v>1</v>
      </c>
      <c r="R12">
        <f t="shared" si="6"/>
        <v>6</v>
      </c>
      <c r="S12">
        <v>21</v>
      </c>
      <c r="T12">
        <v>25</v>
      </c>
      <c r="U12">
        <f t="shared" si="7"/>
        <v>-4</v>
      </c>
      <c r="W12" t="s">
        <v>137</v>
      </c>
      <c r="X12" t="s">
        <v>562</v>
      </c>
      <c r="Y12" s="2">
        <f t="shared" si="1"/>
        <v>13</v>
      </c>
      <c r="Z12">
        <v>11</v>
      </c>
      <c r="AA12">
        <v>4</v>
      </c>
      <c r="AB12">
        <v>1</v>
      </c>
      <c r="AC12">
        <f t="shared" si="8"/>
        <v>6</v>
      </c>
      <c r="AD12">
        <v>13</v>
      </c>
      <c r="AE12">
        <v>18</v>
      </c>
      <c r="AF12">
        <f t="shared" si="9"/>
        <v>-5</v>
      </c>
      <c r="AH12" s="3" t="s">
        <v>137</v>
      </c>
      <c r="AI12" t="s">
        <v>572</v>
      </c>
      <c r="AJ12" s="2">
        <f t="shared" si="2"/>
        <v>5</v>
      </c>
      <c r="AK12">
        <v>9</v>
      </c>
      <c r="AL12">
        <v>1</v>
      </c>
      <c r="AM12">
        <v>2</v>
      </c>
      <c r="AN12">
        <f t="shared" si="10"/>
        <v>6</v>
      </c>
      <c r="AO12">
        <v>10</v>
      </c>
      <c r="AP12">
        <v>16</v>
      </c>
      <c r="AQ12">
        <f t="shared" si="11"/>
        <v>-6</v>
      </c>
      <c r="AS12" t="s">
        <v>66</v>
      </c>
      <c r="AT12" t="s">
        <v>588</v>
      </c>
      <c r="AU12" s="2">
        <f t="shared" si="12"/>
        <v>12</v>
      </c>
      <c r="AV12">
        <v>11</v>
      </c>
      <c r="AW12">
        <v>3</v>
      </c>
      <c r="AX12">
        <v>3</v>
      </c>
      <c r="AY12">
        <f t="shared" si="13"/>
        <v>5</v>
      </c>
      <c r="AZ12">
        <v>11</v>
      </c>
      <c r="BA12">
        <v>12</v>
      </c>
      <c r="BB12">
        <f t="shared" si="14"/>
        <v>-1</v>
      </c>
      <c r="BD12" t="s">
        <v>598</v>
      </c>
    </row>
    <row r="13" spans="1:66" x14ac:dyDescent="0.3">
      <c r="A13" s="1" t="s">
        <v>11</v>
      </c>
      <c r="B13" t="s">
        <v>544</v>
      </c>
      <c r="C13" s="2">
        <f t="shared" ref="C13:C18" si="15">E13*3+F13</f>
        <v>8</v>
      </c>
      <c r="D13">
        <v>6</v>
      </c>
      <c r="E13">
        <v>2</v>
      </c>
      <c r="F13">
        <v>2</v>
      </c>
      <c r="G13">
        <f t="shared" ref="G13:G18" si="16">D13-E13-F13</f>
        <v>2</v>
      </c>
      <c r="H13">
        <v>5</v>
      </c>
      <c r="I13">
        <v>6</v>
      </c>
      <c r="J13">
        <f t="shared" ref="J13:J18" si="17">H13-I13</f>
        <v>-1</v>
      </c>
      <c r="L13" s="3" t="s">
        <v>149</v>
      </c>
      <c r="M13" t="s">
        <v>558</v>
      </c>
      <c r="N13" s="2">
        <f t="shared" si="0"/>
        <v>5</v>
      </c>
      <c r="O13">
        <v>11</v>
      </c>
      <c r="P13">
        <v>1</v>
      </c>
      <c r="Q13">
        <v>2</v>
      </c>
      <c r="R13">
        <f t="shared" si="6"/>
        <v>8</v>
      </c>
      <c r="S13">
        <v>9</v>
      </c>
      <c r="T13">
        <v>26</v>
      </c>
      <c r="U13">
        <f t="shared" si="7"/>
        <v>-17</v>
      </c>
      <c r="W13" s="3" t="s">
        <v>149</v>
      </c>
      <c r="X13" t="s">
        <v>569</v>
      </c>
      <c r="Y13" s="2">
        <f t="shared" si="1"/>
        <v>11</v>
      </c>
      <c r="Z13">
        <v>11</v>
      </c>
      <c r="AA13">
        <v>3</v>
      </c>
      <c r="AB13">
        <v>2</v>
      </c>
      <c r="AC13">
        <f t="shared" si="8"/>
        <v>6</v>
      </c>
      <c r="AD13">
        <v>12</v>
      </c>
      <c r="AE13">
        <v>20</v>
      </c>
      <c r="AF13">
        <f t="shared" si="9"/>
        <v>-8</v>
      </c>
      <c r="AS13" t="s">
        <v>137</v>
      </c>
      <c r="AT13" t="s">
        <v>584</v>
      </c>
      <c r="AU13" s="2">
        <f t="shared" si="12"/>
        <v>10</v>
      </c>
      <c r="AV13">
        <v>11</v>
      </c>
      <c r="AW13">
        <v>2</v>
      </c>
      <c r="AX13">
        <v>4</v>
      </c>
      <c r="AY13">
        <f t="shared" si="13"/>
        <v>5</v>
      </c>
      <c r="AZ13">
        <v>19</v>
      </c>
      <c r="BA13">
        <v>23</v>
      </c>
      <c r="BB13">
        <f t="shared" si="14"/>
        <v>-4</v>
      </c>
      <c r="BD13" t="s">
        <v>558</v>
      </c>
      <c r="BE13" t="s">
        <v>44</v>
      </c>
      <c r="BF13" t="s">
        <v>543</v>
      </c>
      <c r="BH13" t="s">
        <v>543</v>
      </c>
      <c r="BI13" t="s">
        <v>28</v>
      </c>
      <c r="BJ13" t="s">
        <v>558</v>
      </c>
    </row>
    <row r="14" spans="1:66" x14ac:dyDescent="0.3">
      <c r="A14" s="1" t="s">
        <v>13</v>
      </c>
      <c r="B14" t="s">
        <v>440</v>
      </c>
      <c r="C14" s="2">
        <f t="shared" si="15"/>
        <v>7</v>
      </c>
      <c r="D14">
        <v>6</v>
      </c>
      <c r="E14">
        <v>2</v>
      </c>
      <c r="F14">
        <v>1</v>
      </c>
      <c r="G14">
        <f t="shared" si="16"/>
        <v>3</v>
      </c>
      <c r="H14">
        <v>10</v>
      </c>
      <c r="I14">
        <v>10</v>
      </c>
      <c r="J14">
        <f t="shared" si="17"/>
        <v>0</v>
      </c>
      <c r="L14" s="3" t="s">
        <v>150</v>
      </c>
      <c r="M14" t="s">
        <v>555</v>
      </c>
      <c r="N14" s="2">
        <f t="shared" si="0"/>
        <v>4</v>
      </c>
      <c r="O14">
        <v>11</v>
      </c>
      <c r="P14">
        <v>1</v>
      </c>
      <c r="Q14">
        <v>1</v>
      </c>
      <c r="R14">
        <f t="shared" si="6"/>
        <v>9</v>
      </c>
      <c r="S14">
        <v>14</v>
      </c>
      <c r="T14">
        <v>30</v>
      </c>
      <c r="U14">
        <f t="shared" si="7"/>
        <v>-16</v>
      </c>
      <c r="W14" s="3" t="s">
        <v>150</v>
      </c>
      <c r="X14" t="s">
        <v>563</v>
      </c>
      <c r="Y14" s="2">
        <f t="shared" si="1"/>
        <v>7</v>
      </c>
      <c r="Z14">
        <v>11</v>
      </c>
      <c r="AA14">
        <v>2</v>
      </c>
      <c r="AB14">
        <v>1</v>
      </c>
      <c r="AC14">
        <f t="shared" si="8"/>
        <v>8</v>
      </c>
      <c r="AD14">
        <v>13</v>
      </c>
      <c r="AE14">
        <v>19</v>
      </c>
      <c r="AF14">
        <f t="shared" si="9"/>
        <v>-6</v>
      </c>
      <c r="AH14" t="s">
        <v>27</v>
      </c>
      <c r="AS14" t="s">
        <v>149</v>
      </c>
      <c r="AT14" t="s">
        <v>587</v>
      </c>
      <c r="AU14" s="2">
        <f t="shared" si="12"/>
        <v>6</v>
      </c>
      <c r="AV14">
        <v>11</v>
      </c>
      <c r="AW14">
        <v>1</v>
      </c>
      <c r="AX14">
        <v>3</v>
      </c>
      <c r="AY14">
        <f t="shared" si="13"/>
        <v>7</v>
      </c>
      <c r="AZ14">
        <v>15</v>
      </c>
      <c r="BA14">
        <v>24</v>
      </c>
      <c r="BB14">
        <f t="shared" si="14"/>
        <v>-9</v>
      </c>
      <c r="BD14" t="s">
        <v>557</v>
      </c>
      <c r="BE14" t="s">
        <v>301</v>
      </c>
      <c r="BF14" t="s">
        <v>541</v>
      </c>
      <c r="BH14" t="s">
        <v>541</v>
      </c>
      <c r="BI14" t="s">
        <v>57</v>
      </c>
      <c r="BJ14" t="s">
        <v>557</v>
      </c>
    </row>
    <row r="15" spans="1:66" x14ac:dyDescent="0.3">
      <c r="A15" s="1" t="s">
        <v>15</v>
      </c>
      <c r="B15" t="s">
        <v>547</v>
      </c>
      <c r="C15" s="2">
        <f t="shared" si="15"/>
        <v>7</v>
      </c>
      <c r="D15">
        <v>6</v>
      </c>
      <c r="E15">
        <v>2</v>
      </c>
      <c r="F15">
        <v>1</v>
      </c>
      <c r="G15">
        <f t="shared" si="16"/>
        <v>3</v>
      </c>
      <c r="H15">
        <v>8</v>
      </c>
      <c r="I15">
        <v>9</v>
      </c>
      <c r="J15">
        <f t="shared" si="17"/>
        <v>-1</v>
      </c>
      <c r="AH15" t="str">
        <f>AI6</f>
        <v>Santa Cruz</v>
      </c>
      <c r="AI15" t="s">
        <v>386</v>
      </c>
      <c r="AJ15" t="str">
        <f>AI3</f>
        <v>Petrópolis</v>
      </c>
      <c r="AL15" t="str">
        <f>AI3</f>
        <v>Petrópolis</v>
      </c>
      <c r="AM15" t="s">
        <v>28</v>
      </c>
      <c r="AN15" t="str">
        <f>AI6</f>
        <v>Santa Cruz</v>
      </c>
      <c r="BD15" t="s">
        <v>363</v>
      </c>
      <c r="BE15" t="s">
        <v>57</v>
      </c>
      <c r="BF15" t="s">
        <v>545</v>
      </c>
      <c r="BH15" t="s">
        <v>545</v>
      </c>
      <c r="BI15" t="s">
        <v>36</v>
      </c>
      <c r="BJ15" t="s">
        <v>363</v>
      </c>
    </row>
    <row r="16" spans="1:66" x14ac:dyDescent="0.3">
      <c r="A16" s="1" t="s">
        <v>17</v>
      </c>
      <c r="B16" t="s">
        <v>540</v>
      </c>
      <c r="C16" s="2">
        <f t="shared" si="15"/>
        <v>6</v>
      </c>
      <c r="D16">
        <v>6</v>
      </c>
      <c r="E16">
        <v>2</v>
      </c>
      <c r="F16">
        <v>0</v>
      </c>
      <c r="G16">
        <f t="shared" si="16"/>
        <v>4</v>
      </c>
      <c r="H16">
        <v>7</v>
      </c>
      <c r="I16">
        <v>11</v>
      </c>
      <c r="J16">
        <f t="shared" si="17"/>
        <v>-4</v>
      </c>
      <c r="L16" t="s">
        <v>27</v>
      </c>
      <c r="W16" t="s">
        <v>27</v>
      </c>
      <c r="AH16" t="str">
        <f>AI5</f>
        <v>Rio Barra</v>
      </c>
      <c r="AI16" t="s">
        <v>54</v>
      </c>
      <c r="AJ16" t="str">
        <f>AI4</f>
        <v>Carapebus</v>
      </c>
      <c r="AL16" t="str">
        <f>AI4</f>
        <v>Carapebus</v>
      </c>
      <c r="AM16" t="s">
        <v>28</v>
      </c>
      <c r="AN16" t="str">
        <f>AI5</f>
        <v>Rio Barra</v>
      </c>
      <c r="AS16" t="s">
        <v>73</v>
      </c>
      <c r="BD16" t="s">
        <v>561</v>
      </c>
      <c r="BE16" t="s">
        <v>57</v>
      </c>
      <c r="BF16" t="s">
        <v>285</v>
      </c>
      <c r="BH16" t="s">
        <v>285</v>
      </c>
      <c r="BI16" t="s">
        <v>187</v>
      </c>
      <c r="BJ16" t="s">
        <v>561</v>
      </c>
    </row>
    <row r="17" spans="1:62" x14ac:dyDescent="0.3">
      <c r="A17" s="6" t="s">
        <v>19</v>
      </c>
      <c r="B17" t="s">
        <v>543</v>
      </c>
      <c r="C17" s="2">
        <f t="shared" si="15"/>
        <v>6</v>
      </c>
      <c r="D17">
        <v>6</v>
      </c>
      <c r="E17">
        <v>1</v>
      </c>
      <c r="F17">
        <v>3</v>
      </c>
      <c r="G17">
        <f t="shared" si="16"/>
        <v>2</v>
      </c>
      <c r="H17">
        <v>4</v>
      </c>
      <c r="I17">
        <v>10</v>
      </c>
      <c r="J17">
        <f t="shared" si="17"/>
        <v>-6</v>
      </c>
      <c r="L17" t="str">
        <f>M6</f>
        <v>Pérolas Negras</v>
      </c>
      <c r="M17" t="s">
        <v>54</v>
      </c>
      <c r="N17" t="str">
        <f>M3</f>
        <v>Fluminense</v>
      </c>
      <c r="P17" t="str">
        <f>M3</f>
        <v>Fluminense</v>
      </c>
      <c r="Q17" t="s">
        <v>30</v>
      </c>
      <c r="R17" t="str">
        <f>M6</f>
        <v>Pérolas Negras</v>
      </c>
      <c r="W17" t="str">
        <f>X6</f>
        <v>Cabofriense</v>
      </c>
      <c r="X17" t="s">
        <v>69</v>
      </c>
      <c r="Y17" t="str">
        <f>X3</f>
        <v>São Cristóvão</v>
      </c>
      <c r="AA17" t="str">
        <f>X3</f>
        <v>São Cristóvão</v>
      </c>
      <c r="AB17" t="s">
        <v>65</v>
      </c>
      <c r="AC17" t="str">
        <f>X6</f>
        <v>Cabofriense</v>
      </c>
      <c r="AS17" t="s">
        <v>1</v>
      </c>
      <c r="AT17" t="s">
        <v>2</v>
      </c>
      <c r="AU17" t="s">
        <v>3</v>
      </c>
      <c r="AV17" t="s">
        <v>4</v>
      </c>
      <c r="AW17" t="s">
        <v>5</v>
      </c>
      <c r="AX17" t="s">
        <v>6</v>
      </c>
      <c r="AY17" t="s">
        <v>7</v>
      </c>
      <c r="AZ17" t="s">
        <v>8</v>
      </c>
      <c r="BA17" t="s">
        <v>9</v>
      </c>
      <c r="BB17" t="s">
        <v>10</v>
      </c>
      <c r="BD17" t="s">
        <v>554</v>
      </c>
      <c r="BE17" t="s">
        <v>28</v>
      </c>
      <c r="BF17" t="s">
        <v>542</v>
      </c>
      <c r="BH17" t="s">
        <v>542</v>
      </c>
      <c r="BI17" t="s">
        <v>191</v>
      </c>
      <c r="BJ17" t="s">
        <v>554</v>
      </c>
    </row>
    <row r="18" spans="1:62" x14ac:dyDescent="0.3">
      <c r="A18" s="6" t="s">
        <v>21</v>
      </c>
      <c r="B18" t="s">
        <v>497</v>
      </c>
      <c r="C18" s="2">
        <f t="shared" si="15"/>
        <v>4</v>
      </c>
      <c r="D18">
        <v>6</v>
      </c>
      <c r="E18">
        <v>1</v>
      </c>
      <c r="F18">
        <v>1</v>
      </c>
      <c r="G18">
        <f t="shared" si="16"/>
        <v>4</v>
      </c>
      <c r="H18">
        <v>7</v>
      </c>
      <c r="I18">
        <v>13</v>
      </c>
      <c r="J18">
        <f t="shared" si="17"/>
        <v>-6</v>
      </c>
      <c r="L18" t="str">
        <f>M5</f>
        <v>Americano</v>
      </c>
      <c r="M18" t="s">
        <v>74</v>
      </c>
      <c r="N18" t="str">
        <f>M4</f>
        <v>Univassouras Artsul</v>
      </c>
      <c r="P18" t="str">
        <f>M4</f>
        <v>Univassouras Artsul</v>
      </c>
      <c r="Q18" t="s">
        <v>559</v>
      </c>
      <c r="R18" t="str">
        <f>M5</f>
        <v>Americano</v>
      </c>
      <c r="W18" t="str">
        <f>X5</f>
        <v>Duque de Caxias</v>
      </c>
      <c r="X18" t="s">
        <v>30</v>
      </c>
      <c r="Y18" t="str">
        <f>X4</f>
        <v>Campo Grande</v>
      </c>
      <c r="AA18" t="str">
        <f>X4</f>
        <v>Campo Grande</v>
      </c>
      <c r="AB18" t="s">
        <v>570</v>
      </c>
      <c r="AC18" t="str">
        <f>X5</f>
        <v>Duque de Caxias</v>
      </c>
      <c r="AH18" t="s">
        <v>33</v>
      </c>
      <c r="AS18" s="1" t="s">
        <v>11</v>
      </c>
      <c r="AT18" t="s">
        <v>593</v>
      </c>
      <c r="AU18" s="2">
        <f t="shared" ref="AU18:AU28" si="18">AW18*3+AX18</f>
        <v>18</v>
      </c>
      <c r="AV18">
        <v>11</v>
      </c>
      <c r="AW18">
        <v>5</v>
      </c>
      <c r="AX18">
        <v>3</v>
      </c>
      <c r="AY18">
        <f t="shared" ref="AY18:AY28" si="19">AV18-AW18-AX18</f>
        <v>3</v>
      </c>
      <c r="AZ18">
        <v>18</v>
      </c>
      <c r="BA18">
        <v>13</v>
      </c>
      <c r="BB18">
        <f t="shared" ref="BB18:BB28" si="20">AZ18-BA18</f>
        <v>5</v>
      </c>
      <c r="BD18" t="s">
        <v>553</v>
      </c>
      <c r="BE18" t="s">
        <v>36</v>
      </c>
      <c r="BF18" t="s">
        <v>544</v>
      </c>
      <c r="BH18" t="s">
        <v>544</v>
      </c>
      <c r="BI18" t="s">
        <v>31</v>
      </c>
      <c r="BJ18" t="s">
        <v>553</v>
      </c>
    </row>
    <row r="19" spans="1:62" x14ac:dyDescent="0.3">
      <c r="AH19" t="s">
        <v>593</v>
      </c>
      <c r="AI19" t="s">
        <v>596</v>
      </c>
      <c r="AJ19" t="s">
        <v>567</v>
      </c>
      <c r="AL19" t="s">
        <v>567</v>
      </c>
      <c r="AM19" t="s">
        <v>69</v>
      </c>
      <c r="AN19" t="s">
        <v>593</v>
      </c>
      <c r="AS19" s="1" t="s">
        <v>13</v>
      </c>
      <c r="AT19" t="s">
        <v>591</v>
      </c>
      <c r="AU19" s="2">
        <f t="shared" si="18"/>
        <v>18</v>
      </c>
      <c r="AV19">
        <v>11</v>
      </c>
      <c r="AW19">
        <v>5</v>
      </c>
      <c r="AX19">
        <v>3</v>
      </c>
      <c r="AY19">
        <f t="shared" si="19"/>
        <v>3</v>
      </c>
      <c r="AZ19">
        <v>15</v>
      </c>
      <c r="BA19">
        <v>13</v>
      </c>
      <c r="BB19">
        <f t="shared" si="20"/>
        <v>2</v>
      </c>
      <c r="BD19" t="s">
        <v>572</v>
      </c>
      <c r="BE19" t="s">
        <v>28</v>
      </c>
      <c r="BF19" t="s">
        <v>540</v>
      </c>
      <c r="BH19" t="s">
        <v>540</v>
      </c>
      <c r="BI19" t="s">
        <v>43</v>
      </c>
      <c r="BJ19" t="s">
        <v>572</v>
      </c>
    </row>
    <row r="20" spans="1:62" x14ac:dyDescent="0.3">
      <c r="A20" t="s">
        <v>221</v>
      </c>
      <c r="L20" t="s">
        <v>33</v>
      </c>
      <c r="W20" t="s">
        <v>33</v>
      </c>
      <c r="AS20" s="1" t="s">
        <v>15</v>
      </c>
      <c r="AT20" t="s">
        <v>577</v>
      </c>
      <c r="AU20" s="2">
        <f t="shared" si="18"/>
        <v>17</v>
      </c>
      <c r="AV20">
        <v>11</v>
      </c>
      <c r="AW20">
        <v>5</v>
      </c>
      <c r="AX20">
        <v>2</v>
      </c>
      <c r="AY20">
        <f t="shared" si="19"/>
        <v>4</v>
      </c>
      <c r="AZ20">
        <v>15</v>
      </c>
      <c r="BA20">
        <v>13</v>
      </c>
      <c r="BB20">
        <f t="shared" si="20"/>
        <v>2</v>
      </c>
      <c r="BD20" t="s">
        <v>573</v>
      </c>
      <c r="BE20" t="s">
        <v>36</v>
      </c>
      <c r="BF20" t="s">
        <v>118</v>
      </c>
      <c r="BH20" t="s">
        <v>118</v>
      </c>
      <c r="BI20" t="s">
        <v>54</v>
      </c>
      <c r="BJ20" t="s">
        <v>573</v>
      </c>
    </row>
    <row r="21" spans="1:62" x14ac:dyDescent="0.3">
      <c r="A21" t="str">
        <f>B4</f>
        <v>Vasco</v>
      </c>
      <c r="B21" t="s">
        <v>548</v>
      </c>
      <c r="C21" t="str">
        <f>B7</f>
        <v>Bangu</v>
      </c>
      <c r="L21" t="s">
        <v>553</v>
      </c>
      <c r="M21" t="s">
        <v>28</v>
      </c>
      <c r="N21" t="s">
        <v>557</v>
      </c>
      <c r="P21" t="s">
        <v>557</v>
      </c>
      <c r="Q21" t="s">
        <v>386</v>
      </c>
      <c r="R21" t="s">
        <v>553</v>
      </c>
      <c r="W21" t="s">
        <v>363</v>
      </c>
      <c r="X21" t="s">
        <v>28</v>
      </c>
      <c r="Y21" t="s">
        <v>558</v>
      </c>
      <c r="AA21" t="s">
        <v>558</v>
      </c>
      <c r="AB21" t="s">
        <v>90</v>
      </c>
      <c r="AC21" t="s">
        <v>363</v>
      </c>
      <c r="AS21" s="1" t="s">
        <v>17</v>
      </c>
      <c r="AT21" t="s">
        <v>590</v>
      </c>
      <c r="AU21" s="2">
        <f t="shared" si="18"/>
        <v>17</v>
      </c>
      <c r="AV21">
        <v>11</v>
      </c>
      <c r="AW21">
        <v>5</v>
      </c>
      <c r="AX21">
        <v>2</v>
      </c>
      <c r="AY21">
        <f t="shared" si="19"/>
        <v>4</v>
      </c>
      <c r="AZ21">
        <v>14</v>
      </c>
      <c r="BA21">
        <v>13</v>
      </c>
      <c r="BB21">
        <f t="shared" si="20"/>
        <v>1</v>
      </c>
    </row>
    <row r="22" spans="1:62" x14ac:dyDescent="0.3">
      <c r="A22" t="str">
        <f>B5</f>
        <v>Maricá</v>
      </c>
      <c r="B22" t="s">
        <v>30</v>
      </c>
      <c r="C22" t="str">
        <f>B6</f>
        <v>Nova Iguaçu</v>
      </c>
      <c r="AS22" t="s">
        <v>19</v>
      </c>
      <c r="AT22" t="s">
        <v>484</v>
      </c>
      <c r="AU22" s="2">
        <f t="shared" si="18"/>
        <v>17</v>
      </c>
      <c r="AV22">
        <v>11</v>
      </c>
      <c r="AW22">
        <v>5</v>
      </c>
      <c r="AX22">
        <v>2</v>
      </c>
      <c r="AY22">
        <f t="shared" si="19"/>
        <v>4</v>
      </c>
      <c r="AZ22">
        <v>13</v>
      </c>
      <c r="BA22">
        <v>13</v>
      </c>
      <c r="BB22">
        <f t="shared" si="20"/>
        <v>0</v>
      </c>
      <c r="BD22" t="s">
        <v>221</v>
      </c>
    </row>
    <row r="23" spans="1:62" x14ac:dyDescent="0.3">
      <c r="A23" t="str">
        <f>B13</f>
        <v>Madureira</v>
      </c>
      <c r="B23" t="s">
        <v>43</v>
      </c>
      <c r="C23" t="str">
        <f>B16</f>
        <v>Volta Redonda</v>
      </c>
      <c r="AS23" t="s">
        <v>21</v>
      </c>
      <c r="AT23" t="s">
        <v>595</v>
      </c>
      <c r="AU23" s="2">
        <f t="shared" si="18"/>
        <v>16</v>
      </c>
      <c r="AV23">
        <v>11</v>
      </c>
      <c r="AW23">
        <v>4</v>
      </c>
      <c r="AX23">
        <v>4</v>
      </c>
      <c r="AY23">
        <f t="shared" si="19"/>
        <v>3</v>
      </c>
      <c r="AZ23">
        <v>18</v>
      </c>
      <c r="BA23">
        <v>14</v>
      </c>
      <c r="BB23">
        <f t="shared" si="20"/>
        <v>4</v>
      </c>
      <c r="BD23" t="s">
        <v>557</v>
      </c>
      <c r="BE23" t="s">
        <v>36</v>
      </c>
      <c r="BF23" t="s">
        <v>558</v>
      </c>
      <c r="BH23" t="s">
        <v>558</v>
      </c>
      <c r="BI23" t="s">
        <v>599</v>
      </c>
      <c r="BJ23" t="s">
        <v>557</v>
      </c>
    </row>
    <row r="24" spans="1:62" x14ac:dyDescent="0.3">
      <c r="A24" t="str">
        <f>B14</f>
        <v>Botafogo</v>
      </c>
      <c r="B24" t="s">
        <v>56</v>
      </c>
      <c r="C24" t="str">
        <f>B15</f>
        <v>Resende</v>
      </c>
      <c r="AS24" t="s">
        <v>23</v>
      </c>
      <c r="AT24" t="s">
        <v>589</v>
      </c>
      <c r="AU24" s="2">
        <f t="shared" si="18"/>
        <v>14</v>
      </c>
      <c r="AV24">
        <v>11</v>
      </c>
      <c r="AW24">
        <v>4</v>
      </c>
      <c r="AX24">
        <v>2</v>
      </c>
      <c r="AY24">
        <f t="shared" si="19"/>
        <v>5</v>
      </c>
      <c r="AZ24">
        <v>25</v>
      </c>
      <c r="BA24">
        <v>23</v>
      </c>
      <c r="BB24">
        <f t="shared" si="20"/>
        <v>2</v>
      </c>
      <c r="BD24" t="s">
        <v>561</v>
      </c>
      <c r="BE24" t="s">
        <v>31</v>
      </c>
      <c r="BF24" t="s">
        <v>545</v>
      </c>
      <c r="BH24" t="s">
        <v>545</v>
      </c>
      <c r="BI24" t="s">
        <v>54</v>
      </c>
      <c r="BJ24" t="s">
        <v>561</v>
      </c>
    </row>
    <row r="25" spans="1:62" x14ac:dyDescent="0.3">
      <c r="AS25" t="s">
        <v>25</v>
      </c>
      <c r="AT25" t="s">
        <v>594</v>
      </c>
      <c r="AU25" s="2">
        <f t="shared" si="18"/>
        <v>13</v>
      </c>
      <c r="AV25">
        <v>11</v>
      </c>
      <c r="AW25">
        <v>4</v>
      </c>
      <c r="AX25">
        <v>1</v>
      </c>
      <c r="AY25">
        <f t="shared" si="19"/>
        <v>6</v>
      </c>
      <c r="AZ25">
        <v>14</v>
      </c>
      <c r="BA25">
        <v>22</v>
      </c>
      <c r="BB25">
        <f t="shared" si="20"/>
        <v>-8</v>
      </c>
      <c r="BD25" t="s">
        <v>553</v>
      </c>
      <c r="BE25" t="s">
        <v>54</v>
      </c>
      <c r="BF25" t="s">
        <v>554</v>
      </c>
      <c r="BH25" t="s">
        <v>554</v>
      </c>
      <c r="BI25" t="s">
        <v>30</v>
      </c>
      <c r="BJ25" t="s">
        <v>553</v>
      </c>
    </row>
    <row r="26" spans="1:62" x14ac:dyDescent="0.3">
      <c r="A26" t="s">
        <v>27</v>
      </c>
      <c r="AS26" t="s">
        <v>66</v>
      </c>
      <c r="AT26" t="s">
        <v>136</v>
      </c>
      <c r="AU26" s="2">
        <f t="shared" si="18"/>
        <v>13</v>
      </c>
      <c r="AV26">
        <v>11</v>
      </c>
      <c r="AW26">
        <v>3</v>
      </c>
      <c r="AX26">
        <v>4</v>
      </c>
      <c r="AY26">
        <f t="shared" si="19"/>
        <v>4</v>
      </c>
      <c r="AZ26">
        <v>18</v>
      </c>
      <c r="BA26">
        <v>21</v>
      </c>
      <c r="BB26">
        <f t="shared" si="20"/>
        <v>-3</v>
      </c>
      <c r="BD26" t="s">
        <v>540</v>
      </c>
      <c r="BE26" t="s">
        <v>54</v>
      </c>
      <c r="BF26" t="s">
        <v>118</v>
      </c>
      <c r="BH26" t="s">
        <v>118</v>
      </c>
      <c r="BI26" t="s">
        <v>31</v>
      </c>
      <c r="BJ26" t="s">
        <v>540</v>
      </c>
    </row>
    <row r="27" spans="1:62" x14ac:dyDescent="0.3">
      <c r="A27" t="s">
        <v>542</v>
      </c>
      <c r="B27" t="s">
        <v>43</v>
      </c>
      <c r="C27" t="s">
        <v>18</v>
      </c>
      <c r="E27" t="s">
        <v>18</v>
      </c>
      <c r="F27" t="s">
        <v>29</v>
      </c>
      <c r="G27" t="s">
        <v>542</v>
      </c>
      <c r="AS27" t="s">
        <v>137</v>
      </c>
      <c r="AT27" t="s">
        <v>592</v>
      </c>
      <c r="AU27" s="2">
        <f t="shared" si="18"/>
        <v>12</v>
      </c>
      <c r="AV27">
        <v>11</v>
      </c>
      <c r="AW27">
        <v>2</v>
      </c>
      <c r="AX27">
        <v>6</v>
      </c>
      <c r="AY27">
        <f t="shared" si="19"/>
        <v>3</v>
      </c>
      <c r="AZ27">
        <v>17</v>
      </c>
      <c r="BA27">
        <v>18</v>
      </c>
      <c r="BB27">
        <f t="shared" si="20"/>
        <v>-1</v>
      </c>
    </row>
    <row r="28" spans="1:62" x14ac:dyDescent="0.3">
      <c r="A28" t="s">
        <v>547</v>
      </c>
      <c r="B28" t="s">
        <v>65</v>
      </c>
      <c r="C28" t="s">
        <v>544</v>
      </c>
      <c r="E28" t="s">
        <v>544</v>
      </c>
      <c r="F28" t="s">
        <v>57</v>
      </c>
      <c r="G28" t="s">
        <v>547</v>
      </c>
      <c r="AS28" t="s">
        <v>149</v>
      </c>
      <c r="AT28" t="s">
        <v>578</v>
      </c>
      <c r="AU28" s="2">
        <f t="shared" si="18"/>
        <v>10</v>
      </c>
      <c r="AV28">
        <v>11</v>
      </c>
      <c r="AW28">
        <v>3</v>
      </c>
      <c r="AX28">
        <v>1</v>
      </c>
      <c r="AY28">
        <f t="shared" si="19"/>
        <v>7</v>
      </c>
      <c r="AZ28">
        <v>11</v>
      </c>
      <c r="BA28">
        <v>20</v>
      </c>
      <c r="BB28">
        <f t="shared" si="20"/>
        <v>-9</v>
      </c>
      <c r="BD28" t="s">
        <v>27</v>
      </c>
    </row>
    <row r="29" spans="1:62" x14ac:dyDescent="0.3">
      <c r="BD29" t="s">
        <v>557</v>
      </c>
      <c r="BE29" t="s">
        <v>65</v>
      </c>
      <c r="BF29" t="s">
        <v>545</v>
      </c>
      <c r="BH29" t="s">
        <v>545</v>
      </c>
      <c r="BI29" t="s">
        <v>29</v>
      </c>
      <c r="BJ29" t="s">
        <v>557</v>
      </c>
    </row>
    <row r="30" spans="1:62" x14ac:dyDescent="0.3">
      <c r="A30" t="s">
        <v>33</v>
      </c>
      <c r="AS30" t="s">
        <v>221</v>
      </c>
      <c r="BD30" t="s">
        <v>553</v>
      </c>
      <c r="BE30" t="s">
        <v>30</v>
      </c>
      <c r="BF30" t="s">
        <v>540</v>
      </c>
      <c r="BH30" t="s">
        <v>540</v>
      </c>
      <c r="BI30" t="s">
        <v>57</v>
      </c>
      <c r="BJ30" t="s">
        <v>553</v>
      </c>
    </row>
    <row r="31" spans="1:62" x14ac:dyDescent="0.3">
      <c r="A31" t="s">
        <v>542</v>
      </c>
      <c r="B31" t="s">
        <v>405</v>
      </c>
      <c r="C31" t="s">
        <v>547</v>
      </c>
      <c r="AS31" t="str">
        <f>AT7</f>
        <v>Magé Brescia</v>
      </c>
      <c r="AT31" t="s">
        <v>54</v>
      </c>
      <c r="AU31" t="str">
        <f>AT4</f>
        <v>Campos</v>
      </c>
      <c r="AW31" t="str">
        <f>AT4</f>
        <v>Campos</v>
      </c>
      <c r="AX31" t="s">
        <v>57</v>
      </c>
      <c r="AY31" t="str">
        <f>AT7</f>
        <v>Magé Brescia</v>
      </c>
    </row>
    <row r="32" spans="1:62" x14ac:dyDescent="0.3">
      <c r="AS32" t="str">
        <f>AT6</f>
        <v>União Central</v>
      </c>
      <c r="AT32" t="s">
        <v>43</v>
      </c>
      <c r="AU32" t="str">
        <f>AT5</f>
        <v>Juventus</v>
      </c>
      <c r="AW32" t="str">
        <f>AT5</f>
        <v>Juventus</v>
      </c>
      <c r="AX32" t="s">
        <v>57</v>
      </c>
      <c r="AY32" t="str">
        <f>AT6</f>
        <v>União Central</v>
      </c>
      <c r="BD32" t="s">
        <v>33</v>
      </c>
    </row>
    <row r="33" spans="1:62" x14ac:dyDescent="0.3">
      <c r="A33" t="s">
        <v>546</v>
      </c>
      <c r="AS33" t="str">
        <f>AT21</f>
        <v>Cardoso Moreira</v>
      </c>
      <c r="AT33" t="s">
        <v>29</v>
      </c>
      <c r="AU33" t="str">
        <f>AT18</f>
        <v>Rio Barra</v>
      </c>
      <c r="AW33" t="str">
        <f>AT18</f>
        <v>Rio Barra</v>
      </c>
      <c r="AX33" t="s">
        <v>43</v>
      </c>
      <c r="AY33" t="str">
        <f>AT21</f>
        <v>Cardoso Moreira</v>
      </c>
      <c r="BD33" t="s">
        <v>557</v>
      </c>
      <c r="BE33" t="s">
        <v>36</v>
      </c>
      <c r="BF33" t="s">
        <v>553</v>
      </c>
      <c r="BH33" t="s">
        <v>553</v>
      </c>
      <c r="BI33" t="s">
        <v>54</v>
      </c>
      <c r="BJ33" t="s">
        <v>557</v>
      </c>
    </row>
    <row r="34" spans="1:62" x14ac:dyDescent="0.3">
      <c r="A34" t="s">
        <v>27</v>
      </c>
      <c r="AS34" t="str">
        <f>AT20</f>
        <v>Búzios</v>
      </c>
      <c r="AT34" t="s">
        <v>36</v>
      </c>
      <c r="AU34" t="str">
        <f>AT19</f>
        <v>Ceres</v>
      </c>
      <c r="AW34" t="str">
        <f>AT19</f>
        <v>Ceres</v>
      </c>
      <c r="AX34" t="s">
        <v>57</v>
      </c>
      <c r="AY34" t="str">
        <f>AT20</f>
        <v>Búzios</v>
      </c>
    </row>
    <row r="35" spans="1:62" x14ac:dyDescent="0.3">
      <c r="A35" t="s">
        <v>541</v>
      </c>
      <c r="B35" t="s">
        <v>36</v>
      </c>
      <c r="C35" t="s">
        <v>545</v>
      </c>
      <c r="E35" t="s">
        <v>545</v>
      </c>
      <c r="F35" t="s">
        <v>28</v>
      </c>
      <c r="G35" t="s">
        <v>541</v>
      </c>
    </row>
    <row r="36" spans="1:62" x14ac:dyDescent="0.3">
      <c r="A36" t="s">
        <v>540</v>
      </c>
      <c r="B36" t="s">
        <v>43</v>
      </c>
      <c r="C36" t="s">
        <v>440</v>
      </c>
      <c r="E36" t="s">
        <v>440</v>
      </c>
      <c r="F36" t="s">
        <v>516</v>
      </c>
      <c r="G36" t="s">
        <v>540</v>
      </c>
      <c r="AS36" t="s">
        <v>27</v>
      </c>
    </row>
    <row r="37" spans="1:62" x14ac:dyDescent="0.3">
      <c r="AS37" t="s">
        <v>583</v>
      </c>
      <c r="AT37" t="s">
        <v>36</v>
      </c>
      <c r="AU37" t="s">
        <v>580</v>
      </c>
      <c r="AW37" t="s">
        <v>580</v>
      </c>
      <c r="AX37" t="s">
        <v>28</v>
      </c>
      <c r="AY37" t="s">
        <v>583</v>
      </c>
    </row>
    <row r="38" spans="1:62" x14ac:dyDescent="0.3">
      <c r="A38" t="s">
        <v>33</v>
      </c>
      <c r="AS38" t="s">
        <v>577</v>
      </c>
      <c r="AT38" t="s">
        <v>28</v>
      </c>
      <c r="AU38" t="s">
        <v>593</v>
      </c>
      <c r="AW38" t="s">
        <v>593</v>
      </c>
      <c r="AX38" t="s">
        <v>36</v>
      </c>
      <c r="AY38" t="s">
        <v>577</v>
      </c>
    </row>
    <row r="39" spans="1:62" x14ac:dyDescent="0.3">
      <c r="A39" t="s">
        <v>541</v>
      </c>
      <c r="B39" t="s">
        <v>43</v>
      </c>
      <c r="C39" t="s">
        <v>440</v>
      </c>
    </row>
    <row r="40" spans="1:62" x14ac:dyDescent="0.3">
      <c r="AS40" t="s">
        <v>33</v>
      </c>
    </row>
    <row r="41" spans="1:62" x14ac:dyDescent="0.3">
      <c r="A41" t="s">
        <v>185</v>
      </c>
      <c r="AS41" t="s">
        <v>583</v>
      </c>
      <c r="AT41" t="s">
        <v>54</v>
      </c>
      <c r="AU41" t="s">
        <v>593</v>
      </c>
      <c r="AW41" t="s">
        <v>593</v>
      </c>
      <c r="AX41" t="s">
        <v>69</v>
      </c>
      <c r="AY41" t="s">
        <v>583</v>
      </c>
    </row>
    <row r="42" spans="1:62" x14ac:dyDescent="0.3">
      <c r="A42" t="s">
        <v>1</v>
      </c>
      <c r="B42" t="s">
        <v>2</v>
      </c>
      <c r="C42" t="s">
        <v>3</v>
      </c>
      <c r="D42" t="s">
        <v>4</v>
      </c>
      <c r="E42" t="s">
        <v>5</v>
      </c>
      <c r="F42" t="s">
        <v>6</v>
      </c>
      <c r="G42" t="s">
        <v>7</v>
      </c>
      <c r="H42" t="s">
        <v>8</v>
      </c>
      <c r="I42" t="s">
        <v>9</v>
      </c>
      <c r="J42" t="s">
        <v>10</v>
      </c>
    </row>
    <row r="43" spans="1:62" x14ac:dyDescent="0.3">
      <c r="A43" t="s">
        <v>11</v>
      </c>
      <c r="B43" t="s">
        <v>497</v>
      </c>
      <c r="C43" s="2">
        <f>E43*3+F43</f>
        <v>11</v>
      </c>
      <c r="D43">
        <v>6</v>
      </c>
      <c r="E43">
        <v>3</v>
      </c>
      <c r="F43">
        <v>2</v>
      </c>
      <c r="G43">
        <f>D43-E43-F43</f>
        <v>1</v>
      </c>
      <c r="H43">
        <v>6</v>
      </c>
      <c r="I43">
        <v>4</v>
      </c>
      <c r="J43">
        <f>H43-I43</f>
        <v>2</v>
      </c>
    </row>
    <row r="44" spans="1:62" x14ac:dyDescent="0.3">
      <c r="A44" t="s">
        <v>13</v>
      </c>
      <c r="B44" t="s">
        <v>543</v>
      </c>
      <c r="C44" s="2">
        <f>E44*3+F44</f>
        <v>9</v>
      </c>
      <c r="D44">
        <v>6</v>
      </c>
      <c r="E44">
        <v>3</v>
      </c>
      <c r="F44">
        <v>0</v>
      </c>
      <c r="G44">
        <f t="shared" ref="G44:G46" si="21">D44-E44-F44</f>
        <v>3</v>
      </c>
      <c r="H44">
        <v>7</v>
      </c>
      <c r="I44">
        <v>6</v>
      </c>
      <c r="J44">
        <f t="shared" ref="J44:J46" si="22">H44-I44</f>
        <v>1</v>
      </c>
    </row>
    <row r="45" spans="1:62" x14ac:dyDescent="0.3">
      <c r="A45" t="s">
        <v>15</v>
      </c>
      <c r="B45" t="s">
        <v>118</v>
      </c>
      <c r="C45" s="2">
        <f>E45*3+F45</f>
        <v>8</v>
      </c>
      <c r="D45">
        <v>6</v>
      </c>
      <c r="E45">
        <v>2</v>
      </c>
      <c r="F45">
        <v>2</v>
      </c>
      <c r="G45">
        <f t="shared" si="21"/>
        <v>2</v>
      </c>
      <c r="H45">
        <v>5</v>
      </c>
      <c r="I45">
        <v>6</v>
      </c>
      <c r="J45">
        <f t="shared" si="22"/>
        <v>-1</v>
      </c>
    </row>
    <row r="46" spans="1:62" x14ac:dyDescent="0.3">
      <c r="A46" s="3" t="s">
        <v>17</v>
      </c>
      <c r="B46" t="s">
        <v>139</v>
      </c>
      <c r="C46" s="2">
        <f>E46*3+F46</f>
        <v>6</v>
      </c>
      <c r="D46">
        <v>6</v>
      </c>
      <c r="E46">
        <v>2</v>
      </c>
      <c r="F46">
        <v>0</v>
      </c>
      <c r="G46">
        <f t="shared" si="21"/>
        <v>4</v>
      </c>
      <c r="H46">
        <v>5</v>
      </c>
      <c r="I46">
        <v>7</v>
      </c>
      <c r="J46">
        <f t="shared" si="22"/>
        <v>-2</v>
      </c>
    </row>
    <row r="47" spans="1:62" x14ac:dyDescent="0.3">
      <c r="C47" s="2"/>
    </row>
    <row r="48" spans="1:62" x14ac:dyDescent="0.3">
      <c r="A48" t="s">
        <v>38</v>
      </c>
      <c r="C48" s="2"/>
    </row>
    <row r="49" spans="1:1" x14ac:dyDescent="0.3">
      <c r="A49" t="s">
        <v>547</v>
      </c>
    </row>
    <row r="50" spans="1:1" x14ac:dyDescent="0.3">
      <c r="A50" t="s">
        <v>542</v>
      </c>
    </row>
    <row r="51" spans="1:1" x14ac:dyDescent="0.3">
      <c r="A51" t="s">
        <v>553</v>
      </c>
    </row>
    <row r="53" spans="1:1" x14ac:dyDescent="0.3">
      <c r="A53" t="s">
        <v>39</v>
      </c>
    </row>
    <row r="54" spans="1:1" x14ac:dyDescent="0.3">
      <c r="A54" t="s">
        <v>547</v>
      </c>
    </row>
    <row r="55" spans="1:1" x14ac:dyDescent="0.3">
      <c r="A55" t="s">
        <v>542</v>
      </c>
    </row>
    <row r="56" spans="1:1" x14ac:dyDescent="0.3">
      <c r="A56" t="s">
        <v>18</v>
      </c>
    </row>
    <row r="57" spans="1:1" x14ac:dyDescent="0.3">
      <c r="A57" t="s">
        <v>544</v>
      </c>
    </row>
    <row r="58" spans="1:1" x14ac:dyDescent="0.3">
      <c r="A58" t="s">
        <v>541</v>
      </c>
    </row>
    <row r="59" spans="1:1" x14ac:dyDescent="0.3">
      <c r="A59" t="s">
        <v>557</v>
      </c>
    </row>
  </sheetData>
  <sortState xmlns:xlrd2="http://schemas.microsoft.com/office/spreadsheetml/2017/richdata2" ref="AT18:BB28">
    <sortCondition descending="1" ref="AU18:AU28"/>
    <sortCondition descending="1" ref="AW18:AW28"/>
    <sortCondition descending="1" ref="BB18:BB28"/>
    <sortCondition descending="1" ref="AZ18:AZ28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F3DAF-A8B7-4F10-9D61-D44BE200ABCA}">
  <dimension ref="A1:X30"/>
  <sheetViews>
    <sheetView topLeftCell="E1" workbookViewId="0">
      <selection activeCell="N3" sqref="N3:N9"/>
    </sheetView>
  </sheetViews>
  <sheetFormatPr defaultRowHeight="14.4" x14ac:dyDescent="0.3"/>
  <sheetData>
    <row r="1" spans="1:24" x14ac:dyDescent="0.3">
      <c r="A1" t="s">
        <v>600</v>
      </c>
      <c r="L1" t="s">
        <v>607</v>
      </c>
      <c r="W1" t="s">
        <v>70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603</v>
      </c>
      <c r="X2">
        <v>58</v>
      </c>
    </row>
    <row r="3" spans="1:24" x14ac:dyDescent="0.3">
      <c r="A3" s="1" t="s">
        <v>11</v>
      </c>
      <c r="B3" t="s">
        <v>606</v>
      </c>
      <c r="C3" s="2">
        <f t="shared" ref="C3:C10" si="0">E3*3+F3</f>
        <v>12</v>
      </c>
      <c r="D3">
        <v>7</v>
      </c>
      <c r="E3">
        <v>4</v>
      </c>
      <c r="F3">
        <v>0</v>
      </c>
      <c r="G3">
        <f>D3-E3-F3</f>
        <v>3</v>
      </c>
      <c r="H3">
        <v>15</v>
      </c>
      <c r="I3">
        <v>9</v>
      </c>
      <c r="J3">
        <f>H3-I3</f>
        <v>6</v>
      </c>
      <c r="L3" s="1" t="s">
        <v>11</v>
      </c>
      <c r="M3" t="s">
        <v>611</v>
      </c>
      <c r="N3" s="2">
        <f t="shared" ref="N3:N9" si="1">P3*3+Q3</f>
        <v>15</v>
      </c>
      <c r="O3">
        <v>6</v>
      </c>
      <c r="P3">
        <v>5</v>
      </c>
      <c r="Q3">
        <v>0</v>
      </c>
      <c r="R3">
        <f>O3-P3-Q3</f>
        <v>1</v>
      </c>
      <c r="S3">
        <v>12</v>
      </c>
      <c r="T3">
        <v>8</v>
      </c>
      <c r="U3">
        <f>S3-T3</f>
        <v>4</v>
      </c>
      <c r="W3" t="s">
        <v>601</v>
      </c>
      <c r="X3">
        <v>2</v>
      </c>
    </row>
    <row r="4" spans="1:24" x14ac:dyDescent="0.3">
      <c r="A4" s="1" t="s">
        <v>13</v>
      </c>
      <c r="B4" t="s">
        <v>600</v>
      </c>
      <c r="C4" s="2">
        <f t="shared" si="0"/>
        <v>12</v>
      </c>
      <c r="D4">
        <v>7</v>
      </c>
      <c r="E4">
        <v>3</v>
      </c>
      <c r="F4">
        <v>3</v>
      </c>
      <c r="G4">
        <f t="shared" ref="G4:G10" si="2">D4-E4-F4</f>
        <v>1</v>
      </c>
      <c r="H4">
        <v>13</v>
      </c>
      <c r="I4">
        <v>9</v>
      </c>
      <c r="J4">
        <f t="shared" ref="J4:J10" si="3">H4-I4</f>
        <v>4</v>
      </c>
      <c r="L4" s="1" t="s">
        <v>13</v>
      </c>
      <c r="M4" t="s">
        <v>610</v>
      </c>
      <c r="N4" s="2">
        <f t="shared" si="1"/>
        <v>10</v>
      </c>
      <c r="O4">
        <v>6</v>
      </c>
      <c r="P4">
        <v>3</v>
      </c>
      <c r="Q4">
        <v>1</v>
      </c>
      <c r="R4">
        <f t="shared" ref="R4:R9" si="4">O4-P4-Q4</f>
        <v>2</v>
      </c>
      <c r="S4">
        <v>14</v>
      </c>
      <c r="T4">
        <v>11</v>
      </c>
      <c r="U4">
        <f t="shared" ref="U4:U9" si="5">S4-T4</f>
        <v>3</v>
      </c>
    </row>
    <row r="5" spans="1:24" x14ac:dyDescent="0.3">
      <c r="A5" s="4" t="s">
        <v>15</v>
      </c>
      <c r="B5" t="s">
        <v>12</v>
      </c>
      <c r="C5" s="2">
        <f t="shared" si="0"/>
        <v>12</v>
      </c>
      <c r="D5">
        <v>7</v>
      </c>
      <c r="E5">
        <v>3</v>
      </c>
      <c r="F5">
        <v>3</v>
      </c>
      <c r="G5">
        <f t="shared" si="2"/>
        <v>1</v>
      </c>
      <c r="H5">
        <v>10</v>
      </c>
      <c r="I5">
        <v>9</v>
      </c>
      <c r="J5">
        <f t="shared" si="3"/>
        <v>1</v>
      </c>
      <c r="L5" s="1" t="s">
        <v>15</v>
      </c>
      <c r="M5" t="s">
        <v>609</v>
      </c>
      <c r="N5" s="2">
        <f t="shared" si="1"/>
        <v>10</v>
      </c>
      <c r="O5">
        <v>6</v>
      </c>
      <c r="P5">
        <v>3</v>
      </c>
      <c r="Q5">
        <v>1</v>
      </c>
      <c r="R5">
        <f t="shared" si="4"/>
        <v>2</v>
      </c>
      <c r="S5">
        <v>7</v>
      </c>
      <c r="T5">
        <v>4</v>
      </c>
      <c r="U5">
        <f t="shared" si="5"/>
        <v>3</v>
      </c>
    </row>
    <row r="6" spans="1:24" x14ac:dyDescent="0.3">
      <c r="A6" s="4" t="s">
        <v>17</v>
      </c>
      <c r="B6" t="s">
        <v>603</v>
      </c>
      <c r="C6" s="2">
        <f t="shared" si="0"/>
        <v>11</v>
      </c>
      <c r="D6">
        <v>7</v>
      </c>
      <c r="E6">
        <v>3</v>
      </c>
      <c r="F6">
        <v>2</v>
      </c>
      <c r="G6">
        <f t="shared" si="2"/>
        <v>2</v>
      </c>
      <c r="H6">
        <v>11</v>
      </c>
      <c r="I6">
        <v>7</v>
      </c>
      <c r="J6">
        <f t="shared" si="3"/>
        <v>4</v>
      </c>
      <c r="L6" s="1" t="s">
        <v>17</v>
      </c>
      <c r="M6" t="s">
        <v>601</v>
      </c>
      <c r="N6" s="2">
        <f t="shared" si="1"/>
        <v>9</v>
      </c>
      <c r="O6">
        <v>6</v>
      </c>
      <c r="P6">
        <v>3</v>
      </c>
      <c r="Q6">
        <v>0</v>
      </c>
      <c r="R6">
        <f t="shared" si="4"/>
        <v>3</v>
      </c>
      <c r="S6">
        <v>8</v>
      </c>
      <c r="T6">
        <v>8</v>
      </c>
      <c r="U6">
        <f t="shared" si="5"/>
        <v>0</v>
      </c>
    </row>
    <row r="7" spans="1:24" x14ac:dyDescent="0.3">
      <c r="A7" s="4" t="s">
        <v>19</v>
      </c>
      <c r="B7" t="s">
        <v>602</v>
      </c>
      <c r="C7" s="2">
        <f t="shared" si="0"/>
        <v>10</v>
      </c>
      <c r="D7">
        <v>7</v>
      </c>
      <c r="E7">
        <v>3</v>
      </c>
      <c r="F7">
        <v>1</v>
      </c>
      <c r="G7">
        <f t="shared" si="2"/>
        <v>3</v>
      </c>
      <c r="H7">
        <v>10</v>
      </c>
      <c r="I7">
        <v>10</v>
      </c>
      <c r="J7">
        <f t="shared" si="3"/>
        <v>0</v>
      </c>
      <c r="L7" t="s">
        <v>19</v>
      </c>
      <c r="M7" t="s">
        <v>604</v>
      </c>
      <c r="N7" s="2">
        <f t="shared" si="1"/>
        <v>6</v>
      </c>
      <c r="O7">
        <v>6</v>
      </c>
      <c r="P7">
        <v>2</v>
      </c>
      <c r="Q7">
        <v>0</v>
      </c>
      <c r="R7">
        <f t="shared" si="4"/>
        <v>4</v>
      </c>
      <c r="S7">
        <v>9</v>
      </c>
      <c r="T7">
        <v>12</v>
      </c>
      <c r="U7">
        <f t="shared" si="5"/>
        <v>-3</v>
      </c>
    </row>
    <row r="8" spans="1:24" x14ac:dyDescent="0.3">
      <c r="A8" s="4" t="s">
        <v>21</v>
      </c>
      <c r="B8" t="s">
        <v>268</v>
      </c>
      <c r="C8" s="2">
        <f t="shared" si="0"/>
        <v>8</v>
      </c>
      <c r="D8">
        <v>7</v>
      </c>
      <c r="E8">
        <v>2</v>
      </c>
      <c r="F8">
        <v>2</v>
      </c>
      <c r="G8">
        <f t="shared" si="2"/>
        <v>3</v>
      </c>
      <c r="H8">
        <v>9</v>
      </c>
      <c r="I8">
        <v>11</v>
      </c>
      <c r="J8">
        <f t="shared" si="3"/>
        <v>-2</v>
      </c>
      <c r="L8" t="s">
        <v>21</v>
      </c>
      <c r="M8" t="s">
        <v>608</v>
      </c>
      <c r="N8" s="2">
        <f t="shared" si="1"/>
        <v>6</v>
      </c>
      <c r="O8">
        <v>6</v>
      </c>
      <c r="P8">
        <v>2</v>
      </c>
      <c r="Q8">
        <v>0</v>
      </c>
      <c r="R8">
        <f t="shared" si="4"/>
        <v>4</v>
      </c>
      <c r="S8">
        <v>8</v>
      </c>
      <c r="T8">
        <v>11</v>
      </c>
      <c r="U8">
        <f t="shared" si="5"/>
        <v>-3</v>
      </c>
    </row>
    <row r="9" spans="1:24" x14ac:dyDescent="0.3">
      <c r="A9" s="3" t="s">
        <v>23</v>
      </c>
      <c r="B9" t="s">
        <v>601</v>
      </c>
      <c r="C9" s="2">
        <f t="shared" si="0"/>
        <v>7</v>
      </c>
      <c r="D9">
        <v>7</v>
      </c>
      <c r="E9">
        <v>2</v>
      </c>
      <c r="F9">
        <v>1</v>
      </c>
      <c r="G9">
        <f t="shared" si="2"/>
        <v>4</v>
      </c>
      <c r="H9">
        <v>9</v>
      </c>
      <c r="I9">
        <v>18</v>
      </c>
      <c r="J9">
        <f t="shared" si="3"/>
        <v>-9</v>
      </c>
      <c r="L9" t="s">
        <v>23</v>
      </c>
      <c r="M9" t="s">
        <v>605</v>
      </c>
      <c r="N9" s="2">
        <f t="shared" si="1"/>
        <v>6</v>
      </c>
      <c r="O9">
        <v>6</v>
      </c>
      <c r="P9">
        <v>2</v>
      </c>
      <c r="Q9">
        <v>0</v>
      </c>
      <c r="R9">
        <f t="shared" si="4"/>
        <v>4</v>
      </c>
      <c r="S9">
        <v>10</v>
      </c>
      <c r="T9">
        <v>14</v>
      </c>
      <c r="U9">
        <f t="shared" si="5"/>
        <v>-4</v>
      </c>
    </row>
    <row r="10" spans="1:24" x14ac:dyDescent="0.3">
      <c r="A10" s="3" t="s">
        <v>25</v>
      </c>
      <c r="B10" t="s">
        <v>604</v>
      </c>
      <c r="C10" s="2">
        <f t="shared" si="0"/>
        <v>5</v>
      </c>
      <c r="D10">
        <v>7</v>
      </c>
      <c r="E10">
        <v>1</v>
      </c>
      <c r="F10">
        <v>2</v>
      </c>
      <c r="G10">
        <f t="shared" si="2"/>
        <v>4</v>
      </c>
      <c r="H10">
        <v>5</v>
      </c>
      <c r="I10">
        <v>9</v>
      </c>
      <c r="J10">
        <f t="shared" si="3"/>
        <v>-4</v>
      </c>
    </row>
    <row r="11" spans="1:24" x14ac:dyDescent="0.3">
      <c r="L11" t="s">
        <v>612</v>
      </c>
    </row>
    <row r="12" spans="1:24" x14ac:dyDescent="0.3">
      <c r="A12" t="s">
        <v>86</v>
      </c>
      <c r="L12" t="s">
        <v>1</v>
      </c>
      <c r="M12" t="s">
        <v>2</v>
      </c>
      <c r="N12" t="s">
        <v>3</v>
      </c>
      <c r="O12" t="s">
        <v>4</v>
      </c>
      <c r="P12" t="s">
        <v>5</v>
      </c>
      <c r="Q12" t="s">
        <v>6</v>
      </c>
      <c r="R12" t="s">
        <v>7</v>
      </c>
      <c r="S12" t="s">
        <v>8</v>
      </c>
      <c r="T12" t="s">
        <v>9</v>
      </c>
      <c r="U12" t="s">
        <v>10</v>
      </c>
    </row>
    <row r="13" spans="1:24" x14ac:dyDescent="0.3">
      <c r="A13" t="str">
        <f>B8</f>
        <v>América</v>
      </c>
      <c r="B13" t="s">
        <v>30</v>
      </c>
      <c r="C13" t="str">
        <f>B5</f>
        <v>Santa Cruz</v>
      </c>
      <c r="E13" t="str">
        <f>B5</f>
        <v>Santa Cruz</v>
      </c>
      <c r="F13" t="s">
        <v>29</v>
      </c>
      <c r="G13" t="str">
        <f>B8</f>
        <v>América</v>
      </c>
      <c r="L13" s="1" t="s">
        <v>11</v>
      </c>
      <c r="M13" t="s">
        <v>601</v>
      </c>
      <c r="N13" s="2">
        <f>P13*3+Q13</f>
        <v>6</v>
      </c>
      <c r="O13">
        <v>3</v>
      </c>
      <c r="P13">
        <v>2</v>
      </c>
      <c r="Q13">
        <v>0</v>
      </c>
      <c r="R13">
        <f>O13-P13-Q13</f>
        <v>1</v>
      </c>
      <c r="S13">
        <v>7</v>
      </c>
      <c r="T13">
        <v>4</v>
      </c>
      <c r="U13">
        <f>S13-T13</f>
        <v>3</v>
      </c>
    </row>
    <row r="14" spans="1:24" x14ac:dyDescent="0.3">
      <c r="A14" t="str">
        <f>B7</f>
        <v>Potyguar</v>
      </c>
      <c r="B14" t="s">
        <v>28</v>
      </c>
      <c r="C14" t="str">
        <f>B6</f>
        <v>ABC</v>
      </c>
      <c r="E14" t="str">
        <f>B6</f>
        <v>ABC</v>
      </c>
      <c r="F14" t="s">
        <v>43</v>
      </c>
      <c r="G14" t="str">
        <f>B7</f>
        <v>Potyguar</v>
      </c>
      <c r="L14" s="1" t="s">
        <v>13</v>
      </c>
      <c r="M14" t="s">
        <v>609</v>
      </c>
      <c r="N14" s="2">
        <f>P14*3+Q14</f>
        <v>6</v>
      </c>
      <c r="O14">
        <v>3</v>
      </c>
      <c r="P14">
        <v>2</v>
      </c>
      <c r="Q14">
        <v>0</v>
      </c>
      <c r="R14">
        <f t="shared" ref="R14:R16" si="6">O14-P14-Q14</f>
        <v>1</v>
      </c>
      <c r="S14">
        <v>5</v>
      </c>
      <c r="T14">
        <v>3</v>
      </c>
      <c r="U14">
        <f t="shared" ref="U14:U16" si="7">S14-T14</f>
        <v>2</v>
      </c>
    </row>
    <row r="15" spans="1:24" x14ac:dyDescent="0.3">
      <c r="L15" t="s">
        <v>15</v>
      </c>
      <c r="M15" t="s">
        <v>610</v>
      </c>
      <c r="N15" s="2">
        <f>P15*3+Q15</f>
        <v>6</v>
      </c>
      <c r="O15">
        <v>3</v>
      </c>
      <c r="P15">
        <v>2</v>
      </c>
      <c r="Q15">
        <v>0</v>
      </c>
      <c r="R15">
        <f t="shared" si="6"/>
        <v>1</v>
      </c>
      <c r="S15">
        <v>4</v>
      </c>
      <c r="T15">
        <v>3</v>
      </c>
      <c r="U15">
        <f t="shared" si="7"/>
        <v>1</v>
      </c>
    </row>
    <row r="16" spans="1:24" x14ac:dyDescent="0.3">
      <c r="A16" t="s">
        <v>27</v>
      </c>
      <c r="L16" t="s">
        <v>17</v>
      </c>
      <c r="M16" t="s">
        <v>611</v>
      </c>
      <c r="N16" s="2">
        <f>P16*3+Q16</f>
        <v>0</v>
      </c>
      <c r="O16">
        <v>3</v>
      </c>
      <c r="P16">
        <v>0</v>
      </c>
      <c r="Q16">
        <v>0</v>
      </c>
      <c r="R16">
        <f t="shared" si="6"/>
        <v>3</v>
      </c>
      <c r="S16">
        <v>3</v>
      </c>
      <c r="T16">
        <v>9</v>
      </c>
      <c r="U16">
        <f t="shared" si="7"/>
        <v>-6</v>
      </c>
    </row>
    <row r="17" spans="1:7" x14ac:dyDescent="0.3">
      <c r="A17" t="s">
        <v>603</v>
      </c>
      <c r="B17" t="s">
        <v>74</v>
      </c>
      <c r="C17" t="str">
        <f>B3</f>
        <v>Alecrim</v>
      </c>
      <c r="E17" t="str">
        <f>B3</f>
        <v>Alecrim</v>
      </c>
      <c r="F17" t="s">
        <v>69</v>
      </c>
      <c r="G17" t="s">
        <v>603</v>
      </c>
    </row>
    <row r="18" spans="1:7" x14ac:dyDescent="0.3">
      <c r="A18" t="s">
        <v>268</v>
      </c>
      <c r="B18" t="s">
        <v>69</v>
      </c>
      <c r="C18" t="str">
        <f>B4</f>
        <v>Potiguar</v>
      </c>
      <c r="E18" t="str">
        <f>B4</f>
        <v>Potiguar</v>
      </c>
      <c r="F18" t="s">
        <v>57</v>
      </c>
      <c r="G18" t="s">
        <v>268</v>
      </c>
    </row>
    <row r="20" spans="1:7" x14ac:dyDescent="0.3">
      <c r="A20" t="s">
        <v>33</v>
      </c>
    </row>
    <row r="21" spans="1:7" x14ac:dyDescent="0.3">
      <c r="A21" t="s">
        <v>600</v>
      </c>
      <c r="B21" t="s">
        <v>28</v>
      </c>
      <c r="C21" t="s">
        <v>603</v>
      </c>
      <c r="E21" t="s">
        <v>603</v>
      </c>
      <c r="F21" t="s">
        <v>30</v>
      </c>
      <c r="G21" t="s">
        <v>600</v>
      </c>
    </row>
    <row r="23" spans="1:7" x14ac:dyDescent="0.3">
      <c r="A23" t="s">
        <v>38</v>
      </c>
    </row>
    <row r="24" spans="1:7" x14ac:dyDescent="0.3">
      <c r="A24" t="s">
        <v>603</v>
      </c>
    </row>
    <row r="25" spans="1:7" x14ac:dyDescent="0.3">
      <c r="A25" t="s">
        <v>600</v>
      </c>
    </row>
    <row r="27" spans="1:7" x14ac:dyDescent="0.3">
      <c r="A27" t="s">
        <v>39</v>
      </c>
    </row>
    <row r="28" spans="1:7" x14ac:dyDescent="0.3">
      <c r="A28" t="s">
        <v>603</v>
      </c>
    </row>
    <row r="29" spans="1:7" x14ac:dyDescent="0.3">
      <c r="A29" t="s">
        <v>600</v>
      </c>
    </row>
    <row r="30" spans="1:7" x14ac:dyDescent="0.3">
      <c r="A30" t="s">
        <v>606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BF39-7F51-4AE7-AF37-165CCCDC84E7}">
  <dimension ref="A1:Q25"/>
  <sheetViews>
    <sheetView workbookViewId="0">
      <selection activeCell="Q3" sqref="Q3"/>
    </sheetView>
  </sheetViews>
  <sheetFormatPr defaultRowHeight="14.4" x14ac:dyDescent="0.3"/>
  <sheetData>
    <row r="1" spans="1:17" x14ac:dyDescent="0.3">
      <c r="A1" t="s">
        <v>613</v>
      </c>
      <c r="L1" t="s">
        <v>620</v>
      </c>
      <c r="P1" t="s">
        <v>70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33</v>
      </c>
      <c r="P2" t="s">
        <v>613</v>
      </c>
      <c r="Q2">
        <v>3</v>
      </c>
    </row>
    <row r="3" spans="1:17" x14ac:dyDescent="0.3">
      <c r="A3" s="1" t="s">
        <v>11</v>
      </c>
      <c r="B3" t="s">
        <v>616</v>
      </c>
      <c r="C3" s="2">
        <f t="shared" ref="C3:C9" si="0">E3*3+F3</f>
        <v>24</v>
      </c>
      <c r="D3">
        <v>12</v>
      </c>
      <c r="E3">
        <v>7</v>
      </c>
      <c r="F3">
        <v>3</v>
      </c>
      <c r="G3">
        <f t="shared" ref="G3:G9" si="1">D3-E3-F3</f>
        <v>2</v>
      </c>
      <c r="H3">
        <v>31</v>
      </c>
      <c r="I3">
        <v>19</v>
      </c>
      <c r="J3">
        <f t="shared" ref="J3:J9" si="2">H3-I3</f>
        <v>12</v>
      </c>
      <c r="L3" t="s">
        <v>618</v>
      </c>
      <c r="M3" t="s">
        <v>57</v>
      </c>
      <c r="N3" t="s">
        <v>621</v>
      </c>
      <c r="P3" t="s">
        <v>618</v>
      </c>
      <c r="Q3">
        <v>2</v>
      </c>
    </row>
    <row r="4" spans="1:17" x14ac:dyDescent="0.3">
      <c r="A4" s="1" t="s">
        <v>13</v>
      </c>
      <c r="B4" t="s">
        <v>613</v>
      </c>
      <c r="C4" s="2">
        <f t="shared" si="0"/>
        <v>18</v>
      </c>
      <c r="D4">
        <v>12</v>
      </c>
      <c r="E4">
        <v>5</v>
      </c>
      <c r="F4">
        <v>3</v>
      </c>
      <c r="G4">
        <f t="shared" si="1"/>
        <v>4</v>
      </c>
      <c r="H4">
        <v>20</v>
      </c>
      <c r="I4">
        <v>17</v>
      </c>
      <c r="J4">
        <f t="shared" si="2"/>
        <v>3</v>
      </c>
      <c r="L4" t="s">
        <v>621</v>
      </c>
      <c r="M4" t="s">
        <v>31</v>
      </c>
      <c r="N4" t="s">
        <v>618</v>
      </c>
    </row>
    <row r="5" spans="1:17" x14ac:dyDescent="0.3">
      <c r="A5" s="1" t="s">
        <v>15</v>
      </c>
      <c r="B5" t="s">
        <v>619</v>
      </c>
      <c r="C5" s="2">
        <f t="shared" si="0"/>
        <v>18</v>
      </c>
      <c r="D5">
        <v>12</v>
      </c>
      <c r="E5">
        <v>5</v>
      </c>
      <c r="F5">
        <v>3</v>
      </c>
      <c r="G5">
        <f t="shared" si="1"/>
        <v>4</v>
      </c>
      <c r="H5">
        <v>22</v>
      </c>
      <c r="I5">
        <v>24</v>
      </c>
      <c r="J5">
        <f t="shared" si="2"/>
        <v>-2</v>
      </c>
    </row>
    <row r="6" spans="1:17" x14ac:dyDescent="0.3">
      <c r="A6" s="1" t="s">
        <v>17</v>
      </c>
      <c r="B6" t="s">
        <v>617</v>
      </c>
      <c r="C6" s="2">
        <f t="shared" si="0"/>
        <v>16</v>
      </c>
      <c r="D6">
        <v>12</v>
      </c>
      <c r="E6">
        <v>4</v>
      </c>
      <c r="F6">
        <v>4</v>
      </c>
      <c r="G6">
        <f t="shared" si="1"/>
        <v>4</v>
      </c>
      <c r="H6">
        <v>23</v>
      </c>
      <c r="I6">
        <v>19</v>
      </c>
      <c r="J6">
        <f t="shared" si="2"/>
        <v>4</v>
      </c>
    </row>
    <row r="7" spans="1:17" x14ac:dyDescent="0.3">
      <c r="A7" t="s">
        <v>19</v>
      </c>
      <c r="B7" t="s">
        <v>136</v>
      </c>
      <c r="C7" s="2">
        <f t="shared" si="0"/>
        <v>15</v>
      </c>
      <c r="D7">
        <v>12</v>
      </c>
      <c r="E7">
        <v>4</v>
      </c>
      <c r="F7">
        <v>3</v>
      </c>
      <c r="G7">
        <f t="shared" si="1"/>
        <v>5</v>
      </c>
      <c r="H7">
        <v>23</v>
      </c>
      <c r="I7">
        <v>27</v>
      </c>
      <c r="J7">
        <f t="shared" si="2"/>
        <v>-4</v>
      </c>
    </row>
    <row r="8" spans="1:17" x14ac:dyDescent="0.3">
      <c r="A8" t="s">
        <v>21</v>
      </c>
      <c r="B8" t="s">
        <v>614</v>
      </c>
      <c r="C8" s="2">
        <f t="shared" si="0"/>
        <v>13</v>
      </c>
      <c r="D8">
        <v>12</v>
      </c>
      <c r="E8">
        <v>4</v>
      </c>
      <c r="F8">
        <v>1</v>
      </c>
      <c r="G8">
        <f t="shared" si="1"/>
        <v>7</v>
      </c>
      <c r="H8">
        <v>17</v>
      </c>
      <c r="I8">
        <v>24</v>
      </c>
      <c r="J8">
        <f t="shared" si="2"/>
        <v>-7</v>
      </c>
    </row>
    <row r="9" spans="1:17" x14ac:dyDescent="0.3">
      <c r="A9" s="3" t="s">
        <v>23</v>
      </c>
      <c r="B9" t="s">
        <v>615</v>
      </c>
      <c r="C9" s="2">
        <f t="shared" si="0"/>
        <v>12</v>
      </c>
      <c r="D9">
        <v>12</v>
      </c>
      <c r="E9">
        <v>3</v>
      </c>
      <c r="F9">
        <v>3</v>
      </c>
      <c r="G9">
        <f t="shared" si="1"/>
        <v>6</v>
      </c>
      <c r="H9">
        <v>19</v>
      </c>
      <c r="I9">
        <v>25</v>
      </c>
      <c r="J9">
        <f t="shared" si="2"/>
        <v>-6</v>
      </c>
    </row>
    <row r="11" spans="1:17" x14ac:dyDescent="0.3">
      <c r="A11" t="s">
        <v>27</v>
      </c>
    </row>
    <row r="12" spans="1:17" x14ac:dyDescent="0.3">
      <c r="A12" t="str">
        <f>B6</f>
        <v>União Cacoalense</v>
      </c>
      <c r="B12" t="s">
        <v>90</v>
      </c>
      <c r="C12" t="str">
        <f>B3</f>
        <v>Genus</v>
      </c>
      <c r="E12" t="str">
        <f>B3</f>
        <v>Genus</v>
      </c>
      <c r="F12" t="s">
        <v>44</v>
      </c>
      <c r="G12" t="str">
        <f>B6</f>
        <v>União Cacoalense</v>
      </c>
    </row>
    <row r="13" spans="1:17" x14ac:dyDescent="0.3">
      <c r="A13" t="str">
        <f>B5</f>
        <v>Vilhena</v>
      </c>
      <c r="B13" t="s">
        <v>44</v>
      </c>
      <c r="C13" t="str">
        <f>B4</f>
        <v>Rondoniense</v>
      </c>
      <c r="E13" t="str">
        <f>B4</f>
        <v>Rondoniense</v>
      </c>
      <c r="F13" t="s">
        <v>74</v>
      </c>
      <c r="G13" t="str">
        <f>B5</f>
        <v>Vilhena</v>
      </c>
    </row>
    <row r="15" spans="1:17" x14ac:dyDescent="0.3">
      <c r="A15" t="s">
        <v>33</v>
      </c>
    </row>
    <row r="16" spans="1:17" x14ac:dyDescent="0.3">
      <c r="A16" t="s">
        <v>617</v>
      </c>
      <c r="B16" t="s">
        <v>57</v>
      </c>
      <c r="C16" t="s">
        <v>613</v>
      </c>
      <c r="E16" t="s">
        <v>613</v>
      </c>
      <c r="F16" t="s">
        <v>36</v>
      </c>
      <c r="G16" t="s">
        <v>617</v>
      </c>
    </row>
    <row r="18" spans="1:1" x14ac:dyDescent="0.3">
      <c r="A18" t="s">
        <v>38</v>
      </c>
    </row>
    <row r="19" spans="1:1" x14ac:dyDescent="0.3">
      <c r="A19" t="s">
        <v>613</v>
      </c>
    </row>
    <row r="20" spans="1:1" x14ac:dyDescent="0.3">
      <c r="A20" t="s">
        <v>617</v>
      </c>
    </row>
    <row r="22" spans="1:1" x14ac:dyDescent="0.3">
      <c r="A22" t="s">
        <v>39</v>
      </c>
    </row>
    <row r="23" spans="1:1" x14ac:dyDescent="0.3">
      <c r="A23" t="s">
        <v>613</v>
      </c>
    </row>
    <row r="24" spans="1:1" x14ac:dyDescent="0.3">
      <c r="A24" t="s">
        <v>617</v>
      </c>
    </row>
    <row r="25" spans="1:1" x14ac:dyDescent="0.3">
      <c r="A25" t="s">
        <v>616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C05E-3FE2-416E-979F-C06290847D7E}">
  <dimension ref="A1:X28"/>
  <sheetViews>
    <sheetView workbookViewId="0">
      <selection activeCell="C3" sqref="C3:C6"/>
    </sheetView>
  </sheetViews>
  <sheetFormatPr defaultRowHeight="14.4" x14ac:dyDescent="0.3"/>
  <sheetData>
    <row r="1" spans="1:24" x14ac:dyDescent="0.3">
      <c r="A1" t="s">
        <v>622</v>
      </c>
      <c r="L1" t="s">
        <v>631</v>
      </c>
      <c r="W1" t="s">
        <v>70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623</v>
      </c>
      <c r="X2">
        <v>1</v>
      </c>
    </row>
    <row r="3" spans="1:24" x14ac:dyDescent="0.3">
      <c r="A3" s="1" t="s">
        <v>11</v>
      </c>
      <c r="B3" t="s">
        <v>623</v>
      </c>
      <c r="C3" s="2">
        <f t="shared" ref="C3:C12" si="0">E3*3+F3</f>
        <v>21</v>
      </c>
      <c r="D3">
        <v>9</v>
      </c>
      <c r="E3">
        <v>7</v>
      </c>
      <c r="F3">
        <v>0</v>
      </c>
      <c r="G3">
        <f>D3-E3-F3</f>
        <v>2</v>
      </c>
      <c r="H3">
        <v>19</v>
      </c>
      <c r="I3">
        <v>11</v>
      </c>
      <c r="J3">
        <f>H3-I3</f>
        <v>8</v>
      </c>
      <c r="L3" s="1" t="s">
        <v>11</v>
      </c>
      <c r="M3" t="s">
        <v>629</v>
      </c>
      <c r="N3" s="2">
        <f>P3*3+Q3</f>
        <v>5</v>
      </c>
      <c r="O3">
        <v>3</v>
      </c>
      <c r="P3">
        <v>1</v>
      </c>
      <c r="Q3">
        <v>2</v>
      </c>
      <c r="R3">
        <f>O3-P3-Q3</f>
        <v>0</v>
      </c>
      <c r="S3">
        <v>8</v>
      </c>
      <c r="T3">
        <v>6</v>
      </c>
      <c r="U3">
        <f>S3-T3</f>
        <v>2</v>
      </c>
      <c r="W3" t="s">
        <v>14</v>
      </c>
      <c r="X3">
        <v>1</v>
      </c>
    </row>
    <row r="4" spans="1:24" x14ac:dyDescent="0.3">
      <c r="A4" s="1" t="s">
        <v>13</v>
      </c>
      <c r="B4" t="s">
        <v>468</v>
      </c>
      <c r="C4" s="2">
        <f t="shared" si="0"/>
        <v>18</v>
      </c>
      <c r="D4">
        <v>9</v>
      </c>
      <c r="E4">
        <v>6</v>
      </c>
      <c r="F4">
        <v>0</v>
      </c>
      <c r="G4">
        <f t="shared" ref="G4:G12" si="1">D4-E4-F4</f>
        <v>3</v>
      </c>
      <c r="H4">
        <v>18</v>
      </c>
      <c r="I4">
        <v>10</v>
      </c>
      <c r="J4">
        <f t="shared" ref="J4:J12" si="2">H4-I4</f>
        <v>8</v>
      </c>
      <c r="L4" s="1" t="s">
        <v>13</v>
      </c>
      <c r="M4" t="s">
        <v>14</v>
      </c>
      <c r="N4" s="2">
        <f>P4*3+Q4</f>
        <v>4</v>
      </c>
      <c r="O4">
        <v>3</v>
      </c>
      <c r="P4">
        <v>1</v>
      </c>
      <c r="Q4">
        <v>1</v>
      </c>
      <c r="R4">
        <f t="shared" ref="R4:R6" si="3">O4-P4-Q4</f>
        <v>1</v>
      </c>
      <c r="S4">
        <v>5</v>
      </c>
      <c r="T4">
        <v>4</v>
      </c>
      <c r="U4">
        <f t="shared" ref="U4:U6" si="4">S4-T4</f>
        <v>1</v>
      </c>
    </row>
    <row r="5" spans="1:24" x14ac:dyDescent="0.3">
      <c r="A5" s="1" t="s">
        <v>15</v>
      </c>
      <c r="B5" t="s">
        <v>624</v>
      </c>
      <c r="C5" s="2">
        <f t="shared" si="0"/>
        <v>17</v>
      </c>
      <c r="D5">
        <v>9</v>
      </c>
      <c r="E5">
        <v>5</v>
      </c>
      <c r="F5">
        <v>2</v>
      </c>
      <c r="G5">
        <f t="shared" si="1"/>
        <v>2</v>
      </c>
      <c r="H5">
        <v>15</v>
      </c>
      <c r="I5">
        <v>10</v>
      </c>
      <c r="J5">
        <f t="shared" si="2"/>
        <v>5</v>
      </c>
      <c r="L5" t="s">
        <v>15</v>
      </c>
      <c r="M5" t="s">
        <v>630</v>
      </c>
      <c r="N5" s="2">
        <f>P5*3+Q5</f>
        <v>4</v>
      </c>
      <c r="O5">
        <v>3</v>
      </c>
      <c r="P5">
        <v>1</v>
      </c>
      <c r="Q5">
        <v>1</v>
      </c>
      <c r="R5">
        <f t="shared" si="3"/>
        <v>1</v>
      </c>
      <c r="S5">
        <v>5</v>
      </c>
      <c r="T5">
        <v>5</v>
      </c>
      <c r="U5">
        <f t="shared" si="4"/>
        <v>0</v>
      </c>
    </row>
    <row r="6" spans="1:24" x14ac:dyDescent="0.3">
      <c r="A6" s="1" t="s">
        <v>17</v>
      </c>
      <c r="B6" t="s">
        <v>82</v>
      </c>
      <c r="C6" s="2">
        <f t="shared" si="0"/>
        <v>16</v>
      </c>
      <c r="D6">
        <v>9</v>
      </c>
      <c r="E6">
        <v>5</v>
      </c>
      <c r="F6">
        <v>1</v>
      </c>
      <c r="G6">
        <f t="shared" si="1"/>
        <v>3</v>
      </c>
      <c r="H6">
        <v>12</v>
      </c>
      <c r="I6">
        <v>6</v>
      </c>
      <c r="J6">
        <f t="shared" si="2"/>
        <v>6</v>
      </c>
      <c r="L6" t="s">
        <v>17</v>
      </c>
      <c r="M6" t="s">
        <v>26</v>
      </c>
      <c r="N6" s="2">
        <f>P6*3+Q6</f>
        <v>3</v>
      </c>
      <c r="O6">
        <v>3</v>
      </c>
      <c r="P6">
        <v>1</v>
      </c>
      <c r="Q6">
        <v>0</v>
      </c>
      <c r="R6">
        <f t="shared" si="3"/>
        <v>2</v>
      </c>
      <c r="S6">
        <v>2</v>
      </c>
      <c r="T6">
        <v>5</v>
      </c>
      <c r="U6">
        <f t="shared" si="4"/>
        <v>-3</v>
      </c>
    </row>
    <row r="7" spans="1:24" x14ac:dyDescent="0.3">
      <c r="A7" t="s">
        <v>19</v>
      </c>
      <c r="B7" t="s">
        <v>625</v>
      </c>
      <c r="C7" s="2">
        <f t="shared" si="0"/>
        <v>14</v>
      </c>
      <c r="D7">
        <v>9</v>
      </c>
      <c r="E7">
        <v>4</v>
      </c>
      <c r="F7">
        <v>2</v>
      </c>
      <c r="G7">
        <f t="shared" si="1"/>
        <v>3</v>
      </c>
      <c r="H7">
        <v>11</v>
      </c>
      <c r="I7">
        <v>11</v>
      </c>
      <c r="J7">
        <f t="shared" si="2"/>
        <v>0</v>
      </c>
    </row>
    <row r="8" spans="1:24" x14ac:dyDescent="0.3">
      <c r="A8" t="s">
        <v>21</v>
      </c>
      <c r="B8" t="s">
        <v>626</v>
      </c>
      <c r="C8" s="2">
        <f t="shared" si="0"/>
        <v>13</v>
      </c>
      <c r="D8">
        <v>9</v>
      </c>
      <c r="E8">
        <v>4</v>
      </c>
      <c r="F8">
        <v>1</v>
      </c>
      <c r="G8">
        <f t="shared" si="1"/>
        <v>4</v>
      </c>
      <c r="H8">
        <v>11</v>
      </c>
      <c r="I8">
        <v>12</v>
      </c>
      <c r="J8">
        <f t="shared" si="2"/>
        <v>-1</v>
      </c>
      <c r="L8" t="s">
        <v>33</v>
      </c>
    </row>
    <row r="9" spans="1:24" x14ac:dyDescent="0.3">
      <c r="A9" t="s">
        <v>23</v>
      </c>
      <c r="B9" t="s">
        <v>42</v>
      </c>
      <c r="C9" s="2">
        <f t="shared" si="0"/>
        <v>12</v>
      </c>
      <c r="D9">
        <v>9</v>
      </c>
      <c r="E9">
        <v>3</v>
      </c>
      <c r="F9">
        <v>3</v>
      </c>
      <c r="G9">
        <f>D9-E9-F9</f>
        <v>3</v>
      </c>
      <c r="H9">
        <v>8</v>
      </c>
      <c r="I9">
        <v>7</v>
      </c>
      <c r="J9">
        <f t="shared" si="2"/>
        <v>1</v>
      </c>
      <c r="L9" t="str">
        <f>M3</f>
        <v>Santiago</v>
      </c>
      <c r="M9" t="s">
        <v>56</v>
      </c>
      <c r="N9" t="str">
        <f>M4</f>
        <v>Rio Branco</v>
      </c>
    </row>
    <row r="10" spans="1:24" x14ac:dyDescent="0.3">
      <c r="A10" t="s">
        <v>25</v>
      </c>
      <c r="B10" t="s">
        <v>627</v>
      </c>
      <c r="C10" s="2">
        <f t="shared" si="0"/>
        <v>8</v>
      </c>
      <c r="D10">
        <v>9</v>
      </c>
      <c r="E10">
        <v>2</v>
      </c>
      <c r="F10">
        <v>2</v>
      </c>
      <c r="G10">
        <f t="shared" si="1"/>
        <v>5</v>
      </c>
      <c r="H10">
        <v>9</v>
      </c>
      <c r="I10">
        <v>17</v>
      </c>
      <c r="J10">
        <f t="shared" si="2"/>
        <v>-8</v>
      </c>
    </row>
    <row r="11" spans="1:24" x14ac:dyDescent="0.3">
      <c r="A11" s="3" t="s">
        <v>66</v>
      </c>
      <c r="B11" t="s">
        <v>628</v>
      </c>
      <c r="C11" s="2">
        <f t="shared" si="0"/>
        <v>6</v>
      </c>
      <c r="D11">
        <v>9</v>
      </c>
      <c r="E11">
        <v>2</v>
      </c>
      <c r="F11">
        <v>0</v>
      </c>
      <c r="G11">
        <f t="shared" si="1"/>
        <v>7</v>
      </c>
      <c r="H11">
        <v>5</v>
      </c>
      <c r="I11">
        <v>14</v>
      </c>
      <c r="J11">
        <f t="shared" si="2"/>
        <v>-9</v>
      </c>
    </row>
    <row r="12" spans="1:24" x14ac:dyDescent="0.3">
      <c r="A12" s="3" t="s">
        <v>137</v>
      </c>
      <c r="B12" t="s">
        <v>498</v>
      </c>
      <c r="C12" s="2">
        <f t="shared" si="0"/>
        <v>4</v>
      </c>
      <c r="D12">
        <v>9</v>
      </c>
      <c r="E12">
        <v>1</v>
      </c>
      <c r="F12">
        <v>1</v>
      </c>
      <c r="G12">
        <f t="shared" si="1"/>
        <v>7</v>
      </c>
      <c r="H12">
        <v>12</v>
      </c>
      <c r="I12">
        <v>22</v>
      </c>
      <c r="J12">
        <f t="shared" si="2"/>
        <v>-10</v>
      </c>
    </row>
    <row r="14" spans="1:24" x14ac:dyDescent="0.3">
      <c r="A14" t="s">
        <v>27</v>
      </c>
    </row>
    <row r="15" spans="1:24" x14ac:dyDescent="0.3">
      <c r="A15" t="str">
        <f>B3</f>
        <v>Progresso</v>
      </c>
      <c r="B15" t="s">
        <v>36</v>
      </c>
      <c r="C15" t="str">
        <f>B6</f>
        <v>São Raimundo</v>
      </c>
    </row>
    <row r="16" spans="1:24" x14ac:dyDescent="0.3">
      <c r="A16" t="str">
        <f>B4</f>
        <v>Náutico</v>
      </c>
      <c r="B16" t="s">
        <v>54</v>
      </c>
      <c r="C16" t="str">
        <f>B5</f>
        <v>Real</v>
      </c>
    </row>
    <row r="18" spans="1:3" x14ac:dyDescent="0.3">
      <c r="A18" t="s">
        <v>33</v>
      </c>
    </row>
    <row r="19" spans="1:3" x14ac:dyDescent="0.3">
      <c r="A19" t="s">
        <v>623</v>
      </c>
      <c r="B19" t="s">
        <v>141</v>
      </c>
      <c r="C19" t="s">
        <v>468</v>
      </c>
    </row>
    <row r="21" spans="1:3" x14ac:dyDescent="0.3">
      <c r="A21" t="s">
        <v>38</v>
      </c>
    </row>
    <row r="22" spans="1:3" x14ac:dyDescent="0.3">
      <c r="A22" t="s">
        <v>623</v>
      </c>
    </row>
    <row r="23" spans="1:3" x14ac:dyDescent="0.3">
      <c r="A23" t="s">
        <v>468</v>
      </c>
    </row>
    <row r="25" spans="1:3" x14ac:dyDescent="0.3">
      <c r="A25" t="s">
        <v>39</v>
      </c>
    </row>
    <row r="26" spans="1:3" x14ac:dyDescent="0.3">
      <c r="A26" t="s">
        <v>623</v>
      </c>
    </row>
    <row r="27" spans="1:3" x14ac:dyDescent="0.3">
      <c r="A27" t="s">
        <v>468</v>
      </c>
    </row>
    <row r="28" spans="1:3" x14ac:dyDescent="0.3">
      <c r="A28" t="s">
        <v>624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CFA7-2112-4207-8677-1DB7E65EEB17}">
  <dimension ref="A1:AT58"/>
  <sheetViews>
    <sheetView topLeftCell="A7" workbookViewId="0">
      <selection activeCell="K19" sqref="K19"/>
    </sheetView>
  </sheetViews>
  <sheetFormatPr defaultRowHeight="14.4" x14ac:dyDescent="0.3"/>
  <sheetData>
    <row r="1" spans="1:46" x14ac:dyDescent="0.3">
      <c r="A1" t="s">
        <v>632</v>
      </c>
      <c r="L1" t="s">
        <v>643</v>
      </c>
      <c r="W1" t="s">
        <v>658</v>
      </c>
      <c r="AH1" t="s">
        <v>664</v>
      </c>
      <c r="AS1" t="s">
        <v>70</v>
      </c>
    </row>
    <row r="2" spans="1:46" x14ac:dyDescent="0.3">
      <c r="A2" t="s">
        <v>72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72</v>
      </c>
      <c r="AH2" t="s">
        <v>1</v>
      </c>
      <c r="AI2" t="s">
        <v>2</v>
      </c>
      <c r="AJ2" t="s">
        <v>3</v>
      </c>
      <c r="AK2" t="s">
        <v>4</v>
      </c>
      <c r="AL2" t="s">
        <v>5</v>
      </c>
      <c r="AM2" t="s">
        <v>6</v>
      </c>
      <c r="AN2" t="s">
        <v>7</v>
      </c>
      <c r="AO2" t="s">
        <v>8</v>
      </c>
      <c r="AP2" t="s">
        <v>9</v>
      </c>
      <c r="AQ2" t="s">
        <v>10</v>
      </c>
      <c r="AS2" t="s">
        <v>638</v>
      </c>
      <c r="AT2">
        <v>1</v>
      </c>
    </row>
    <row r="3" spans="1:4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L3" s="1" t="s">
        <v>11</v>
      </c>
      <c r="M3" t="s">
        <v>12</v>
      </c>
      <c r="N3" s="2">
        <f t="shared" ref="N3:N8" si="0">P3*3+Q3</f>
        <v>28</v>
      </c>
      <c r="O3">
        <v>15</v>
      </c>
      <c r="P3">
        <v>9</v>
      </c>
      <c r="Q3">
        <v>1</v>
      </c>
      <c r="R3">
        <f t="shared" ref="R3:R18" si="1">O3-P3-Q3</f>
        <v>5</v>
      </c>
      <c r="S3">
        <v>29</v>
      </c>
      <c r="T3">
        <v>20</v>
      </c>
      <c r="U3">
        <f t="shared" ref="U3:U18" si="2">S3-T3</f>
        <v>9</v>
      </c>
      <c r="W3" t="s">
        <v>1</v>
      </c>
      <c r="X3" t="s">
        <v>2</v>
      </c>
      <c r="Y3" t="s">
        <v>3</v>
      </c>
      <c r="Z3" t="s">
        <v>4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H3" s="1" t="s">
        <v>11</v>
      </c>
      <c r="AI3" t="s">
        <v>179</v>
      </c>
      <c r="AJ3" s="2">
        <f t="shared" ref="AJ3:AJ12" si="3">AL3*3+AM3</f>
        <v>20</v>
      </c>
      <c r="AK3">
        <v>9</v>
      </c>
      <c r="AL3">
        <v>6</v>
      </c>
      <c r="AM3">
        <v>2</v>
      </c>
      <c r="AN3">
        <f t="shared" ref="AN3:AN12" si="4">AK3-AL3-AM3</f>
        <v>1</v>
      </c>
      <c r="AO3">
        <v>18</v>
      </c>
      <c r="AP3">
        <v>9</v>
      </c>
      <c r="AQ3">
        <f t="shared" ref="AQ3:AQ12" si="5">AO3-AP3</f>
        <v>9</v>
      </c>
      <c r="AS3" t="s">
        <v>653</v>
      </c>
      <c r="AT3">
        <v>3</v>
      </c>
    </row>
    <row r="4" spans="1:46" x14ac:dyDescent="0.3">
      <c r="A4" s="1" t="s">
        <v>11</v>
      </c>
      <c r="B4" t="s">
        <v>179</v>
      </c>
      <c r="C4" s="2">
        <f t="shared" ref="C4:C9" si="6">E4*3+F4</f>
        <v>15</v>
      </c>
      <c r="D4">
        <v>6</v>
      </c>
      <c r="E4">
        <v>5</v>
      </c>
      <c r="F4">
        <v>0</v>
      </c>
      <c r="G4">
        <f t="shared" ref="G4:G9" si="7">D4-E4-F4</f>
        <v>1</v>
      </c>
      <c r="H4">
        <v>12</v>
      </c>
      <c r="I4">
        <v>5</v>
      </c>
      <c r="J4">
        <f t="shared" ref="J4:J9" si="8">H4-I4</f>
        <v>7</v>
      </c>
      <c r="L4" s="1" t="s">
        <v>13</v>
      </c>
      <c r="M4" t="s">
        <v>644</v>
      </c>
      <c r="N4" s="2">
        <f t="shared" si="0"/>
        <v>28</v>
      </c>
      <c r="O4">
        <v>15</v>
      </c>
      <c r="P4">
        <v>9</v>
      </c>
      <c r="Q4">
        <v>1</v>
      </c>
      <c r="R4">
        <f t="shared" si="1"/>
        <v>5</v>
      </c>
      <c r="S4">
        <v>24</v>
      </c>
      <c r="T4">
        <v>19</v>
      </c>
      <c r="U4">
        <f t="shared" si="2"/>
        <v>5</v>
      </c>
      <c r="W4" s="1" t="s">
        <v>11</v>
      </c>
      <c r="X4" t="s">
        <v>655</v>
      </c>
      <c r="Y4" s="2">
        <f>AA4*3+AB4</f>
        <v>22</v>
      </c>
      <c r="Z4">
        <v>8</v>
      </c>
      <c r="AA4">
        <v>7</v>
      </c>
      <c r="AB4">
        <v>1</v>
      </c>
      <c r="AC4">
        <f>Z4-AA4-AB4</f>
        <v>0</v>
      </c>
      <c r="AD4">
        <v>15</v>
      </c>
      <c r="AE4">
        <v>6</v>
      </c>
      <c r="AF4">
        <f>AD4-AE4</f>
        <v>9</v>
      </c>
      <c r="AH4" s="1" t="s">
        <v>13</v>
      </c>
      <c r="AI4" t="s">
        <v>112</v>
      </c>
      <c r="AJ4" s="2">
        <f t="shared" si="3"/>
        <v>16</v>
      </c>
      <c r="AK4">
        <v>9</v>
      </c>
      <c r="AL4">
        <v>5</v>
      </c>
      <c r="AM4">
        <v>1</v>
      </c>
      <c r="AN4">
        <f t="shared" si="4"/>
        <v>3</v>
      </c>
      <c r="AO4">
        <v>17</v>
      </c>
      <c r="AP4">
        <v>12</v>
      </c>
      <c r="AQ4">
        <f t="shared" si="5"/>
        <v>5</v>
      </c>
      <c r="AS4" t="s">
        <v>359</v>
      </c>
      <c r="AT4">
        <v>1</v>
      </c>
    </row>
    <row r="5" spans="1:46" x14ac:dyDescent="0.3">
      <c r="A5" s="1" t="s">
        <v>13</v>
      </c>
      <c r="B5" t="s">
        <v>633</v>
      </c>
      <c r="C5" s="2">
        <f t="shared" si="6"/>
        <v>10</v>
      </c>
      <c r="D5">
        <v>6</v>
      </c>
      <c r="E5">
        <v>3</v>
      </c>
      <c r="F5">
        <v>1</v>
      </c>
      <c r="G5">
        <f t="shared" si="7"/>
        <v>2</v>
      </c>
      <c r="H5">
        <v>8</v>
      </c>
      <c r="I5">
        <v>6</v>
      </c>
      <c r="J5">
        <f t="shared" si="8"/>
        <v>2</v>
      </c>
      <c r="L5" s="1" t="s">
        <v>15</v>
      </c>
      <c r="M5" t="s">
        <v>652</v>
      </c>
      <c r="N5" s="2">
        <f t="shared" si="0"/>
        <v>28</v>
      </c>
      <c r="O5">
        <v>15</v>
      </c>
      <c r="P5">
        <v>8</v>
      </c>
      <c r="Q5">
        <v>4</v>
      </c>
      <c r="R5">
        <f t="shared" si="1"/>
        <v>3</v>
      </c>
      <c r="S5">
        <v>25</v>
      </c>
      <c r="T5">
        <v>20</v>
      </c>
      <c r="U5">
        <f t="shared" si="2"/>
        <v>5</v>
      </c>
      <c r="W5" s="1" t="s">
        <v>13</v>
      </c>
      <c r="X5" t="s">
        <v>661</v>
      </c>
      <c r="Y5" s="2">
        <f>AA5*3+AB5</f>
        <v>11</v>
      </c>
      <c r="Z5">
        <v>8</v>
      </c>
      <c r="AA5">
        <v>3</v>
      </c>
      <c r="AB5">
        <v>2</v>
      </c>
      <c r="AC5">
        <f t="shared" ref="AC5:AC8" si="9">Z5-AA5-AB5</f>
        <v>3</v>
      </c>
      <c r="AD5">
        <v>9</v>
      </c>
      <c r="AE5">
        <v>8</v>
      </c>
      <c r="AF5">
        <f t="shared" ref="AF5:AF8" si="10">AD5-AE5</f>
        <v>1</v>
      </c>
      <c r="AH5" s="4" t="s">
        <v>15</v>
      </c>
      <c r="AI5" t="s">
        <v>635</v>
      </c>
      <c r="AJ5" s="2">
        <f t="shared" si="3"/>
        <v>16</v>
      </c>
      <c r="AK5">
        <v>9</v>
      </c>
      <c r="AL5">
        <v>5</v>
      </c>
      <c r="AM5">
        <v>1</v>
      </c>
      <c r="AN5">
        <f t="shared" si="4"/>
        <v>3</v>
      </c>
      <c r="AO5">
        <v>16</v>
      </c>
      <c r="AP5">
        <v>14</v>
      </c>
      <c r="AQ5">
        <f t="shared" si="5"/>
        <v>2</v>
      </c>
      <c r="AS5" t="s">
        <v>633</v>
      </c>
      <c r="AT5">
        <v>3</v>
      </c>
    </row>
    <row r="6" spans="1:46" x14ac:dyDescent="0.3">
      <c r="A6" s="1" t="s">
        <v>15</v>
      </c>
      <c r="B6" t="s">
        <v>112</v>
      </c>
      <c r="C6" s="2">
        <f t="shared" si="6"/>
        <v>10</v>
      </c>
      <c r="D6">
        <v>6</v>
      </c>
      <c r="E6">
        <v>3</v>
      </c>
      <c r="F6">
        <v>1</v>
      </c>
      <c r="G6">
        <f t="shared" si="7"/>
        <v>2</v>
      </c>
      <c r="H6">
        <v>15</v>
      </c>
      <c r="I6">
        <v>14</v>
      </c>
      <c r="J6">
        <f t="shared" si="8"/>
        <v>1</v>
      </c>
      <c r="L6" s="1" t="s">
        <v>17</v>
      </c>
      <c r="M6" t="s">
        <v>653</v>
      </c>
      <c r="N6" s="2">
        <f t="shared" si="0"/>
        <v>26</v>
      </c>
      <c r="O6">
        <v>15</v>
      </c>
      <c r="P6">
        <v>8</v>
      </c>
      <c r="Q6">
        <v>2</v>
      </c>
      <c r="R6">
        <f t="shared" si="1"/>
        <v>5</v>
      </c>
      <c r="S6">
        <v>27</v>
      </c>
      <c r="T6">
        <v>20</v>
      </c>
      <c r="U6">
        <f t="shared" si="2"/>
        <v>7</v>
      </c>
      <c r="W6" t="s">
        <v>15</v>
      </c>
      <c r="X6">
        <v>1992</v>
      </c>
      <c r="Y6" s="2">
        <f>AA6*3+AB6</f>
        <v>10</v>
      </c>
      <c r="Z6">
        <v>8</v>
      </c>
      <c r="AA6">
        <v>3</v>
      </c>
      <c r="AB6">
        <v>1</v>
      </c>
      <c r="AC6">
        <f t="shared" si="9"/>
        <v>4</v>
      </c>
      <c r="AD6">
        <v>10</v>
      </c>
      <c r="AE6">
        <v>8</v>
      </c>
      <c r="AF6">
        <f t="shared" si="10"/>
        <v>2</v>
      </c>
      <c r="AH6" s="4" t="s">
        <v>17</v>
      </c>
      <c r="AI6" t="s">
        <v>12</v>
      </c>
      <c r="AJ6" s="2">
        <f t="shared" si="3"/>
        <v>14</v>
      </c>
      <c r="AK6">
        <v>9</v>
      </c>
      <c r="AL6">
        <v>4</v>
      </c>
      <c r="AM6">
        <v>2</v>
      </c>
      <c r="AN6">
        <f t="shared" si="4"/>
        <v>3</v>
      </c>
      <c r="AO6">
        <v>18</v>
      </c>
      <c r="AP6">
        <v>18</v>
      </c>
      <c r="AQ6">
        <f t="shared" si="5"/>
        <v>0</v>
      </c>
    </row>
    <row r="7" spans="1:46" x14ac:dyDescent="0.3">
      <c r="A7" s="1" t="s">
        <v>17</v>
      </c>
      <c r="B7" t="s">
        <v>636</v>
      </c>
      <c r="C7" s="2">
        <f t="shared" si="6"/>
        <v>8</v>
      </c>
      <c r="D7">
        <v>6</v>
      </c>
      <c r="E7">
        <v>2</v>
      </c>
      <c r="F7">
        <v>2</v>
      </c>
      <c r="G7">
        <f t="shared" si="7"/>
        <v>2</v>
      </c>
      <c r="H7">
        <v>9</v>
      </c>
      <c r="I7">
        <v>9</v>
      </c>
      <c r="J7">
        <f t="shared" si="8"/>
        <v>0</v>
      </c>
      <c r="L7" s="1" t="s">
        <v>19</v>
      </c>
      <c r="M7" t="s">
        <v>649</v>
      </c>
      <c r="N7" s="2">
        <f t="shared" si="0"/>
        <v>24</v>
      </c>
      <c r="O7">
        <v>15</v>
      </c>
      <c r="P7">
        <v>7</v>
      </c>
      <c r="Q7">
        <v>3</v>
      </c>
      <c r="R7">
        <f t="shared" si="1"/>
        <v>5</v>
      </c>
      <c r="S7">
        <v>20</v>
      </c>
      <c r="T7">
        <v>18</v>
      </c>
      <c r="U7">
        <f t="shared" si="2"/>
        <v>2</v>
      </c>
      <c r="W7" t="s">
        <v>17</v>
      </c>
      <c r="X7" t="s">
        <v>660</v>
      </c>
      <c r="Y7" s="2">
        <f>AA7*3+AB7</f>
        <v>8</v>
      </c>
      <c r="Z7">
        <v>8</v>
      </c>
      <c r="AA7">
        <v>2</v>
      </c>
      <c r="AB7">
        <v>2</v>
      </c>
      <c r="AC7">
        <f t="shared" si="9"/>
        <v>4</v>
      </c>
      <c r="AD7">
        <v>15</v>
      </c>
      <c r="AE7">
        <v>15</v>
      </c>
      <c r="AF7">
        <f t="shared" si="10"/>
        <v>0</v>
      </c>
      <c r="AH7" s="4" t="s">
        <v>19</v>
      </c>
      <c r="AI7" t="s">
        <v>649</v>
      </c>
      <c r="AJ7" s="2">
        <f t="shared" si="3"/>
        <v>13</v>
      </c>
      <c r="AK7">
        <v>9</v>
      </c>
      <c r="AL7">
        <v>4</v>
      </c>
      <c r="AM7">
        <v>1</v>
      </c>
      <c r="AN7">
        <f t="shared" si="4"/>
        <v>4</v>
      </c>
      <c r="AO7">
        <v>10</v>
      </c>
      <c r="AP7">
        <v>9</v>
      </c>
      <c r="AQ7">
        <f t="shared" si="5"/>
        <v>1</v>
      </c>
    </row>
    <row r="8" spans="1:46" x14ac:dyDescent="0.3">
      <c r="A8" s="6" t="s">
        <v>19</v>
      </c>
      <c r="B8" t="s">
        <v>327</v>
      </c>
      <c r="C8" s="2">
        <f t="shared" si="6"/>
        <v>7</v>
      </c>
      <c r="D8">
        <v>6</v>
      </c>
      <c r="E8">
        <v>2</v>
      </c>
      <c r="F8">
        <v>1</v>
      </c>
      <c r="G8">
        <f t="shared" si="7"/>
        <v>3</v>
      </c>
      <c r="H8">
        <v>10</v>
      </c>
      <c r="I8">
        <v>11</v>
      </c>
      <c r="J8">
        <f t="shared" si="8"/>
        <v>-1</v>
      </c>
      <c r="L8" s="1" t="s">
        <v>21</v>
      </c>
      <c r="M8" t="s">
        <v>645</v>
      </c>
      <c r="N8" s="2">
        <f t="shared" si="0"/>
        <v>23</v>
      </c>
      <c r="O8">
        <v>15</v>
      </c>
      <c r="P8">
        <v>7</v>
      </c>
      <c r="Q8">
        <v>2</v>
      </c>
      <c r="R8">
        <f t="shared" si="1"/>
        <v>6</v>
      </c>
      <c r="S8">
        <v>26</v>
      </c>
      <c r="T8">
        <v>20</v>
      </c>
      <c r="U8">
        <f t="shared" si="2"/>
        <v>6</v>
      </c>
      <c r="W8" t="s">
        <v>19</v>
      </c>
      <c r="X8" t="s">
        <v>659</v>
      </c>
      <c r="Y8" s="2">
        <f>AA8*3+AB8</f>
        <v>6</v>
      </c>
      <c r="Z8">
        <v>8</v>
      </c>
      <c r="AA8">
        <v>2</v>
      </c>
      <c r="AB8">
        <v>0</v>
      </c>
      <c r="AC8">
        <f t="shared" si="9"/>
        <v>6</v>
      </c>
      <c r="AD8">
        <v>7</v>
      </c>
      <c r="AE8">
        <v>19</v>
      </c>
      <c r="AF8">
        <f t="shared" si="10"/>
        <v>-12</v>
      </c>
      <c r="AH8" s="4" t="s">
        <v>21</v>
      </c>
      <c r="AI8" t="s">
        <v>633</v>
      </c>
      <c r="AJ8" s="2">
        <f t="shared" si="3"/>
        <v>13</v>
      </c>
      <c r="AK8">
        <v>9</v>
      </c>
      <c r="AL8">
        <v>4</v>
      </c>
      <c r="AM8">
        <v>1</v>
      </c>
      <c r="AN8">
        <f t="shared" si="4"/>
        <v>4</v>
      </c>
      <c r="AO8">
        <v>9</v>
      </c>
      <c r="AP8">
        <v>11</v>
      </c>
      <c r="AQ8">
        <f t="shared" si="5"/>
        <v>-2</v>
      </c>
    </row>
    <row r="9" spans="1:46" x14ac:dyDescent="0.3">
      <c r="A9" s="6" t="s">
        <v>21</v>
      </c>
      <c r="B9" t="s">
        <v>635</v>
      </c>
      <c r="C9" s="2">
        <f t="shared" si="6"/>
        <v>6</v>
      </c>
      <c r="D9">
        <v>6</v>
      </c>
      <c r="E9">
        <v>2</v>
      </c>
      <c r="F9">
        <v>0</v>
      </c>
      <c r="G9">
        <f t="shared" si="7"/>
        <v>4</v>
      </c>
      <c r="H9">
        <v>8</v>
      </c>
      <c r="I9">
        <v>10</v>
      </c>
      <c r="J9">
        <f t="shared" si="8"/>
        <v>-2</v>
      </c>
      <c r="L9" s="1" t="s">
        <v>23</v>
      </c>
      <c r="M9" t="s">
        <v>646</v>
      </c>
      <c r="N9" s="2">
        <f t="shared" ref="N9:N18" si="11">P9*3+Q9</f>
        <v>23</v>
      </c>
      <c r="O9">
        <v>15</v>
      </c>
      <c r="P9">
        <v>7</v>
      </c>
      <c r="Q9">
        <v>2</v>
      </c>
      <c r="R9">
        <f t="shared" si="1"/>
        <v>6</v>
      </c>
      <c r="S9">
        <v>24</v>
      </c>
      <c r="T9">
        <v>22</v>
      </c>
      <c r="U9">
        <f t="shared" si="2"/>
        <v>2</v>
      </c>
      <c r="Y9" s="2"/>
      <c r="Z9" s="2"/>
      <c r="AA9" s="2"/>
      <c r="AB9" s="2"/>
      <c r="AC9" s="2"/>
      <c r="AF9" s="2"/>
      <c r="AH9" t="s">
        <v>23</v>
      </c>
      <c r="AI9" t="s">
        <v>639</v>
      </c>
      <c r="AJ9" s="2">
        <f t="shared" si="3"/>
        <v>12</v>
      </c>
      <c r="AK9">
        <v>9</v>
      </c>
      <c r="AL9">
        <v>4</v>
      </c>
      <c r="AM9">
        <v>0</v>
      </c>
      <c r="AN9">
        <f t="shared" si="4"/>
        <v>5</v>
      </c>
      <c r="AO9">
        <v>11</v>
      </c>
      <c r="AP9">
        <v>12</v>
      </c>
      <c r="AQ9">
        <f t="shared" si="5"/>
        <v>-1</v>
      </c>
    </row>
    <row r="10" spans="1:46" x14ac:dyDescent="0.3">
      <c r="L10" s="1" t="s">
        <v>25</v>
      </c>
      <c r="M10" t="s">
        <v>650</v>
      </c>
      <c r="N10" s="2">
        <f t="shared" si="11"/>
        <v>22</v>
      </c>
      <c r="O10">
        <v>15</v>
      </c>
      <c r="P10">
        <v>7</v>
      </c>
      <c r="Q10">
        <v>1</v>
      </c>
      <c r="R10">
        <f t="shared" si="1"/>
        <v>7</v>
      </c>
      <c r="S10">
        <v>18</v>
      </c>
      <c r="T10">
        <v>18</v>
      </c>
      <c r="U10">
        <f t="shared" si="2"/>
        <v>0</v>
      </c>
      <c r="W10" t="s">
        <v>73</v>
      </c>
      <c r="AH10" t="s">
        <v>25</v>
      </c>
      <c r="AI10" t="s">
        <v>652</v>
      </c>
      <c r="AJ10" s="2">
        <f t="shared" si="3"/>
        <v>9</v>
      </c>
      <c r="AK10">
        <v>9</v>
      </c>
      <c r="AL10">
        <v>3</v>
      </c>
      <c r="AM10">
        <v>0</v>
      </c>
      <c r="AN10">
        <f t="shared" si="4"/>
        <v>6</v>
      </c>
      <c r="AO10">
        <v>13</v>
      </c>
      <c r="AP10">
        <v>16</v>
      </c>
      <c r="AQ10">
        <f t="shared" si="5"/>
        <v>-3</v>
      </c>
    </row>
    <row r="11" spans="1:46" x14ac:dyDescent="0.3">
      <c r="A11" t="s">
        <v>73</v>
      </c>
      <c r="L11" t="s">
        <v>66</v>
      </c>
      <c r="M11" t="s">
        <v>640</v>
      </c>
      <c r="N11" s="2">
        <f t="shared" si="11"/>
        <v>21</v>
      </c>
      <c r="O11">
        <v>15</v>
      </c>
      <c r="P11">
        <v>7</v>
      </c>
      <c r="Q11">
        <v>0</v>
      </c>
      <c r="R11">
        <f t="shared" si="1"/>
        <v>8</v>
      </c>
      <c r="S11">
        <v>26</v>
      </c>
      <c r="T11">
        <v>28</v>
      </c>
      <c r="U11">
        <f t="shared" si="2"/>
        <v>-2</v>
      </c>
      <c r="W11" t="s">
        <v>1</v>
      </c>
      <c r="X11" t="s">
        <v>2</v>
      </c>
      <c r="Y11" t="s">
        <v>3</v>
      </c>
      <c r="Z11" t="s">
        <v>4</v>
      </c>
      <c r="AA11" t="s">
        <v>5</v>
      </c>
      <c r="AB11" t="s">
        <v>6</v>
      </c>
      <c r="AC11" t="s">
        <v>7</v>
      </c>
      <c r="AD11" t="s">
        <v>8</v>
      </c>
      <c r="AE11" t="s">
        <v>9</v>
      </c>
      <c r="AF11" t="s">
        <v>10</v>
      </c>
      <c r="AH11" t="s">
        <v>66</v>
      </c>
      <c r="AI11" t="s">
        <v>645</v>
      </c>
      <c r="AJ11" s="2">
        <f t="shared" si="3"/>
        <v>9</v>
      </c>
      <c r="AK11">
        <v>9</v>
      </c>
      <c r="AL11">
        <v>2</v>
      </c>
      <c r="AM11">
        <v>3</v>
      </c>
      <c r="AN11">
        <f t="shared" si="4"/>
        <v>4</v>
      </c>
      <c r="AO11">
        <v>7</v>
      </c>
      <c r="AP11">
        <v>11</v>
      </c>
      <c r="AQ11">
        <f t="shared" si="5"/>
        <v>-4</v>
      </c>
    </row>
    <row r="12" spans="1:46" x14ac:dyDescent="0.3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  <c r="L12" t="s">
        <v>137</v>
      </c>
      <c r="M12" t="s">
        <v>651</v>
      </c>
      <c r="N12" s="2">
        <f t="shared" si="11"/>
        <v>21</v>
      </c>
      <c r="O12">
        <v>15</v>
      </c>
      <c r="P12">
        <v>7</v>
      </c>
      <c r="Q12">
        <v>0</v>
      </c>
      <c r="R12">
        <f t="shared" si="1"/>
        <v>8</v>
      </c>
      <c r="S12">
        <v>19</v>
      </c>
      <c r="T12">
        <v>24</v>
      </c>
      <c r="U12">
        <f t="shared" si="2"/>
        <v>-5</v>
      </c>
      <c r="W12" s="1" t="s">
        <v>11</v>
      </c>
      <c r="X12" t="s">
        <v>654</v>
      </c>
      <c r="Y12" s="2">
        <f>AA12*3+AB12</f>
        <v>12</v>
      </c>
      <c r="Z12">
        <v>6</v>
      </c>
      <c r="AA12">
        <v>4</v>
      </c>
      <c r="AB12">
        <v>0</v>
      </c>
      <c r="AC12">
        <f>Z12-AA12-AB12</f>
        <v>2</v>
      </c>
      <c r="AD12">
        <v>10</v>
      </c>
      <c r="AE12">
        <v>8</v>
      </c>
      <c r="AF12">
        <f>AD12-AE12</f>
        <v>2</v>
      </c>
      <c r="AH12" t="s">
        <v>137</v>
      </c>
      <c r="AI12" t="s">
        <v>640</v>
      </c>
      <c r="AJ12" s="2">
        <f t="shared" si="3"/>
        <v>7</v>
      </c>
      <c r="AK12">
        <v>9</v>
      </c>
      <c r="AL12">
        <v>2</v>
      </c>
      <c r="AM12">
        <v>1</v>
      </c>
      <c r="AN12">
        <f t="shared" si="4"/>
        <v>6</v>
      </c>
      <c r="AO12">
        <v>12</v>
      </c>
      <c r="AP12">
        <v>19</v>
      </c>
      <c r="AQ12">
        <f t="shared" si="5"/>
        <v>-7</v>
      </c>
    </row>
    <row r="13" spans="1:46" x14ac:dyDescent="0.3">
      <c r="A13" s="1" t="s">
        <v>11</v>
      </c>
      <c r="B13" t="s">
        <v>638</v>
      </c>
      <c r="C13" s="2">
        <f t="shared" ref="C13:C18" si="12">E13*3+F13</f>
        <v>12</v>
      </c>
      <c r="D13">
        <v>6</v>
      </c>
      <c r="E13">
        <v>4</v>
      </c>
      <c r="F13">
        <v>0</v>
      </c>
      <c r="G13">
        <f t="shared" ref="G13:G18" si="13">D13-E13-F13</f>
        <v>2</v>
      </c>
      <c r="H13">
        <v>8</v>
      </c>
      <c r="I13">
        <v>5</v>
      </c>
      <c r="J13">
        <f t="shared" ref="J13:J18" si="14">H13-I13</f>
        <v>3</v>
      </c>
      <c r="L13" t="s">
        <v>149</v>
      </c>
      <c r="M13" t="s">
        <v>648</v>
      </c>
      <c r="N13" s="2">
        <f t="shared" si="11"/>
        <v>20</v>
      </c>
      <c r="O13">
        <v>15</v>
      </c>
      <c r="P13">
        <v>6</v>
      </c>
      <c r="Q13">
        <v>2</v>
      </c>
      <c r="R13">
        <f t="shared" si="1"/>
        <v>7</v>
      </c>
      <c r="S13">
        <v>21</v>
      </c>
      <c r="T13">
        <v>15</v>
      </c>
      <c r="U13">
        <f t="shared" si="2"/>
        <v>6</v>
      </c>
      <c r="W13" s="1" t="s">
        <v>13</v>
      </c>
      <c r="X13" t="s">
        <v>359</v>
      </c>
      <c r="Y13" s="2">
        <f>AA13*3+AB13</f>
        <v>11</v>
      </c>
      <c r="Z13">
        <v>6</v>
      </c>
      <c r="AA13">
        <v>3</v>
      </c>
      <c r="AB13">
        <v>2</v>
      </c>
      <c r="AC13">
        <f>Z13-AA13-AB13</f>
        <v>1</v>
      </c>
      <c r="AD13">
        <v>15</v>
      </c>
      <c r="AE13">
        <v>10</v>
      </c>
      <c r="AF13">
        <f>AD13-AE13</f>
        <v>5</v>
      </c>
    </row>
    <row r="14" spans="1:46" x14ac:dyDescent="0.3">
      <c r="A14" s="1" t="s">
        <v>13</v>
      </c>
      <c r="B14" t="s">
        <v>173</v>
      </c>
      <c r="C14" s="2">
        <f t="shared" si="12"/>
        <v>9</v>
      </c>
      <c r="D14">
        <v>6</v>
      </c>
      <c r="E14">
        <v>3</v>
      </c>
      <c r="F14">
        <v>0</v>
      </c>
      <c r="G14">
        <f t="shared" si="13"/>
        <v>3</v>
      </c>
      <c r="H14">
        <v>10</v>
      </c>
      <c r="I14">
        <v>9</v>
      </c>
      <c r="J14">
        <f t="shared" si="14"/>
        <v>1</v>
      </c>
      <c r="L14" t="s">
        <v>150</v>
      </c>
      <c r="M14" t="s">
        <v>647</v>
      </c>
      <c r="N14" s="2">
        <f t="shared" si="11"/>
        <v>20</v>
      </c>
      <c r="O14">
        <v>15</v>
      </c>
      <c r="P14">
        <v>6</v>
      </c>
      <c r="Q14">
        <v>2</v>
      </c>
      <c r="R14">
        <f t="shared" si="1"/>
        <v>7</v>
      </c>
      <c r="S14">
        <v>18</v>
      </c>
      <c r="T14">
        <v>22</v>
      </c>
      <c r="U14">
        <f t="shared" si="2"/>
        <v>-4</v>
      </c>
      <c r="W14" t="s">
        <v>15</v>
      </c>
      <c r="X14" t="s">
        <v>122</v>
      </c>
      <c r="Y14" s="2">
        <f>AA14*3+AB14</f>
        <v>7</v>
      </c>
      <c r="Z14">
        <v>6</v>
      </c>
      <c r="AA14">
        <v>2</v>
      </c>
      <c r="AB14">
        <v>1</v>
      </c>
      <c r="AC14">
        <f>Z14-AA14-AB14</f>
        <v>3</v>
      </c>
      <c r="AD14">
        <v>8</v>
      </c>
      <c r="AE14">
        <v>10</v>
      </c>
      <c r="AF14">
        <f>AD14-AE14</f>
        <v>-2</v>
      </c>
      <c r="AH14" t="s">
        <v>221</v>
      </c>
    </row>
    <row r="15" spans="1:46" x14ac:dyDescent="0.3">
      <c r="A15" s="1" t="s">
        <v>15</v>
      </c>
      <c r="B15" t="s">
        <v>637</v>
      </c>
      <c r="C15" s="2">
        <f t="shared" si="12"/>
        <v>9</v>
      </c>
      <c r="D15">
        <v>6</v>
      </c>
      <c r="E15">
        <v>3</v>
      </c>
      <c r="F15">
        <v>0</v>
      </c>
      <c r="G15">
        <f t="shared" si="13"/>
        <v>3</v>
      </c>
      <c r="H15">
        <v>12</v>
      </c>
      <c r="I15">
        <v>12</v>
      </c>
      <c r="J15">
        <f t="shared" si="14"/>
        <v>0</v>
      </c>
      <c r="L15" t="s">
        <v>151</v>
      </c>
      <c r="M15" t="s">
        <v>624</v>
      </c>
      <c r="N15" s="2">
        <f t="shared" si="11"/>
        <v>19</v>
      </c>
      <c r="O15">
        <v>15</v>
      </c>
      <c r="P15">
        <v>6</v>
      </c>
      <c r="Q15">
        <v>1</v>
      </c>
      <c r="R15">
        <f t="shared" si="1"/>
        <v>8</v>
      </c>
      <c r="S15">
        <v>23</v>
      </c>
      <c r="T15">
        <v>27</v>
      </c>
      <c r="U15">
        <f t="shared" si="2"/>
        <v>-4</v>
      </c>
      <c r="W15" t="s">
        <v>17</v>
      </c>
      <c r="X15" t="s">
        <v>662</v>
      </c>
      <c r="Y15" s="2">
        <f>AA15*3+AB15</f>
        <v>4</v>
      </c>
      <c r="Z15">
        <v>6</v>
      </c>
      <c r="AA15">
        <v>1</v>
      </c>
      <c r="AB15">
        <v>1</v>
      </c>
      <c r="AC15">
        <f>Z15-AA15-AB15</f>
        <v>4</v>
      </c>
      <c r="AD15">
        <v>7</v>
      </c>
      <c r="AE15">
        <v>12</v>
      </c>
      <c r="AF15">
        <f>AD15-AE15</f>
        <v>-5</v>
      </c>
      <c r="AH15" t="str">
        <f>AI8</f>
        <v>São Luiz</v>
      </c>
      <c r="AI15" t="s">
        <v>44</v>
      </c>
      <c r="AJ15" t="str">
        <f>AI5</f>
        <v>Avenida</v>
      </c>
      <c r="AL15" t="str">
        <f>AI5</f>
        <v>Avenida</v>
      </c>
      <c r="AM15" t="s">
        <v>31</v>
      </c>
      <c r="AN15" t="str">
        <f>AI8</f>
        <v>São Luiz</v>
      </c>
    </row>
    <row r="16" spans="1:46" x14ac:dyDescent="0.3">
      <c r="A16" s="1" t="s">
        <v>17</v>
      </c>
      <c r="B16" t="s">
        <v>634</v>
      </c>
      <c r="C16" s="2">
        <f t="shared" si="12"/>
        <v>9</v>
      </c>
      <c r="D16">
        <v>6</v>
      </c>
      <c r="E16">
        <v>2</v>
      </c>
      <c r="F16">
        <v>3</v>
      </c>
      <c r="G16">
        <f t="shared" si="13"/>
        <v>1</v>
      </c>
      <c r="H16">
        <v>10</v>
      </c>
      <c r="I16">
        <v>10</v>
      </c>
      <c r="J16">
        <f t="shared" si="14"/>
        <v>0</v>
      </c>
      <c r="L16" t="s">
        <v>480</v>
      </c>
      <c r="M16" t="s">
        <v>109</v>
      </c>
      <c r="N16" s="2">
        <f t="shared" si="11"/>
        <v>19</v>
      </c>
      <c r="O16">
        <v>15</v>
      </c>
      <c r="P16">
        <v>5</v>
      </c>
      <c r="Q16">
        <v>4</v>
      </c>
      <c r="R16">
        <f t="shared" si="1"/>
        <v>6</v>
      </c>
      <c r="S16">
        <v>22</v>
      </c>
      <c r="T16">
        <v>23</v>
      </c>
      <c r="U16">
        <f t="shared" si="2"/>
        <v>-1</v>
      </c>
      <c r="Y16" s="2"/>
      <c r="AH16" t="str">
        <f>AI7</f>
        <v>Brasil de Pelotas</v>
      </c>
      <c r="AI16" t="s">
        <v>31</v>
      </c>
      <c r="AJ16" t="str">
        <f>AI6</f>
        <v>Santa Cruz</v>
      </c>
      <c r="AL16" t="str">
        <f>AI6</f>
        <v>Santa Cruz</v>
      </c>
      <c r="AM16" t="s">
        <v>43</v>
      </c>
      <c r="AN16" t="str">
        <f>AI7</f>
        <v>Brasil de Pelotas</v>
      </c>
    </row>
    <row r="17" spans="1:40" x14ac:dyDescent="0.3">
      <c r="A17" s="6" t="s">
        <v>19</v>
      </c>
      <c r="B17" t="s">
        <v>642</v>
      </c>
      <c r="C17" s="2">
        <f t="shared" si="12"/>
        <v>6</v>
      </c>
      <c r="D17">
        <v>6</v>
      </c>
      <c r="E17">
        <v>2</v>
      </c>
      <c r="F17">
        <v>0</v>
      </c>
      <c r="G17">
        <f t="shared" si="13"/>
        <v>4</v>
      </c>
      <c r="H17">
        <v>10</v>
      </c>
      <c r="I17">
        <v>14</v>
      </c>
      <c r="J17">
        <f t="shared" si="14"/>
        <v>-4</v>
      </c>
      <c r="L17" s="3" t="s">
        <v>482</v>
      </c>
      <c r="M17" t="s">
        <v>656</v>
      </c>
      <c r="N17" s="2">
        <f t="shared" si="11"/>
        <v>14</v>
      </c>
      <c r="O17">
        <v>15</v>
      </c>
      <c r="P17">
        <v>4</v>
      </c>
      <c r="Q17">
        <v>2</v>
      </c>
      <c r="R17">
        <f t="shared" si="1"/>
        <v>9</v>
      </c>
      <c r="S17">
        <v>18</v>
      </c>
      <c r="T17">
        <v>33</v>
      </c>
      <c r="U17">
        <f t="shared" si="2"/>
        <v>-15</v>
      </c>
      <c r="W17" t="s">
        <v>27</v>
      </c>
    </row>
    <row r="18" spans="1:40" x14ac:dyDescent="0.3">
      <c r="A18" s="6" t="s">
        <v>21</v>
      </c>
      <c r="B18" t="s">
        <v>639</v>
      </c>
      <c r="C18" s="2">
        <f t="shared" si="12"/>
        <v>2</v>
      </c>
      <c r="D18">
        <v>6</v>
      </c>
      <c r="E18">
        <v>0</v>
      </c>
      <c r="F18">
        <v>2</v>
      </c>
      <c r="G18">
        <f t="shared" si="13"/>
        <v>4</v>
      </c>
      <c r="H18">
        <v>5</v>
      </c>
      <c r="I18">
        <v>12</v>
      </c>
      <c r="J18">
        <f t="shared" si="14"/>
        <v>-7</v>
      </c>
      <c r="L18" s="3" t="s">
        <v>483</v>
      </c>
      <c r="M18" t="s">
        <v>632</v>
      </c>
      <c r="N18" s="2">
        <f t="shared" si="11"/>
        <v>10</v>
      </c>
      <c r="O18">
        <v>15</v>
      </c>
      <c r="P18">
        <v>3</v>
      </c>
      <c r="Q18">
        <v>1</v>
      </c>
      <c r="R18">
        <f t="shared" si="1"/>
        <v>11</v>
      </c>
      <c r="S18">
        <v>13</v>
      </c>
      <c r="T18">
        <v>24</v>
      </c>
      <c r="U18">
        <f t="shared" si="2"/>
        <v>-11</v>
      </c>
      <c r="W18" t="str">
        <f>X13</f>
        <v>São Gabriel</v>
      </c>
      <c r="X18" t="s">
        <v>28</v>
      </c>
      <c r="Y18" t="str">
        <f>X4</f>
        <v>Brasil de Farroupilha</v>
      </c>
      <c r="AA18" t="str">
        <f>X4</f>
        <v>Brasil de Farroupilha</v>
      </c>
      <c r="AB18" t="s">
        <v>663</v>
      </c>
      <c r="AC18" t="str">
        <f>X13</f>
        <v>São Gabriel</v>
      </c>
      <c r="AH18" t="s">
        <v>27</v>
      </c>
    </row>
    <row r="19" spans="1:40" x14ac:dyDescent="0.3">
      <c r="W19" t="str">
        <f>X5</f>
        <v>Novo Horizonte</v>
      </c>
      <c r="X19" t="s">
        <v>30</v>
      </c>
      <c r="Y19" t="str">
        <f>X12</f>
        <v>Bagé</v>
      </c>
      <c r="AA19" t="str">
        <f>X12</f>
        <v>Bagé</v>
      </c>
      <c r="AB19" t="s">
        <v>44</v>
      </c>
      <c r="AC19" t="str">
        <f>X5</f>
        <v>Novo Horizonte</v>
      </c>
      <c r="AH19" t="s">
        <v>12</v>
      </c>
      <c r="AI19" t="s">
        <v>28</v>
      </c>
      <c r="AJ19" t="str">
        <f>AI4</f>
        <v>São José</v>
      </c>
      <c r="AL19" t="str">
        <f>AI4</f>
        <v>São José</v>
      </c>
      <c r="AM19" t="s">
        <v>30</v>
      </c>
      <c r="AN19" t="s">
        <v>12</v>
      </c>
    </row>
    <row r="20" spans="1:40" x14ac:dyDescent="0.3">
      <c r="A20" t="s">
        <v>221</v>
      </c>
      <c r="L20" t="s">
        <v>221</v>
      </c>
      <c r="AH20" t="s">
        <v>633</v>
      </c>
      <c r="AI20" t="s">
        <v>36</v>
      </c>
      <c r="AJ20" t="str">
        <f>AI3</f>
        <v>Guarani</v>
      </c>
      <c r="AL20" t="str">
        <f>AI3</f>
        <v>Guarani</v>
      </c>
      <c r="AM20" t="s">
        <v>31</v>
      </c>
      <c r="AN20" t="s">
        <v>633</v>
      </c>
    </row>
    <row r="21" spans="1:40" x14ac:dyDescent="0.3">
      <c r="A21" t="str">
        <f>B4</f>
        <v>Guarani</v>
      </c>
      <c r="B21" t="s">
        <v>31</v>
      </c>
      <c r="C21" t="str">
        <f>B7</f>
        <v>Caxias</v>
      </c>
      <c r="L21" t="str">
        <f>M10</f>
        <v>Esportivo</v>
      </c>
      <c r="M21" t="s">
        <v>54</v>
      </c>
      <c r="N21" t="str">
        <f>M3</f>
        <v>Santa Cruz</v>
      </c>
      <c r="P21" t="str">
        <f>M3</f>
        <v>Santa Cruz</v>
      </c>
      <c r="Q21" t="s">
        <v>30</v>
      </c>
      <c r="R21" t="str">
        <f>M10</f>
        <v>Esportivo</v>
      </c>
      <c r="W21" t="s">
        <v>33</v>
      </c>
    </row>
    <row r="22" spans="1:40" x14ac:dyDescent="0.3">
      <c r="A22" t="str">
        <f>B5</f>
        <v>São Luiz</v>
      </c>
      <c r="B22" t="s">
        <v>28</v>
      </c>
      <c r="C22" t="str">
        <f>B6</f>
        <v>São José</v>
      </c>
      <c r="L22" t="str">
        <f>M9</f>
        <v>Lajeadense</v>
      </c>
      <c r="M22" t="s">
        <v>65</v>
      </c>
      <c r="N22" t="str">
        <f>M4</f>
        <v>Veranópolis</v>
      </c>
      <c r="P22" t="str">
        <f>M4</f>
        <v>Veranópolis</v>
      </c>
      <c r="Q22" t="s">
        <v>657</v>
      </c>
      <c r="R22" t="str">
        <f>M9</f>
        <v>Lajeadense</v>
      </c>
      <c r="W22" t="s">
        <v>661</v>
      </c>
      <c r="X22" t="s">
        <v>30</v>
      </c>
      <c r="Y22" t="s">
        <v>359</v>
      </c>
      <c r="AA22" t="s">
        <v>359</v>
      </c>
      <c r="AB22" t="s">
        <v>36</v>
      </c>
      <c r="AC22" t="s">
        <v>661</v>
      </c>
      <c r="AH22" t="s">
        <v>33</v>
      </c>
    </row>
    <row r="23" spans="1:40" x14ac:dyDescent="0.3">
      <c r="A23" t="str">
        <f>B13</f>
        <v>Inter SM</v>
      </c>
      <c r="B23" t="s">
        <v>30</v>
      </c>
      <c r="C23" t="str">
        <f>B16</f>
        <v>Juventude</v>
      </c>
      <c r="L23" t="str">
        <f>M8</f>
        <v>Passo Fundo</v>
      </c>
      <c r="M23" t="s">
        <v>30</v>
      </c>
      <c r="N23" t="str">
        <f>M5</f>
        <v>Aimoré</v>
      </c>
      <c r="P23" t="str">
        <f>M5</f>
        <v>Aimoré</v>
      </c>
      <c r="Q23" t="s">
        <v>36</v>
      </c>
      <c r="R23" t="str">
        <f>M8</f>
        <v>Passo Fundo</v>
      </c>
      <c r="AH23" t="s">
        <v>633</v>
      </c>
      <c r="AI23" t="s">
        <v>44</v>
      </c>
      <c r="AJ23" t="s">
        <v>112</v>
      </c>
      <c r="AL23" t="s">
        <v>112</v>
      </c>
      <c r="AM23" t="s">
        <v>69</v>
      </c>
      <c r="AN23" t="s">
        <v>633</v>
      </c>
    </row>
    <row r="24" spans="1:40" x14ac:dyDescent="0.3">
      <c r="A24" t="str">
        <f>B14</f>
        <v>Guarany</v>
      </c>
      <c r="B24" t="s">
        <v>36</v>
      </c>
      <c r="C24" t="str">
        <f>B15</f>
        <v>Grêmio</v>
      </c>
      <c r="L24" t="str">
        <f>M7</f>
        <v>Brasil de Pelotas</v>
      </c>
      <c r="M24" t="s">
        <v>43</v>
      </c>
      <c r="N24" t="str">
        <f>M6</f>
        <v>Glória</v>
      </c>
      <c r="P24" t="str">
        <f>M6</f>
        <v>Glória</v>
      </c>
      <c r="Q24" t="s">
        <v>37</v>
      </c>
      <c r="R24" t="str">
        <f>M7</f>
        <v>Brasil de Pelotas</v>
      </c>
    </row>
    <row r="26" spans="1:40" x14ac:dyDescent="0.3">
      <c r="A26" t="s">
        <v>27</v>
      </c>
      <c r="L26" t="s">
        <v>27</v>
      </c>
    </row>
    <row r="27" spans="1:40" x14ac:dyDescent="0.3">
      <c r="A27" t="s">
        <v>636</v>
      </c>
      <c r="B27" t="s">
        <v>69</v>
      </c>
      <c r="C27" t="s">
        <v>638</v>
      </c>
      <c r="E27" t="s">
        <v>638</v>
      </c>
      <c r="F27" t="s">
        <v>28</v>
      </c>
      <c r="G27" t="s">
        <v>636</v>
      </c>
      <c r="L27" t="s">
        <v>650</v>
      </c>
      <c r="M27" t="s">
        <v>57</v>
      </c>
      <c r="N27" t="s">
        <v>653</v>
      </c>
      <c r="P27" t="s">
        <v>653</v>
      </c>
      <c r="Q27" t="s">
        <v>36</v>
      </c>
      <c r="R27" t="s">
        <v>650</v>
      </c>
    </row>
    <row r="28" spans="1:40" x14ac:dyDescent="0.3">
      <c r="A28" t="s">
        <v>173</v>
      </c>
      <c r="B28" t="s">
        <v>36</v>
      </c>
      <c r="C28" t="s">
        <v>112</v>
      </c>
      <c r="E28" t="s">
        <v>112</v>
      </c>
      <c r="F28" t="s">
        <v>30</v>
      </c>
      <c r="G28" t="s">
        <v>173</v>
      </c>
      <c r="L28" t="s">
        <v>652</v>
      </c>
      <c r="M28" t="s">
        <v>44</v>
      </c>
      <c r="N28" t="s">
        <v>644</v>
      </c>
      <c r="P28" t="s">
        <v>644</v>
      </c>
      <c r="Q28" t="s">
        <v>43</v>
      </c>
      <c r="R28" t="s">
        <v>652</v>
      </c>
    </row>
    <row r="30" spans="1:40" x14ac:dyDescent="0.3">
      <c r="A30" t="s">
        <v>33</v>
      </c>
      <c r="L30" t="s">
        <v>33</v>
      </c>
    </row>
    <row r="31" spans="1:40" x14ac:dyDescent="0.3">
      <c r="A31" t="s">
        <v>173</v>
      </c>
      <c r="B31" t="s">
        <v>28</v>
      </c>
      <c r="C31" t="s">
        <v>638</v>
      </c>
      <c r="E31" t="s">
        <v>638</v>
      </c>
      <c r="F31" t="s">
        <v>54</v>
      </c>
      <c r="G31" t="s">
        <v>173</v>
      </c>
      <c r="L31" t="s">
        <v>653</v>
      </c>
      <c r="M31" t="s">
        <v>30</v>
      </c>
      <c r="N31" t="s">
        <v>644</v>
      </c>
      <c r="P31" t="s">
        <v>644</v>
      </c>
      <c r="Q31" t="s">
        <v>44</v>
      </c>
      <c r="R31" t="s">
        <v>653</v>
      </c>
    </row>
    <row r="33" spans="1:10" x14ac:dyDescent="0.3">
      <c r="A33" t="s">
        <v>641</v>
      </c>
    </row>
    <row r="34" spans="1:10" x14ac:dyDescent="0.3">
      <c r="A34" t="s">
        <v>27</v>
      </c>
    </row>
    <row r="35" spans="1:10" x14ac:dyDescent="0.3">
      <c r="A35" t="s">
        <v>633</v>
      </c>
      <c r="B35" t="s">
        <v>171</v>
      </c>
      <c r="C35" t="s">
        <v>179</v>
      </c>
      <c r="E35" t="s">
        <v>179</v>
      </c>
      <c r="F35" t="s">
        <v>65</v>
      </c>
      <c r="G35" t="s">
        <v>633</v>
      </c>
    </row>
    <row r="36" spans="1:10" x14ac:dyDescent="0.3">
      <c r="A36" t="s">
        <v>634</v>
      </c>
      <c r="B36" t="s">
        <v>44</v>
      </c>
      <c r="C36" t="s">
        <v>637</v>
      </c>
      <c r="E36" t="s">
        <v>637</v>
      </c>
      <c r="F36" t="s">
        <v>28</v>
      </c>
      <c r="G36" t="s">
        <v>634</v>
      </c>
    </row>
    <row r="38" spans="1:10" x14ac:dyDescent="0.3">
      <c r="A38" t="s">
        <v>33</v>
      </c>
    </row>
    <row r="39" spans="1:10" x14ac:dyDescent="0.3">
      <c r="A39" t="s">
        <v>634</v>
      </c>
      <c r="B39" t="s">
        <v>69</v>
      </c>
      <c r="C39" t="s">
        <v>633</v>
      </c>
      <c r="E39" t="s">
        <v>633</v>
      </c>
      <c r="F39" t="s">
        <v>30</v>
      </c>
      <c r="G39" t="s">
        <v>634</v>
      </c>
    </row>
    <row r="41" spans="1:10" x14ac:dyDescent="0.3">
      <c r="A41" t="s">
        <v>172</v>
      </c>
    </row>
    <row r="42" spans="1:10" x14ac:dyDescent="0.3">
      <c r="A42" t="s">
        <v>1</v>
      </c>
      <c r="B42" t="s">
        <v>2</v>
      </c>
      <c r="C42" t="s">
        <v>3</v>
      </c>
      <c r="D42" t="s">
        <v>4</v>
      </c>
      <c r="E42" t="s">
        <v>5</v>
      </c>
      <c r="F42" t="s">
        <v>6</v>
      </c>
      <c r="G42" t="s">
        <v>7</v>
      </c>
      <c r="H42" t="s">
        <v>8</v>
      </c>
      <c r="I42" t="s">
        <v>9</v>
      </c>
      <c r="J42" t="s">
        <v>10</v>
      </c>
    </row>
    <row r="43" spans="1:10" x14ac:dyDescent="0.3">
      <c r="A43" t="s">
        <v>11</v>
      </c>
      <c r="B43" t="s">
        <v>327</v>
      </c>
      <c r="C43" s="2">
        <f>E43*3+F43</f>
        <v>12</v>
      </c>
      <c r="D43">
        <v>6</v>
      </c>
      <c r="E43">
        <v>4</v>
      </c>
      <c r="F43">
        <v>0</v>
      </c>
      <c r="G43">
        <f>D43-E43-F43</f>
        <v>2</v>
      </c>
      <c r="H43">
        <v>16</v>
      </c>
      <c r="I43">
        <v>12</v>
      </c>
      <c r="J43">
        <f>H43-I43</f>
        <v>4</v>
      </c>
    </row>
    <row r="44" spans="1:10" x14ac:dyDescent="0.3">
      <c r="A44" t="s">
        <v>13</v>
      </c>
      <c r="B44" t="s">
        <v>635</v>
      </c>
      <c r="C44" s="2">
        <f>E44*3+F44</f>
        <v>10</v>
      </c>
      <c r="D44">
        <v>6</v>
      </c>
      <c r="E44">
        <v>3</v>
      </c>
      <c r="F44">
        <v>1</v>
      </c>
      <c r="G44">
        <f t="shared" ref="G44:G46" si="15">D44-E44-F44</f>
        <v>2</v>
      </c>
      <c r="H44">
        <v>10</v>
      </c>
      <c r="I44">
        <v>9</v>
      </c>
      <c r="J44">
        <f t="shared" ref="J44:J46" si="16">H44-I44</f>
        <v>1</v>
      </c>
    </row>
    <row r="45" spans="1:10" x14ac:dyDescent="0.3">
      <c r="A45" s="3" t="s">
        <v>15</v>
      </c>
      <c r="B45" t="s">
        <v>639</v>
      </c>
      <c r="C45" s="2">
        <f>E45*3+F45</f>
        <v>7</v>
      </c>
      <c r="D45">
        <v>6</v>
      </c>
      <c r="E45">
        <v>2</v>
      </c>
      <c r="F45">
        <v>1</v>
      </c>
      <c r="G45">
        <f t="shared" si="15"/>
        <v>3</v>
      </c>
      <c r="H45">
        <v>9</v>
      </c>
      <c r="I45">
        <v>10</v>
      </c>
      <c r="J45">
        <f t="shared" si="16"/>
        <v>-1</v>
      </c>
    </row>
    <row r="46" spans="1:10" x14ac:dyDescent="0.3">
      <c r="A46" s="3" t="s">
        <v>17</v>
      </c>
      <c r="B46" t="s">
        <v>642</v>
      </c>
      <c r="C46" s="2">
        <f>E46*3+F46</f>
        <v>5</v>
      </c>
      <c r="D46">
        <v>6</v>
      </c>
      <c r="E46">
        <v>1</v>
      </c>
      <c r="F46">
        <v>2</v>
      </c>
      <c r="G46">
        <f t="shared" si="15"/>
        <v>3</v>
      </c>
      <c r="H46">
        <v>7</v>
      </c>
      <c r="I46">
        <v>11</v>
      </c>
      <c r="J46">
        <f t="shared" si="16"/>
        <v>-4</v>
      </c>
    </row>
    <row r="48" spans="1:10" x14ac:dyDescent="0.3">
      <c r="A48" t="s">
        <v>38</v>
      </c>
    </row>
    <row r="49" spans="1:1" x14ac:dyDescent="0.3">
      <c r="A49" t="s">
        <v>638</v>
      </c>
    </row>
    <row r="50" spans="1:1" x14ac:dyDescent="0.3">
      <c r="A50" t="s">
        <v>173</v>
      </c>
    </row>
    <row r="51" spans="1:1" x14ac:dyDescent="0.3">
      <c r="A51" t="s">
        <v>633</v>
      </c>
    </row>
    <row r="53" spans="1:1" x14ac:dyDescent="0.3">
      <c r="A53" t="s">
        <v>39</v>
      </c>
    </row>
    <row r="54" spans="1:1" x14ac:dyDescent="0.3">
      <c r="A54" t="s">
        <v>638</v>
      </c>
    </row>
    <row r="55" spans="1:1" x14ac:dyDescent="0.3">
      <c r="A55" t="s">
        <v>173</v>
      </c>
    </row>
    <row r="56" spans="1:1" x14ac:dyDescent="0.3">
      <c r="A56" t="s">
        <v>112</v>
      </c>
    </row>
    <row r="57" spans="1:1" x14ac:dyDescent="0.3">
      <c r="A57" t="s">
        <v>636</v>
      </c>
    </row>
    <row r="58" spans="1:1" x14ac:dyDescent="0.3">
      <c r="A58" t="s">
        <v>633</v>
      </c>
    </row>
  </sheetData>
  <sortState xmlns:xlrd2="http://schemas.microsoft.com/office/spreadsheetml/2017/richdata2" ref="B13:J18">
    <sortCondition descending="1" ref="C13:C18"/>
    <sortCondition descending="1" ref="E13:E18"/>
    <sortCondition descending="1" ref="J13:J18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D0F2-6EC9-4826-808F-7590A908D3A7}">
  <dimension ref="A1:AT30"/>
  <sheetViews>
    <sheetView topLeftCell="B1" workbookViewId="0">
      <selection activeCell="N3" sqref="N3:N12"/>
    </sheetView>
  </sheetViews>
  <sheetFormatPr defaultRowHeight="14.4" x14ac:dyDescent="0.3"/>
  <sheetData>
    <row r="1" spans="1:46" x14ac:dyDescent="0.3">
      <c r="A1" t="s">
        <v>665</v>
      </c>
      <c r="L1" t="s">
        <v>676</v>
      </c>
      <c r="W1" t="s">
        <v>686</v>
      </c>
      <c r="AH1" t="s">
        <v>688</v>
      </c>
      <c r="AS1" t="s">
        <v>70</v>
      </c>
    </row>
    <row r="2" spans="1:4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1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H2" t="s">
        <v>72</v>
      </c>
      <c r="AS2" t="s">
        <v>669</v>
      </c>
      <c r="AT2">
        <v>3</v>
      </c>
    </row>
    <row r="3" spans="1:46" x14ac:dyDescent="0.3">
      <c r="A3" s="1" t="s">
        <v>11</v>
      </c>
      <c r="B3" t="s">
        <v>666</v>
      </c>
      <c r="C3" s="2">
        <f t="shared" ref="C3:C12" si="0">E3*3+F3</f>
        <v>24</v>
      </c>
      <c r="D3">
        <v>9</v>
      </c>
      <c r="E3">
        <v>8</v>
      </c>
      <c r="F3">
        <v>0</v>
      </c>
      <c r="G3">
        <f>D3-E3-F3</f>
        <v>1</v>
      </c>
      <c r="H3">
        <v>18</v>
      </c>
      <c r="I3">
        <v>7</v>
      </c>
      <c r="J3">
        <f>H3-I3</f>
        <v>11</v>
      </c>
      <c r="L3" s="1" t="s">
        <v>11</v>
      </c>
      <c r="M3" t="s">
        <v>179</v>
      </c>
      <c r="N3" s="2">
        <f t="shared" ref="N3:N13" si="1">P3*3+Q3</f>
        <v>19</v>
      </c>
      <c r="O3">
        <v>10</v>
      </c>
      <c r="P3">
        <v>6</v>
      </c>
      <c r="Q3">
        <v>1</v>
      </c>
      <c r="R3">
        <f>O3-P3-Q3</f>
        <v>3</v>
      </c>
      <c r="S3">
        <v>18</v>
      </c>
      <c r="T3">
        <v>12</v>
      </c>
      <c r="U3">
        <f>S3-T3</f>
        <v>6</v>
      </c>
      <c r="W3" s="1" t="s">
        <v>11</v>
      </c>
      <c r="X3" t="s">
        <v>337</v>
      </c>
      <c r="Y3" s="2">
        <f>AA3*3+AB3</f>
        <v>10</v>
      </c>
      <c r="Z3">
        <v>6</v>
      </c>
      <c r="AA3">
        <v>3</v>
      </c>
      <c r="AB3">
        <v>1</v>
      </c>
      <c r="AC3">
        <f>Z3-AA3-AB3</f>
        <v>2</v>
      </c>
      <c r="AD3">
        <v>14</v>
      </c>
      <c r="AE3">
        <v>12</v>
      </c>
      <c r="AF3">
        <f>AD3-AE3</f>
        <v>2</v>
      </c>
      <c r="AH3" t="s">
        <v>1</v>
      </c>
      <c r="AI3" t="s">
        <v>2</v>
      </c>
      <c r="AJ3" t="s">
        <v>3</v>
      </c>
      <c r="AK3" t="s">
        <v>4</v>
      </c>
      <c r="AL3" t="s">
        <v>5</v>
      </c>
      <c r="AM3" t="s">
        <v>6</v>
      </c>
      <c r="AN3" t="s">
        <v>7</v>
      </c>
      <c r="AO3" t="s">
        <v>8</v>
      </c>
      <c r="AP3" t="s">
        <v>9</v>
      </c>
      <c r="AQ3" t="s">
        <v>10</v>
      </c>
      <c r="AS3" t="s">
        <v>179</v>
      </c>
      <c r="AT3">
        <v>3</v>
      </c>
    </row>
    <row r="4" spans="1:46" x14ac:dyDescent="0.3">
      <c r="A4" s="1" t="s">
        <v>13</v>
      </c>
      <c r="B4" t="s">
        <v>667</v>
      </c>
      <c r="C4" s="2">
        <f t="shared" si="0"/>
        <v>17</v>
      </c>
      <c r="D4">
        <v>9</v>
      </c>
      <c r="E4">
        <v>5</v>
      </c>
      <c r="F4">
        <v>2</v>
      </c>
      <c r="G4">
        <f t="shared" ref="G4:G12" si="2">D4-E4-F4</f>
        <v>2</v>
      </c>
      <c r="H4">
        <v>12</v>
      </c>
      <c r="I4">
        <v>8</v>
      </c>
      <c r="J4">
        <f t="shared" ref="J4:J12" si="3">H4-I4</f>
        <v>4</v>
      </c>
      <c r="L4" s="1" t="s">
        <v>13</v>
      </c>
      <c r="M4" t="s">
        <v>681</v>
      </c>
      <c r="N4" s="2">
        <f t="shared" si="1"/>
        <v>18</v>
      </c>
      <c r="O4">
        <v>10</v>
      </c>
      <c r="P4">
        <v>6</v>
      </c>
      <c r="Q4">
        <v>0</v>
      </c>
      <c r="R4">
        <f t="shared" ref="R4:R13" si="4">O4-P4-Q4</f>
        <v>4</v>
      </c>
      <c r="S4">
        <v>23</v>
      </c>
      <c r="T4">
        <v>14</v>
      </c>
      <c r="U4">
        <f t="shared" ref="U4:U13" si="5">S4-T4</f>
        <v>9</v>
      </c>
      <c r="W4" s="1" t="s">
        <v>13</v>
      </c>
      <c r="X4" t="s">
        <v>687</v>
      </c>
      <c r="Y4" s="2">
        <f>AA4*3+AB4</f>
        <v>9</v>
      </c>
      <c r="Z4">
        <v>6</v>
      </c>
      <c r="AA4">
        <v>2</v>
      </c>
      <c r="AB4">
        <v>3</v>
      </c>
      <c r="AC4">
        <f t="shared" ref="AC4:AC6" si="6">Z4-AA4-AB4</f>
        <v>1</v>
      </c>
      <c r="AD4">
        <v>15</v>
      </c>
      <c r="AE4">
        <v>14</v>
      </c>
      <c r="AF4">
        <f t="shared" ref="AF4:AF6" si="7">AD4-AE4</f>
        <v>1</v>
      </c>
      <c r="AH4" s="1" t="s">
        <v>11</v>
      </c>
      <c r="AI4" t="s">
        <v>179</v>
      </c>
      <c r="AJ4" s="2">
        <f>AL4*3+AM4</f>
        <v>10</v>
      </c>
      <c r="AK4">
        <v>6</v>
      </c>
      <c r="AL4">
        <v>2</v>
      </c>
      <c r="AM4">
        <v>4</v>
      </c>
      <c r="AN4">
        <f>AK4-AL4-AM4</f>
        <v>0</v>
      </c>
      <c r="AO4">
        <v>13</v>
      </c>
      <c r="AP4">
        <v>11</v>
      </c>
      <c r="AQ4">
        <f>AO4-AP4</f>
        <v>2</v>
      </c>
      <c r="AS4" t="s">
        <v>337</v>
      </c>
      <c r="AT4">
        <v>2</v>
      </c>
    </row>
    <row r="5" spans="1:46" x14ac:dyDescent="0.3">
      <c r="A5" s="1" t="s">
        <v>15</v>
      </c>
      <c r="B5" t="s">
        <v>668</v>
      </c>
      <c r="C5" s="2">
        <f t="shared" si="0"/>
        <v>14</v>
      </c>
      <c r="D5">
        <v>9</v>
      </c>
      <c r="E5">
        <v>4</v>
      </c>
      <c r="F5">
        <v>2</v>
      </c>
      <c r="G5">
        <f t="shared" si="2"/>
        <v>3</v>
      </c>
      <c r="H5">
        <v>15</v>
      </c>
      <c r="I5">
        <v>13</v>
      </c>
      <c r="J5">
        <f t="shared" si="3"/>
        <v>2</v>
      </c>
      <c r="L5" s="1" t="s">
        <v>15</v>
      </c>
      <c r="M5" t="s">
        <v>327</v>
      </c>
      <c r="N5" s="2">
        <f t="shared" si="1"/>
        <v>18</v>
      </c>
      <c r="O5">
        <v>10</v>
      </c>
      <c r="P5">
        <v>5</v>
      </c>
      <c r="Q5">
        <v>3</v>
      </c>
      <c r="R5">
        <f t="shared" si="4"/>
        <v>2</v>
      </c>
      <c r="S5">
        <v>12</v>
      </c>
      <c r="T5">
        <v>9</v>
      </c>
      <c r="U5">
        <f t="shared" si="5"/>
        <v>3</v>
      </c>
      <c r="W5" t="s">
        <v>15</v>
      </c>
      <c r="X5" t="s">
        <v>682</v>
      </c>
      <c r="Y5" s="2">
        <f>AA5*3+AB5</f>
        <v>7</v>
      </c>
      <c r="Z5">
        <v>6</v>
      </c>
      <c r="AA5">
        <v>2</v>
      </c>
      <c r="AB5">
        <v>1</v>
      </c>
      <c r="AC5">
        <f t="shared" si="6"/>
        <v>3</v>
      </c>
      <c r="AD5">
        <v>7</v>
      </c>
      <c r="AE5">
        <v>9</v>
      </c>
      <c r="AF5">
        <f t="shared" si="7"/>
        <v>-2</v>
      </c>
      <c r="AH5" t="s">
        <v>13</v>
      </c>
      <c r="AI5" t="s">
        <v>672</v>
      </c>
      <c r="AJ5" s="2">
        <f>AL5*3+AM5</f>
        <v>8</v>
      </c>
      <c r="AK5">
        <v>6</v>
      </c>
      <c r="AL5">
        <v>2</v>
      </c>
      <c r="AM5">
        <v>2</v>
      </c>
      <c r="AN5">
        <f t="shared" ref="AN5:AN7" si="8">AK5-AL5-AM5</f>
        <v>2</v>
      </c>
      <c r="AO5">
        <v>8</v>
      </c>
      <c r="AP5">
        <v>7</v>
      </c>
      <c r="AQ5">
        <f t="shared" ref="AQ5:AQ7" si="9">AO5-AP5</f>
        <v>1</v>
      </c>
      <c r="AS5" t="s">
        <v>670</v>
      </c>
      <c r="AT5">
        <v>4</v>
      </c>
    </row>
    <row r="6" spans="1:46" x14ac:dyDescent="0.3">
      <c r="A6" s="1" t="s">
        <v>17</v>
      </c>
      <c r="B6" t="s">
        <v>669</v>
      </c>
      <c r="C6" s="2">
        <f t="shared" si="0"/>
        <v>13</v>
      </c>
      <c r="D6">
        <v>9</v>
      </c>
      <c r="E6">
        <v>4</v>
      </c>
      <c r="F6">
        <v>1</v>
      </c>
      <c r="G6">
        <f t="shared" si="2"/>
        <v>4</v>
      </c>
      <c r="H6">
        <v>14</v>
      </c>
      <c r="I6">
        <v>11</v>
      </c>
      <c r="J6">
        <f t="shared" si="3"/>
        <v>3</v>
      </c>
      <c r="L6" s="1" t="s">
        <v>17</v>
      </c>
      <c r="M6" t="s">
        <v>683</v>
      </c>
      <c r="N6" s="2">
        <f t="shared" si="1"/>
        <v>16</v>
      </c>
      <c r="O6">
        <v>10</v>
      </c>
      <c r="P6">
        <v>5</v>
      </c>
      <c r="Q6">
        <v>1</v>
      </c>
      <c r="R6">
        <f t="shared" si="4"/>
        <v>4</v>
      </c>
      <c r="S6">
        <v>18</v>
      </c>
      <c r="T6">
        <v>18</v>
      </c>
      <c r="U6">
        <f t="shared" si="5"/>
        <v>0</v>
      </c>
      <c r="W6" t="s">
        <v>17</v>
      </c>
      <c r="X6" t="s">
        <v>129</v>
      </c>
      <c r="Y6" s="2">
        <f>AA6*3+AB6</f>
        <v>6</v>
      </c>
      <c r="Z6">
        <v>6</v>
      </c>
      <c r="AA6">
        <v>1</v>
      </c>
      <c r="AB6">
        <v>3</v>
      </c>
      <c r="AC6">
        <f t="shared" si="6"/>
        <v>2</v>
      </c>
      <c r="AD6">
        <v>9</v>
      </c>
      <c r="AE6">
        <v>10</v>
      </c>
      <c r="AF6">
        <f t="shared" si="7"/>
        <v>-1</v>
      </c>
      <c r="AH6" t="s">
        <v>15</v>
      </c>
      <c r="AI6" t="s">
        <v>674</v>
      </c>
      <c r="AJ6" s="2">
        <f>AL6*3+AM6</f>
        <v>7</v>
      </c>
      <c r="AK6">
        <v>6</v>
      </c>
      <c r="AL6">
        <v>2</v>
      </c>
      <c r="AM6">
        <v>1</v>
      </c>
      <c r="AN6">
        <f t="shared" si="8"/>
        <v>3</v>
      </c>
      <c r="AO6">
        <v>8</v>
      </c>
      <c r="AP6">
        <v>10</v>
      </c>
      <c r="AQ6">
        <f t="shared" si="9"/>
        <v>-2</v>
      </c>
    </row>
    <row r="7" spans="1:46" x14ac:dyDescent="0.3">
      <c r="A7" t="s">
        <v>19</v>
      </c>
      <c r="B7" t="s">
        <v>670</v>
      </c>
      <c r="C7" s="2">
        <f t="shared" si="0"/>
        <v>13</v>
      </c>
      <c r="D7">
        <v>9</v>
      </c>
      <c r="E7">
        <v>4</v>
      </c>
      <c r="F7">
        <v>1</v>
      </c>
      <c r="G7">
        <f t="shared" si="2"/>
        <v>4</v>
      </c>
      <c r="H7">
        <v>14</v>
      </c>
      <c r="I7">
        <v>13</v>
      </c>
      <c r="J7">
        <f t="shared" si="3"/>
        <v>1</v>
      </c>
      <c r="L7" t="s">
        <v>19</v>
      </c>
      <c r="M7" t="s">
        <v>677</v>
      </c>
      <c r="N7" s="2">
        <f t="shared" si="1"/>
        <v>16</v>
      </c>
      <c r="O7">
        <v>10</v>
      </c>
      <c r="P7">
        <v>5</v>
      </c>
      <c r="Q7">
        <v>1</v>
      </c>
      <c r="R7">
        <f t="shared" si="4"/>
        <v>4</v>
      </c>
      <c r="S7">
        <v>13</v>
      </c>
      <c r="T7">
        <v>14</v>
      </c>
      <c r="U7">
        <f t="shared" si="5"/>
        <v>-1</v>
      </c>
      <c r="AH7" t="s">
        <v>17</v>
      </c>
      <c r="AI7" t="s">
        <v>681</v>
      </c>
      <c r="AJ7" s="2">
        <f>AL7*3+AM7</f>
        <v>6</v>
      </c>
      <c r="AK7">
        <v>6</v>
      </c>
      <c r="AL7">
        <v>1</v>
      </c>
      <c r="AM7">
        <v>3</v>
      </c>
      <c r="AN7">
        <f t="shared" si="8"/>
        <v>2</v>
      </c>
      <c r="AO7">
        <v>7</v>
      </c>
      <c r="AP7">
        <v>8</v>
      </c>
      <c r="AQ7">
        <f t="shared" si="9"/>
        <v>-1</v>
      </c>
    </row>
    <row r="8" spans="1:46" x14ac:dyDescent="0.3">
      <c r="A8" t="s">
        <v>21</v>
      </c>
      <c r="B8" t="s">
        <v>671</v>
      </c>
      <c r="C8" s="2">
        <f t="shared" si="0"/>
        <v>12</v>
      </c>
      <c r="D8">
        <v>9</v>
      </c>
      <c r="E8">
        <v>4</v>
      </c>
      <c r="F8">
        <v>0</v>
      </c>
      <c r="G8">
        <f t="shared" si="2"/>
        <v>5</v>
      </c>
      <c r="H8">
        <v>12</v>
      </c>
      <c r="I8">
        <v>13</v>
      </c>
      <c r="J8">
        <f t="shared" si="3"/>
        <v>-1</v>
      </c>
      <c r="L8" t="s">
        <v>21</v>
      </c>
      <c r="M8" t="s">
        <v>684</v>
      </c>
      <c r="N8" s="2">
        <f t="shared" si="1"/>
        <v>15</v>
      </c>
      <c r="O8">
        <v>10</v>
      </c>
      <c r="P8">
        <v>5</v>
      </c>
      <c r="Q8">
        <v>0</v>
      </c>
      <c r="R8">
        <f t="shared" si="4"/>
        <v>5</v>
      </c>
      <c r="S8">
        <v>15</v>
      </c>
      <c r="T8">
        <v>14</v>
      </c>
      <c r="U8">
        <f t="shared" si="5"/>
        <v>1</v>
      </c>
      <c r="W8" t="s">
        <v>33</v>
      </c>
    </row>
    <row r="9" spans="1:46" x14ac:dyDescent="0.3">
      <c r="A9" t="s">
        <v>23</v>
      </c>
      <c r="B9" t="s">
        <v>672</v>
      </c>
      <c r="C9" s="2">
        <f t="shared" si="0"/>
        <v>11</v>
      </c>
      <c r="D9">
        <v>9</v>
      </c>
      <c r="E9">
        <v>3</v>
      </c>
      <c r="F9">
        <v>2</v>
      </c>
      <c r="G9">
        <f t="shared" si="2"/>
        <v>4</v>
      </c>
      <c r="H9">
        <v>11</v>
      </c>
      <c r="I9">
        <v>14</v>
      </c>
      <c r="J9">
        <f t="shared" si="3"/>
        <v>-3</v>
      </c>
      <c r="L9" t="s">
        <v>23</v>
      </c>
      <c r="M9" t="s">
        <v>678</v>
      </c>
      <c r="N9" s="2">
        <f t="shared" si="1"/>
        <v>15</v>
      </c>
      <c r="O9">
        <v>10</v>
      </c>
      <c r="P9">
        <v>5</v>
      </c>
      <c r="Q9">
        <v>0</v>
      </c>
      <c r="R9">
        <f>O9-P9-Q9</f>
        <v>5</v>
      </c>
      <c r="S9">
        <v>15</v>
      </c>
      <c r="T9">
        <v>15</v>
      </c>
      <c r="U9">
        <f>S9-T9</f>
        <v>0</v>
      </c>
      <c r="W9" t="str">
        <f>X4</f>
        <v>Imbituba</v>
      </c>
      <c r="X9" t="s">
        <v>43</v>
      </c>
      <c r="Y9" t="str">
        <f>X3</f>
        <v>Juventus</v>
      </c>
      <c r="AA9" t="str">
        <f>X3</f>
        <v>Juventus</v>
      </c>
      <c r="AB9" t="s">
        <v>30</v>
      </c>
      <c r="AC9" t="str">
        <f>X4</f>
        <v>Imbituba</v>
      </c>
      <c r="AH9" t="s">
        <v>73</v>
      </c>
    </row>
    <row r="10" spans="1:46" x14ac:dyDescent="0.3">
      <c r="A10" t="s">
        <v>25</v>
      </c>
      <c r="B10" t="s">
        <v>673</v>
      </c>
      <c r="C10" s="2">
        <f t="shared" si="0"/>
        <v>10</v>
      </c>
      <c r="D10">
        <v>9</v>
      </c>
      <c r="E10">
        <v>3</v>
      </c>
      <c r="F10">
        <v>1</v>
      </c>
      <c r="G10">
        <f t="shared" si="2"/>
        <v>5</v>
      </c>
      <c r="H10">
        <v>8</v>
      </c>
      <c r="I10">
        <v>11</v>
      </c>
      <c r="J10">
        <f t="shared" si="3"/>
        <v>-3</v>
      </c>
      <c r="L10" t="s">
        <v>25</v>
      </c>
      <c r="M10" t="s">
        <v>680</v>
      </c>
      <c r="N10" s="2">
        <f t="shared" si="1"/>
        <v>14</v>
      </c>
      <c r="O10">
        <v>10</v>
      </c>
      <c r="P10">
        <v>4</v>
      </c>
      <c r="Q10">
        <v>2</v>
      </c>
      <c r="R10">
        <f t="shared" si="4"/>
        <v>4</v>
      </c>
      <c r="S10">
        <v>12</v>
      </c>
      <c r="T10">
        <v>12</v>
      </c>
      <c r="U10">
        <f t="shared" si="5"/>
        <v>0</v>
      </c>
      <c r="AH10" t="s">
        <v>1</v>
      </c>
      <c r="AI10" t="s">
        <v>2</v>
      </c>
      <c r="AJ10" t="s">
        <v>3</v>
      </c>
      <c r="AK10" t="s">
        <v>4</v>
      </c>
      <c r="AL10" t="s">
        <v>5</v>
      </c>
      <c r="AM10" t="s">
        <v>6</v>
      </c>
      <c r="AN10" t="s">
        <v>7</v>
      </c>
      <c r="AO10" t="s">
        <v>8</v>
      </c>
      <c r="AP10" t="s">
        <v>9</v>
      </c>
      <c r="AQ10" t="s">
        <v>10</v>
      </c>
    </row>
    <row r="11" spans="1:46" x14ac:dyDescent="0.3">
      <c r="A11" s="3" t="s">
        <v>66</v>
      </c>
      <c r="B11" t="s">
        <v>674</v>
      </c>
      <c r="C11" s="2">
        <f t="shared" si="0"/>
        <v>9</v>
      </c>
      <c r="D11">
        <v>9</v>
      </c>
      <c r="E11">
        <v>3</v>
      </c>
      <c r="F11">
        <v>0</v>
      </c>
      <c r="G11">
        <f t="shared" si="2"/>
        <v>6</v>
      </c>
      <c r="H11">
        <v>10</v>
      </c>
      <c r="I11">
        <v>17</v>
      </c>
      <c r="J11">
        <f t="shared" si="3"/>
        <v>-7</v>
      </c>
      <c r="L11" t="s">
        <v>66</v>
      </c>
      <c r="M11" t="s">
        <v>685</v>
      </c>
      <c r="N11" s="2">
        <f t="shared" si="1"/>
        <v>12</v>
      </c>
      <c r="O11">
        <v>10</v>
      </c>
      <c r="P11">
        <v>4</v>
      </c>
      <c r="Q11">
        <v>0</v>
      </c>
      <c r="R11">
        <f t="shared" si="4"/>
        <v>6</v>
      </c>
      <c r="S11">
        <v>15</v>
      </c>
      <c r="T11">
        <v>16</v>
      </c>
      <c r="U11">
        <f t="shared" si="5"/>
        <v>-1</v>
      </c>
      <c r="AH11" s="1" t="s">
        <v>11</v>
      </c>
      <c r="AI11" t="s">
        <v>670</v>
      </c>
      <c r="AJ11" s="2">
        <f>AL11*3+AM11</f>
        <v>10</v>
      </c>
      <c r="AK11">
        <v>6</v>
      </c>
      <c r="AL11">
        <v>3</v>
      </c>
      <c r="AM11">
        <v>1</v>
      </c>
      <c r="AN11">
        <f>AK11-AL11-AM11</f>
        <v>2</v>
      </c>
      <c r="AO11">
        <v>8</v>
      </c>
      <c r="AP11">
        <v>4</v>
      </c>
      <c r="AQ11">
        <f>AO11-AP11</f>
        <v>4</v>
      </c>
    </row>
    <row r="12" spans="1:46" x14ac:dyDescent="0.3">
      <c r="A12" s="3" t="s">
        <v>137</v>
      </c>
      <c r="B12" t="s">
        <v>675</v>
      </c>
      <c r="C12" s="2">
        <f t="shared" si="0"/>
        <v>6</v>
      </c>
      <c r="D12">
        <v>9</v>
      </c>
      <c r="E12">
        <v>1</v>
      </c>
      <c r="F12">
        <v>3</v>
      </c>
      <c r="G12">
        <f t="shared" si="2"/>
        <v>5</v>
      </c>
      <c r="H12">
        <v>6</v>
      </c>
      <c r="I12">
        <v>13</v>
      </c>
      <c r="J12">
        <f t="shared" si="3"/>
        <v>-7</v>
      </c>
      <c r="L12" s="3" t="s">
        <v>137</v>
      </c>
      <c r="M12" t="s">
        <v>679</v>
      </c>
      <c r="N12" s="2">
        <f t="shared" si="1"/>
        <v>12</v>
      </c>
      <c r="O12">
        <v>10</v>
      </c>
      <c r="P12">
        <v>4</v>
      </c>
      <c r="Q12">
        <v>0</v>
      </c>
      <c r="R12">
        <f t="shared" si="4"/>
        <v>6</v>
      </c>
      <c r="S12">
        <v>11</v>
      </c>
      <c r="T12">
        <v>15</v>
      </c>
      <c r="U12">
        <f t="shared" si="5"/>
        <v>-4</v>
      </c>
      <c r="AH12" s="1" t="s">
        <v>13</v>
      </c>
      <c r="AI12" t="s">
        <v>667</v>
      </c>
      <c r="AJ12" s="2">
        <f>AL12*3+AM12</f>
        <v>10</v>
      </c>
      <c r="AK12">
        <v>6</v>
      </c>
      <c r="AL12">
        <v>3</v>
      </c>
      <c r="AM12">
        <v>1</v>
      </c>
      <c r="AN12">
        <f t="shared" ref="AN12:AN14" si="10">AK12-AL12-AM12</f>
        <v>2</v>
      </c>
      <c r="AO12">
        <v>6</v>
      </c>
      <c r="AP12">
        <v>5</v>
      </c>
      <c r="AQ12">
        <f t="shared" ref="AQ12:AQ14" si="11">AO12-AP12</f>
        <v>1</v>
      </c>
    </row>
    <row r="13" spans="1:46" x14ac:dyDescent="0.3">
      <c r="L13" s="3" t="s">
        <v>149</v>
      </c>
      <c r="M13" t="s">
        <v>139</v>
      </c>
      <c r="N13" s="2">
        <f t="shared" si="1"/>
        <v>6</v>
      </c>
      <c r="O13">
        <v>10</v>
      </c>
      <c r="P13">
        <v>2</v>
      </c>
      <c r="Q13">
        <v>0</v>
      </c>
      <c r="R13">
        <f t="shared" si="4"/>
        <v>8</v>
      </c>
      <c r="S13">
        <v>13</v>
      </c>
      <c r="T13">
        <v>26</v>
      </c>
      <c r="U13">
        <f t="shared" si="5"/>
        <v>-13</v>
      </c>
      <c r="AH13" t="s">
        <v>15</v>
      </c>
      <c r="AI13" t="s">
        <v>668</v>
      </c>
      <c r="AJ13" s="2">
        <f>AL13*3+AM13</f>
        <v>10</v>
      </c>
      <c r="AK13">
        <v>6</v>
      </c>
      <c r="AL13">
        <v>3</v>
      </c>
      <c r="AM13">
        <v>1</v>
      </c>
      <c r="AN13">
        <f t="shared" si="10"/>
        <v>2</v>
      </c>
      <c r="AO13">
        <v>6</v>
      </c>
      <c r="AP13">
        <v>6</v>
      </c>
      <c r="AQ13">
        <f t="shared" si="11"/>
        <v>0</v>
      </c>
    </row>
    <row r="14" spans="1:46" x14ac:dyDescent="0.3">
      <c r="A14" t="s">
        <v>27</v>
      </c>
      <c r="AH14" t="s">
        <v>17</v>
      </c>
      <c r="AI14" t="s">
        <v>684</v>
      </c>
      <c r="AJ14" s="2">
        <f>AL14*3+AM14</f>
        <v>4</v>
      </c>
      <c r="AK14">
        <v>6</v>
      </c>
      <c r="AL14">
        <v>1</v>
      </c>
      <c r="AM14">
        <v>1</v>
      </c>
      <c r="AN14">
        <f t="shared" si="10"/>
        <v>4</v>
      </c>
      <c r="AO14">
        <v>6</v>
      </c>
      <c r="AP14">
        <v>11</v>
      </c>
      <c r="AQ14">
        <f t="shared" si="11"/>
        <v>-5</v>
      </c>
    </row>
    <row r="15" spans="1:46" x14ac:dyDescent="0.3">
      <c r="A15" t="str">
        <f>B3</f>
        <v>Blumenau</v>
      </c>
      <c r="B15" t="s">
        <v>303</v>
      </c>
      <c r="C15" t="str">
        <f>B6</f>
        <v>Carlos Renaux</v>
      </c>
      <c r="L15" t="s">
        <v>27</v>
      </c>
    </row>
    <row r="16" spans="1:46" x14ac:dyDescent="0.3">
      <c r="A16" t="str">
        <f>B4</f>
        <v>Barra</v>
      </c>
      <c r="B16" t="s">
        <v>36</v>
      </c>
      <c r="C16" t="str">
        <f>B5</f>
        <v>Figueirense</v>
      </c>
      <c r="L16" t="str">
        <f>M6</f>
        <v>Camboriú</v>
      </c>
      <c r="M16" t="s">
        <v>44</v>
      </c>
      <c r="N16" t="str">
        <f>M3</f>
        <v>Guarani</v>
      </c>
      <c r="P16" t="str">
        <f>M3</f>
        <v>Guarani</v>
      </c>
      <c r="Q16" t="s">
        <v>225</v>
      </c>
      <c r="R16" t="str">
        <f>M6</f>
        <v>Camboriú</v>
      </c>
      <c r="AH16" t="s">
        <v>254</v>
      </c>
    </row>
    <row r="17" spans="1:43" x14ac:dyDescent="0.3">
      <c r="L17" t="str">
        <f>M5</f>
        <v>Internacional</v>
      </c>
      <c r="M17" t="s">
        <v>386</v>
      </c>
      <c r="N17" t="str">
        <f>M4</f>
        <v>Metropolitano</v>
      </c>
      <c r="P17" t="str">
        <f>M4</f>
        <v>Metropolitano</v>
      </c>
      <c r="Q17" t="s">
        <v>28</v>
      </c>
      <c r="R17" t="str">
        <f>M5</f>
        <v>Internacional</v>
      </c>
      <c r="AH17" t="s">
        <v>1</v>
      </c>
      <c r="AI17" t="s">
        <v>2</v>
      </c>
      <c r="AJ17" t="s">
        <v>3</v>
      </c>
      <c r="AK17" t="s">
        <v>4</v>
      </c>
      <c r="AL17" t="s">
        <v>5</v>
      </c>
      <c r="AM17" t="s">
        <v>6</v>
      </c>
      <c r="AN17" t="s">
        <v>7</v>
      </c>
      <c r="AO17" t="s">
        <v>8</v>
      </c>
      <c r="AP17" t="s">
        <v>9</v>
      </c>
      <c r="AQ17" t="s">
        <v>10</v>
      </c>
    </row>
    <row r="18" spans="1:43" x14ac:dyDescent="0.3">
      <c r="A18" t="s">
        <v>33</v>
      </c>
      <c r="AH18" s="1" t="s">
        <v>11</v>
      </c>
      <c r="AI18" t="s">
        <v>683</v>
      </c>
      <c r="AJ18" s="2">
        <f>AL18*3+AM18</f>
        <v>10</v>
      </c>
      <c r="AK18">
        <v>6</v>
      </c>
      <c r="AL18">
        <v>3</v>
      </c>
      <c r="AM18">
        <v>1</v>
      </c>
      <c r="AN18">
        <f>AK18-AL18-AM18</f>
        <v>2</v>
      </c>
      <c r="AO18">
        <v>4</v>
      </c>
      <c r="AP18">
        <v>4</v>
      </c>
      <c r="AQ18">
        <f>AO18-AP18</f>
        <v>0</v>
      </c>
    </row>
    <row r="19" spans="1:43" x14ac:dyDescent="0.3">
      <c r="A19" t="s">
        <v>667</v>
      </c>
      <c r="B19" t="s">
        <v>31</v>
      </c>
      <c r="C19" t="s">
        <v>669</v>
      </c>
      <c r="L19" t="s">
        <v>33</v>
      </c>
      <c r="AH19" t="s">
        <v>13</v>
      </c>
      <c r="AI19" t="s">
        <v>673</v>
      </c>
      <c r="AJ19" s="2">
        <f>AL19*3+AM19</f>
        <v>9</v>
      </c>
      <c r="AK19">
        <v>6</v>
      </c>
      <c r="AL19">
        <v>2</v>
      </c>
      <c r="AM19">
        <v>3</v>
      </c>
      <c r="AN19">
        <f t="shared" ref="AN19:AN21" si="12">AK19-AL19-AM19</f>
        <v>1</v>
      </c>
      <c r="AO19">
        <v>6</v>
      </c>
      <c r="AP19">
        <v>5</v>
      </c>
      <c r="AQ19">
        <f t="shared" ref="AQ19:AQ21" si="13">AO19-AP19</f>
        <v>1</v>
      </c>
    </row>
    <row r="20" spans="1:43" x14ac:dyDescent="0.3">
      <c r="L20" t="s">
        <v>179</v>
      </c>
      <c r="M20" t="s">
        <v>44</v>
      </c>
      <c r="N20" t="s">
        <v>681</v>
      </c>
      <c r="P20" t="s">
        <v>681</v>
      </c>
      <c r="Q20" t="s">
        <v>379</v>
      </c>
      <c r="R20" t="s">
        <v>179</v>
      </c>
      <c r="AH20" t="s">
        <v>15</v>
      </c>
      <c r="AI20" t="s">
        <v>680</v>
      </c>
      <c r="AJ20" s="2">
        <f>AL20*3+AM20</f>
        <v>7</v>
      </c>
      <c r="AK20">
        <v>6</v>
      </c>
      <c r="AL20">
        <v>2</v>
      </c>
      <c r="AM20">
        <v>1</v>
      </c>
      <c r="AN20">
        <f t="shared" si="12"/>
        <v>3</v>
      </c>
      <c r="AO20">
        <v>7</v>
      </c>
      <c r="AP20">
        <v>6</v>
      </c>
      <c r="AQ20">
        <f t="shared" si="13"/>
        <v>1</v>
      </c>
    </row>
    <row r="21" spans="1:43" x14ac:dyDescent="0.3">
      <c r="A21" t="s">
        <v>38</v>
      </c>
      <c r="AH21" t="s">
        <v>17</v>
      </c>
      <c r="AI21" t="s">
        <v>685</v>
      </c>
      <c r="AJ21" s="2">
        <f>AL21*3+AM21</f>
        <v>7</v>
      </c>
      <c r="AK21">
        <v>6</v>
      </c>
      <c r="AL21">
        <v>2</v>
      </c>
      <c r="AM21">
        <v>1</v>
      </c>
      <c r="AN21">
        <f t="shared" si="12"/>
        <v>3</v>
      </c>
      <c r="AO21">
        <v>7</v>
      </c>
      <c r="AP21">
        <v>9</v>
      </c>
      <c r="AQ21">
        <f t="shared" si="13"/>
        <v>-2</v>
      </c>
    </row>
    <row r="22" spans="1:43" x14ac:dyDescent="0.3">
      <c r="A22" t="s">
        <v>669</v>
      </c>
    </row>
    <row r="23" spans="1:43" x14ac:dyDescent="0.3">
      <c r="A23" t="s">
        <v>666</v>
      </c>
      <c r="AH23" t="s">
        <v>27</v>
      </c>
    </row>
    <row r="24" spans="1:43" x14ac:dyDescent="0.3">
      <c r="A24" t="s">
        <v>670</v>
      </c>
      <c r="AH24" t="s">
        <v>667</v>
      </c>
      <c r="AI24" t="s">
        <v>28</v>
      </c>
      <c r="AJ24" t="s">
        <v>670</v>
      </c>
      <c r="AL24" t="s">
        <v>670</v>
      </c>
      <c r="AM24" t="s">
        <v>36</v>
      </c>
      <c r="AN24" t="s">
        <v>667</v>
      </c>
    </row>
    <row r="25" spans="1:43" x14ac:dyDescent="0.3">
      <c r="AH25" t="s">
        <v>179</v>
      </c>
      <c r="AI25" t="s">
        <v>36</v>
      </c>
      <c r="AJ25" t="s">
        <v>683</v>
      </c>
      <c r="AL25" t="s">
        <v>683</v>
      </c>
      <c r="AM25" t="s">
        <v>689</v>
      </c>
      <c r="AN25" t="s">
        <v>179</v>
      </c>
    </row>
    <row r="26" spans="1:43" x14ac:dyDescent="0.3">
      <c r="A26" t="s">
        <v>39</v>
      </c>
    </row>
    <row r="27" spans="1:43" x14ac:dyDescent="0.3">
      <c r="A27" t="s">
        <v>669</v>
      </c>
      <c r="AH27" t="s">
        <v>33</v>
      </c>
    </row>
    <row r="28" spans="1:43" x14ac:dyDescent="0.3">
      <c r="A28" t="s">
        <v>667</v>
      </c>
      <c r="AH28" t="s">
        <v>179</v>
      </c>
      <c r="AI28" t="s">
        <v>69</v>
      </c>
      <c r="AJ28" t="s">
        <v>670</v>
      </c>
      <c r="AL28" t="s">
        <v>670</v>
      </c>
      <c r="AM28" t="s">
        <v>44</v>
      </c>
      <c r="AN28" t="s">
        <v>179</v>
      </c>
    </row>
    <row r="29" spans="1:43" x14ac:dyDescent="0.3">
      <c r="A29" t="s">
        <v>666</v>
      </c>
    </row>
    <row r="30" spans="1:43" x14ac:dyDescent="0.3">
      <c r="A30" t="s">
        <v>179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CB43E-5769-4178-87DC-F0ED84E7F9FE}">
  <dimension ref="A1:AQ34"/>
  <sheetViews>
    <sheetView topLeftCell="A14" workbookViewId="0">
      <selection activeCell="A35" sqref="A35"/>
    </sheetView>
  </sheetViews>
  <sheetFormatPr defaultRowHeight="14.4" x14ac:dyDescent="0.3"/>
  <sheetData>
    <row r="1" spans="1:43" x14ac:dyDescent="0.3">
      <c r="A1" t="s">
        <v>690</v>
      </c>
      <c r="L1" t="s">
        <v>702</v>
      </c>
      <c r="W1" t="s">
        <v>712</v>
      </c>
      <c r="AH1" t="s">
        <v>721</v>
      </c>
    </row>
    <row r="2" spans="1:4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1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H2" t="s">
        <v>72</v>
      </c>
    </row>
    <row r="3" spans="1:43" x14ac:dyDescent="0.3">
      <c r="A3" s="1" t="s">
        <v>11</v>
      </c>
      <c r="B3" t="s">
        <v>699</v>
      </c>
      <c r="C3" s="2">
        <f t="shared" ref="C3:C12" si="0">E3*3+F3</f>
        <v>18</v>
      </c>
      <c r="D3">
        <v>9</v>
      </c>
      <c r="E3">
        <v>6</v>
      </c>
      <c r="F3">
        <v>0</v>
      </c>
      <c r="G3">
        <f t="shared" ref="G3:G12" si="1">D3-E3-F3</f>
        <v>3</v>
      </c>
      <c r="H3">
        <v>19</v>
      </c>
      <c r="I3">
        <v>10</v>
      </c>
      <c r="J3">
        <f t="shared" ref="J3:J12" si="2">H3-I3</f>
        <v>9</v>
      </c>
      <c r="L3" s="1" t="s">
        <v>11</v>
      </c>
      <c r="M3" t="s">
        <v>704</v>
      </c>
      <c r="N3" s="2">
        <f t="shared" ref="N3:N14" si="3">P3*3+Q3</f>
        <v>25</v>
      </c>
      <c r="O3">
        <v>11</v>
      </c>
      <c r="P3">
        <v>8</v>
      </c>
      <c r="Q3">
        <v>1</v>
      </c>
      <c r="R3">
        <f>O3-P3-Q3</f>
        <v>2</v>
      </c>
      <c r="S3">
        <v>21</v>
      </c>
      <c r="T3">
        <v>9</v>
      </c>
      <c r="U3">
        <f>S3-T3</f>
        <v>12</v>
      </c>
      <c r="W3" s="1" t="s">
        <v>11</v>
      </c>
      <c r="X3" t="s">
        <v>713</v>
      </c>
      <c r="Y3" s="2">
        <f t="shared" ref="Y3:Y14" si="4">AA3*3+AB3</f>
        <v>27</v>
      </c>
      <c r="Z3">
        <v>11</v>
      </c>
      <c r="AA3">
        <v>9</v>
      </c>
      <c r="AB3">
        <v>0</v>
      </c>
      <c r="AC3">
        <f>Z3-AA3-AB3</f>
        <v>2</v>
      </c>
      <c r="AD3">
        <v>24</v>
      </c>
      <c r="AE3">
        <v>11</v>
      </c>
      <c r="AF3">
        <f>AD3-AE3</f>
        <v>13</v>
      </c>
      <c r="AH3" t="s">
        <v>1</v>
      </c>
      <c r="AI3" t="s">
        <v>2</v>
      </c>
      <c r="AJ3" t="s">
        <v>3</v>
      </c>
      <c r="AK3" t="s">
        <v>4</v>
      </c>
      <c r="AL3" t="s">
        <v>5</v>
      </c>
      <c r="AM3" t="s">
        <v>6</v>
      </c>
      <c r="AN3" t="s">
        <v>7</v>
      </c>
      <c r="AO3" t="s">
        <v>8</v>
      </c>
      <c r="AP3" t="s">
        <v>9</v>
      </c>
      <c r="AQ3" t="s">
        <v>10</v>
      </c>
    </row>
    <row r="4" spans="1:43" x14ac:dyDescent="0.3">
      <c r="A4" s="4" t="s">
        <v>13</v>
      </c>
      <c r="B4" t="s">
        <v>693</v>
      </c>
      <c r="C4" s="2">
        <f t="shared" si="0"/>
        <v>17</v>
      </c>
      <c r="D4">
        <v>9</v>
      </c>
      <c r="E4">
        <v>5</v>
      </c>
      <c r="F4">
        <v>2</v>
      </c>
      <c r="G4">
        <f t="shared" si="1"/>
        <v>2</v>
      </c>
      <c r="H4">
        <v>18</v>
      </c>
      <c r="I4">
        <v>12</v>
      </c>
      <c r="J4">
        <f t="shared" si="2"/>
        <v>6</v>
      </c>
      <c r="L4" s="1" t="s">
        <v>13</v>
      </c>
      <c r="M4" t="s">
        <v>707</v>
      </c>
      <c r="N4" s="2">
        <f t="shared" si="3"/>
        <v>21</v>
      </c>
      <c r="O4">
        <v>11</v>
      </c>
      <c r="P4">
        <v>6</v>
      </c>
      <c r="Q4">
        <v>3</v>
      </c>
      <c r="R4">
        <f t="shared" ref="R4:R14" si="5">O4-P4-Q4</f>
        <v>2</v>
      </c>
      <c r="S4">
        <v>16</v>
      </c>
      <c r="T4">
        <v>10</v>
      </c>
      <c r="U4">
        <f t="shared" ref="U4:U14" si="6">S4-T4</f>
        <v>6</v>
      </c>
      <c r="W4" s="1" t="s">
        <v>13</v>
      </c>
      <c r="X4" t="s">
        <v>720</v>
      </c>
      <c r="Y4" s="2">
        <f t="shared" si="4"/>
        <v>27</v>
      </c>
      <c r="Z4">
        <v>11</v>
      </c>
      <c r="AA4">
        <v>9</v>
      </c>
      <c r="AB4">
        <v>0</v>
      </c>
      <c r="AC4">
        <f t="shared" ref="AC4:AC10" si="7">Z4-AA4-AB4</f>
        <v>2</v>
      </c>
      <c r="AD4">
        <v>24</v>
      </c>
      <c r="AE4">
        <v>12</v>
      </c>
      <c r="AF4">
        <f t="shared" ref="AF4:AF10" si="8">AD4-AE4</f>
        <v>12</v>
      </c>
      <c r="AH4" s="1" t="s">
        <v>11</v>
      </c>
      <c r="AI4" t="s">
        <v>692</v>
      </c>
      <c r="AJ4" s="2">
        <f>AL4*3+AM4</f>
        <v>15</v>
      </c>
      <c r="AK4">
        <v>6</v>
      </c>
      <c r="AL4">
        <v>5</v>
      </c>
      <c r="AM4">
        <v>0</v>
      </c>
      <c r="AN4">
        <f>AK4-AL4-AM4</f>
        <v>1</v>
      </c>
      <c r="AO4">
        <v>10</v>
      </c>
      <c r="AP4">
        <v>4</v>
      </c>
      <c r="AQ4">
        <f>AO4-AP4</f>
        <v>6</v>
      </c>
    </row>
    <row r="5" spans="1:43" x14ac:dyDescent="0.3">
      <c r="A5" s="4" t="s">
        <v>15</v>
      </c>
      <c r="B5" t="s">
        <v>173</v>
      </c>
      <c r="C5" s="2">
        <f t="shared" si="0"/>
        <v>15</v>
      </c>
      <c r="D5">
        <v>9</v>
      </c>
      <c r="E5">
        <v>5</v>
      </c>
      <c r="F5">
        <v>0</v>
      </c>
      <c r="G5">
        <f t="shared" si="1"/>
        <v>4</v>
      </c>
      <c r="H5">
        <v>8</v>
      </c>
      <c r="I5">
        <v>8</v>
      </c>
      <c r="J5">
        <f t="shared" si="2"/>
        <v>0</v>
      </c>
      <c r="L5" t="s">
        <v>15</v>
      </c>
      <c r="M5" t="s">
        <v>513</v>
      </c>
      <c r="N5" s="2">
        <f t="shared" si="3"/>
        <v>20</v>
      </c>
      <c r="O5">
        <v>11</v>
      </c>
      <c r="P5">
        <v>6</v>
      </c>
      <c r="Q5">
        <v>2</v>
      </c>
      <c r="R5">
        <f t="shared" si="5"/>
        <v>3</v>
      </c>
      <c r="S5">
        <v>15</v>
      </c>
      <c r="T5">
        <v>8</v>
      </c>
      <c r="U5">
        <f t="shared" si="6"/>
        <v>7</v>
      </c>
      <c r="W5" t="s">
        <v>15</v>
      </c>
      <c r="X5" t="s">
        <v>718</v>
      </c>
      <c r="Y5" s="2">
        <f t="shared" si="4"/>
        <v>21</v>
      </c>
      <c r="Z5">
        <v>11</v>
      </c>
      <c r="AA5">
        <v>7</v>
      </c>
      <c r="AB5">
        <v>0</v>
      </c>
      <c r="AC5">
        <f t="shared" si="7"/>
        <v>4</v>
      </c>
      <c r="AD5">
        <v>23</v>
      </c>
      <c r="AE5">
        <v>13</v>
      </c>
      <c r="AF5">
        <f t="shared" si="8"/>
        <v>10</v>
      </c>
      <c r="AH5" s="1" t="s">
        <v>13</v>
      </c>
      <c r="AI5" t="s">
        <v>695</v>
      </c>
      <c r="AJ5" s="2">
        <f>AL5*3+AM5</f>
        <v>7</v>
      </c>
      <c r="AK5">
        <v>6</v>
      </c>
      <c r="AL5">
        <v>2</v>
      </c>
      <c r="AM5">
        <v>1</v>
      </c>
      <c r="AN5">
        <f t="shared" ref="AN5:AN7" si="9">AK5-AL5-AM5</f>
        <v>3</v>
      </c>
      <c r="AO5">
        <v>5</v>
      </c>
      <c r="AP5">
        <v>6</v>
      </c>
      <c r="AQ5">
        <f t="shared" ref="AQ5:AQ7" si="10">AO5-AP5</f>
        <v>-1</v>
      </c>
    </row>
    <row r="6" spans="1:43" x14ac:dyDescent="0.3">
      <c r="A6" s="4" t="s">
        <v>17</v>
      </c>
      <c r="B6" t="s">
        <v>692</v>
      </c>
      <c r="C6" s="2">
        <f t="shared" si="0"/>
        <v>13</v>
      </c>
      <c r="D6">
        <v>9</v>
      </c>
      <c r="E6">
        <v>4</v>
      </c>
      <c r="F6">
        <v>1</v>
      </c>
      <c r="G6">
        <f t="shared" si="1"/>
        <v>4</v>
      </c>
      <c r="H6">
        <v>15</v>
      </c>
      <c r="I6">
        <v>16</v>
      </c>
      <c r="J6">
        <f t="shared" si="2"/>
        <v>-1</v>
      </c>
      <c r="L6" t="s">
        <v>17</v>
      </c>
      <c r="M6" t="s">
        <v>703</v>
      </c>
      <c r="N6" s="2">
        <f t="shared" si="3"/>
        <v>19</v>
      </c>
      <c r="O6">
        <v>11</v>
      </c>
      <c r="P6">
        <v>5</v>
      </c>
      <c r="Q6">
        <v>4</v>
      </c>
      <c r="R6">
        <f t="shared" si="5"/>
        <v>2</v>
      </c>
      <c r="S6">
        <v>14</v>
      </c>
      <c r="T6">
        <v>8</v>
      </c>
      <c r="U6">
        <f t="shared" si="6"/>
        <v>6</v>
      </c>
      <c r="W6" t="s">
        <v>17</v>
      </c>
      <c r="X6" t="s">
        <v>716</v>
      </c>
      <c r="Y6" s="2">
        <f t="shared" si="4"/>
        <v>21</v>
      </c>
      <c r="Z6">
        <v>11</v>
      </c>
      <c r="AA6">
        <v>7</v>
      </c>
      <c r="AB6">
        <v>0</v>
      </c>
      <c r="AC6">
        <f t="shared" si="7"/>
        <v>4</v>
      </c>
      <c r="AD6">
        <v>18</v>
      </c>
      <c r="AE6">
        <v>13</v>
      </c>
      <c r="AF6">
        <f t="shared" si="8"/>
        <v>5</v>
      </c>
      <c r="AH6" t="s">
        <v>15</v>
      </c>
      <c r="AI6" t="s">
        <v>696</v>
      </c>
      <c r="AJ6" s="2">
        <f>AL6*3+AM6</f>
        <v>7</v>
      </c>
      <c r="AK6">
        <v>6</v>
      </c>
      <c r="AL6">
        <v>2</v>
      </c>
      <c r="AM6">
        <v>1</v>
      </c>
      <c r="AN6">
        <f t="shared" si="9"/>
        <v>3</v>
      </c>
      <c r="AO6">
        <v>6</v>
      </c>
      <c r="AP6">
        <v>9</v>
      </c>
      <c r="AQ6">
        <f t="shared" si="10"/>
        <v>-3</v>
      </c>
    </row>
    <row r="7" spans="1:43" x14ac:dyDescent="0.3">
      <c r="A7" s="4" t="s">
        <v>19</v>
      </c>
      <c r="B7" t="s">
        <v>667</v>
      </c>
      <c r="C7" s="2">
        <f t="shared" si="0"/>
        <v>12</v>
      </c>
      <c r="D7">
        <v>9</v>
      </c>
      <c r="E7">
        <v>3</v>
      </c>
      <c r="F7">
        <v>3</v>
      </c>
      <c r="G7">
        <f t="shared" si="1"/>
        <v>3</v>
      </c>
      <c r="H7">
        <v>14</v>
      </c>
      <c r="I7">
        <v>13</v>
      </c>
      <c r="J7">
        <f t="shared" si="2"/>
        <v>1</v>
      </c>
      <c r="L7" t="s">
        <v>19</v>
      </c>
      <c r="M7" t="s">
        <v>711</v>
      </c>
      <c r="N7" s="2">
        <f t="shared" si="3"/>
        <v>17</v>
      </c>
      <c r="O7">
        <v>11</v>
      </c>
      <c r="P7">
        <v>5</v>
      </c>
      <c r="Q7">
        <v>2</v>
      </c>
      <c r="R7">
        <f t="shared" si="5"/>
        <v>4</v>
      </c>
      <c r="S7">
        <v>15</v>
      </c>
      <c r="T7">
        <v>14</v>
      </c>
      <c r="U7">
        <f t="shared" si="6"/>
        <v>1</v>
      </c>
      <c r="W7" t="s">
        <v>19</v>
      </c>
      <c r="X7" t="s">
        <v>12</v>
      </c>
      <c r="Y7" s="2">
        <f t="shared" si="4"/>
        <v>21</v>
      </c>
      <c r="Z7">
        <v>11</v>
      </c>
      <c r="AA7">
        <v>7</v>
      </c>
      <c r="AB7">
        <v>0</v>
      </c>
      <c r="AC7">
        <f t="shared" si="7"/>
        <v>4</v>
      </c>
      <c r="AD7">
        <v>17</v>
      </c>
      <c r="AE7">
        <v>14</v>
      </c>
      <c r="AF7">
        <f t="shared" si="8"/>
        <v>3</v>
      </c>
      <c r="AH7" t="s">
        <v>17</v>
      </c>
      <c r="AI7" t="s">
        <v>693</v>
      </c>
      <c r="AJ7" s="2">
        <f>AL7*3+AM7</f>
        <v>6</v>
      </c>
      <c r="AK7">
        <v>6</v>
      </c>
      <c r="AL7">
        <v>2</v>
      </c>
      <c r="AM7">
        <v>0</v>
      </c>
      <c r="AN7">
        <f t="shared" si="9"/>
        <v>4</v>
      </c>
      <c r="AO7">
        <v>6</v>
      </c>
      <c r="AP7">
        <v>8</v>
      </c>
      <c r="AQ7">
        <f t="shared" si="10"/>
        <v>-2</v>
      </c>
    </row>
    <row r="8" spans="1:43" x14ac:dyDescent="0.3">
      <c r="A8" s="4" t="s">
        <v>21</v>
      </c>
      <c r="B8" t="s">
        <v>441</v>
      </c>
      <c r="C8" s="2">
        <f t="shared" si="0"/>
        <v>12</v>
      </c>
      <c r="D8">
        <v>9</v>
      </c>
      <c r="E8">
        <v>3</v>
      </c>
      <c r="F8">
        <v>3</v>
      </c>
      <c r="G8">
        <f t="shared" si="1"/>
        <v>3</v>
      </c>
      <c r="H8">
        <v>10</v>
      </c>
      <c r="I8">
        <v>9</v>
      </c>
      <c r="J8">
        <f t="shared" si="2"/>
        <v>1</v>
      </c>
      <c r="L8" t="s">
        <v>21</v>
      </c>
      <c r="M8" t="s">
        <v>111</v>
      </c>
      <c r="N8" s="2">
        <f t="shared" si="3"/>
        <v>16</v>
      </c>
      <c r="O8">
        <v>11</v>
      </c>
      <c r="P8">
        <v>5</v>
      </c>
      <c r="Q8">
        <v>1</v>
      </c>
      <c r="R8">
        <f t="shared" si="5"/>
        <v>5</v>
      </c>
      <c r="S8">
        <v>19</v>
      </c>
      <c r="T8">
        <v>18</v>
      </c>
      <c r="U8">
        <f t="shared" si="6"/>
        <v>1</v>
      </c>
      <c r="W8" t="s">
        <v>21</v>
      </c>
      <c r="X8" t="s">
        <v>715</v>
      </c>
      <c r="Y8" s="2">
        <f t="shared" si="4"/>
        <v>16</v>
      </c>
      <c r="Z8">
        <v>11</v>
      </c>
      <c r="AA8">
        <v>5</v>
      </c>
      <c r="AB8">
        <v>1</v>
      </c>
      <c r="AC8">
        <f t="shared" si="7"/>
        <v>5</v>
      </c>
      <c r="AD8">
        <v>15</v>
      </c>
      <c r="AE8">
        <v>22</v>
      </c>
      <c r="AF8">
        <f t="shared" si="8"/>
        <v>-7</v>
      </c>
    </row>
    <row r="9" spans="1:43" x14ac:dyDescent="0.3">
      <c r="A9" s="4" t="s">
        <v>23</v>
      </c>
      <c r="B9" t="s">
        <v>695</v>
      </c>
      <c r="C9" s="2">
        <f t="shared" si="0"/>
        <v>11</v>
      </c>
      <c r="D9">
        <v>9</v>
      </c>
      <c r="E9">
        <v>3</v>
      </c>
      <c r="F9">
        <v>2</v>
      </c>
      <c r="G9">
        <f t="shared" si="1"/>
        <v>4</v>
      </c>
      <c r="H9">
        <v>12</v>
      </c>
      <c r="I9">
        <v>16</v>
      </c>
      <c r="J9">
        <f t="shared" si="2"/>
        <v>-4</v>
      </c>
      <c r="L9" t="s">
        <v>23</v>
      </c>
      <c r="M9" t="s">
        <v>706</v>
      </c>
      <c r="N9" s="2">
        <f t="shared" si="3"/>
        <v>15</v>
      </c>
      <c r="O9">
        <v>11</v>
      </c>
      <c r="P9">
        <v>4</v>
      </c>
      <c r="Q9">
        <v>3</v>
      </c>
      <c r="R9">
        <f t="shared" si="5"/>
        <v>4</v>
      </c>
      <c r="S9">
        <v>13</v>
      </c>
      <c r="T9">
        <v>15</v>
      </c>
      <c r="U9">
        <f t="shared" si="6"/>
        <v>-2</v>
      </c>
      <c r="W9" t="s">
        <v>23</v>
      </c>
      <c r="X9" t="s">
        <v>717</v>
      </c>
      <c r="Y9" s="2">
        <f t="shared" si="4"/>
        <v>15</v>
      </c>
      <c r="Z9">
        <v>11</v>
      </c>
      <c r="AA9">
        <v>4</v>
      </c>
      <c r="AB9">
        <v>3</v>
      </c>
      <c r="AC9">
        <f t="shared" si="7"/>
        <v>4</v>
      </c>
      <c r="AD9">
        <v>16</v>
      </c>
      <c r="AE9">
        <v>18</v>
      </c>
      <c r="AF9">
        <f t="shared" si="8"/>
        <v>-2</v>
      </c>
      <c r="AH9" t="s">
        <v>73</v>
      </c>
    </row>
    <row r="10" spans="1:43" x14ac:dyDescent="0.3">
      <c r="A10" t="s">
        <v>25</v>
      </c>
      <c r="B10" t="s">
        <v>696</v>
      </c>
      <c r="C10" s="2">
        <f t="shared" si="0"/>
        <v>11</v>
      </c>
      <c r="D10">
        <v>9</v>
      </c>
      <c r="E10">
        <v>3</v>
      </c>
      <c r="F10">
        <v>2</v>
      </c>
      <c r="G10">
        <f t="shared" si="1"/>
        <v>4</v>
      </c>
      <c r="H10">
        <v>9</v>
      </c>
      <c r="I10">
        <v>13</v>
      </c>
      <c r="J10">
        <f t="shared" si="2"/>
        <v>-4</v>
      </c>
      <c r="L10" t="s">
        <v>25</v>
      </c>
      <c r="M10" t="s">
        <v>709</v>
      </c>
      <c r="N10" s="2">
        <f t="shared" si="3"/>
        <v>13</v>
      </c>
      <c r="O10">
        <v>11</v>
      </c>
      <c r="P10">
        <v>4</v>
      </c>
      <c r="Q10">
        <v>1</v>
      </c>
      <c r="R10">
        <f t="shared" si="5"/>
        <v>6</v>
      </c>
      <c r="S10">
        <v>13</v>
      </c>
      <c r="T10">
        <v>20</v>
      </c>
      <c r="U10">
        <f t="shared" si="6"/>
        <v>-7</v>
      </c>
      <c r="W10" t="s">
        <v>25</v>
      </c>
      <c r="X10" t="s">
        <v>714</v>
      </c>
      <c r="Y10" s="2">
        <f t="shared" si="4"/>
        <v>15</v>
      </c>
      <c r="Z10">
        <v>11</v>
      </c>
      <c r="AA10">
        <v>4</v>
      </c>
      <c r="AB10">
        <v>3</v>
      </c>
      <c r="AC10">
        <f t="shared" si="7"/>
        <v>4</v>
      </c>
      <c r="AD10">
        <v>15</v>
      </c>
      <c r="AE10">
        <v>18</v>
      </c>
      <c r="AF10">
        <f t="shared" si="8"/>
        <v>-3</v>
      </c>
      <c r="AH10" t="s">
        <v>1</v>
      </c>
      <c r="AI10" t="s">
        <v>2</v>
      </c>
      <c r="AJ10" t="s">
        <v>3</v>
      </c>
      <c r="AK10" t="s">
        <v>4</v>
      </c>
      <c r="AL10" t="s">
        <v>5</v>
      </c>
      <c r="AM10" t="s">
        <v>6</v>
      </c>
      <c r="AN10" t="s">
        <v>7</v>
      </c>
      <c r="AO10" t="s">
        <v>8</v>
      </c>
      <c r="AP10" t="s">
        <v>9</v>
      </c>
      <c r="AQ10" t="s">
        <v>10</v>
      </c>
    </row>
    <row r="11" spans="1:43" x14ac:dyDescent="0.3">
      <c r="A11" s="3" t="s">
        <v>66</v>
      </c>
      <c r="B11" t="s">
        <v>694</v>
      </c>
      <c r="C11" s="2">
        <f t="shared" si="0"/>
        <v>10</v>
      </c>
      <c r="D11">
        <v>9</v>
      </c>
      <c r="E11">
        <v>3</v>
      </c>
      <c r="F11">
        <v>1</v>
      </c>
      <c r="G11">
        <f t="shared" si="1"/>
        <v>5</v>
      </c>
      <c r="H11">
        <v>11</v>
      </c>
      <c r="I11">
        <v>13</v>
      </c>
      <c r="J11">
        <f t="shared" si="2"/>
        <v>-2</v>
      </c>
      <c r="L11" t="s">
        <v>66</v>
      </c>
      <c r="M11" t="s">
        <v>705</v>
      </c>
      <c r="N11" s="2">
        <f t="shared" si="3"/>
        <v>13</v>
      </c>
      <c r="O11">
        <v>11</v>
      </c>
      <c r="P11">
        <v>3</v>
      </c>
      <c r="Q11">
        <v>4</v>
      </c>
      <c r="R11">
        <f>O11-P11-Q11</f>
        <v>4</v>
      </c>
      <c r="S11">
        <v>18</v>
      </c>
      <c r="T11">
        <v>19</v>
      </c>
      <c r="U11">
        <f>S11-T11</f>
        <v>-1</v>
      </c>
      <c r="W11" t="s">
        <v>66</v>
      </c>
      <c r="X11" t="s">
        <v>710</v>
      </c>
      <c r="Y11" s="2">
        <f t="shared" si="4"/>
        <v>12</v>
      </c>
      <c r="Z11">
        <v>11</v>
      </c>
      <c r="AA11">
        <v>4</v>
      </c>
      <c r="AB11">
        <v>0</v>
      </c>
      <c r="AC11">
        <f>Z11-AA11-AB11</f>
        <v>7</v>
      </c>
      <c r="AD11">
        <v>15</v>
      </c>
      <c r="AE11">
        <v>19</v>
      </c>
      <c r="AF11">
        <f>AD11-AE11</f>
        <v>-4</v>
      </c>
      <c r="AH11" s="1" t="s">
        <v>11</v>
      </c>
      <c r="AI11" t="s">
        <v>441</v>
      </c>
      <c r="AJ11" s="2">
        <f>AL11*3+AM11</f>
        <v>14</v>
      </c>
      <c r="AK11">
        <v>6</v>
      </c>
      <c r="AL11">
        <v>4</v>
      </c>
      <c r="AM11">
        <v>2</v>
      </c>
      <c r="AN11">
        <f>AK11-AL11-AM11</f>
        <v>0</v>
      </c>
      <c r="AO11">
        <v>10</v>
      </c>
      <c r="AP11">
        <v>4</v>
      </c>
      <c r="AQ11">
        <f>AO11-AP11</f>
        <v>6</v>
      </c>
    </row>
    <row r="12" spans="1:43" x14ac:dyDescent="0.3">
      <c r="A12" s="3" t="s">
        <v>137</v>
      </c>
      <c r="B12" t="s">
        <v>691</v>
      </c>
      <c r="C12" s="2">
        <f t="shared" si="0"/>
        <v>8</v>
      </c>
      <c r="D12">
        <v>9</v>
      </c>
      <c r="E12">
        <v>2</v>
      </c>
      <c r="F12">
        <v>2</v>
      </c>
      <c r="G12">
        <f t="shared" si="1"/>
        <v>5</v>
      </c>
      <c r="H12">
        <v>7</v>
      </c>
      <c r="I12">
        <v>13</v>
      </c>
      <c r="J12">
        <f t="shared" si="2"/>
        <v>-6</v>
      </c>
      <c r="L12" t="s">
        <v>137</v>
      </c>
      <c r="M12" t="s">
        <v>697</v>
      </c>
      <c r="N12" s="2">
        <f t="shared" si="3"/>
        <v>10</v>
      </c>
      <c r="O12">
        <v>11</v>
      </c>
      <c r="P12">
        <v>3</v>
      </c>
      <c r="Q12">
        <v>1</v>
      </c>
      <c r="R12">
        <f t="shared" si="5"/>
        <v>7</v>
      </c>
      <c r="S12">
        <v>10</v>
      </c>
      <c r="T12">
        <v>13</v>
      </c>
      <c r="U12">
        <f t="shared" si="6"/>
        <v>-3</v>
      </c>
      <c r="W12" t="s">
        <v>137</v>
      </c>
      <c r="X12" t="s">
        <v>497</v>
      </c>
      <c r="Y12" s="2">
        <f t="shared" si="4"/>
        <v>10</v>
      </c>
      <c r="Z12">
        <v>11</v>
      </c>
      <c r="AA12">
        <v>3</v>
      </c>
      <c r="AB12">
        <v>1</v>
      </c>
      <c r="AC12">
        <f t="shared" ref="AC12" si="11">Z12-AA12-AB12</f>
        <v>7</v>
      </c>
      <c r="AD12">
        <v>11</v>
      </c>
      <c r="AE12">
        <v>19</v>
      </c>
      <c r="AF12">
        <f t="shared" ref="AF12" si="12">AD12-AE12</f>
        <v>-8</v>
      </c>
      <c r="AH12" s="1" t="s">
        <v>13</v>
      </c>
      <c r="AI12" t="s">
        <v>667</v>
      </c>
      <c r="AJ12" s="2">
        <f>AL12*3+AM12</f>
        <v>11</v>
      </c>
      <c r="AK12">
        <v>6</v>
      </c>
      <c r="AL12">
        <v>3</v>
      </c>
      <c r="AM12">
        <v>2</v>
      </c>
      <c r="AN12">
        <f t="shared" ref="AN12:AN14" si="13">AK12-AL12-AM12</f>
        <v>1</v>
      </c>
      <c r="AO12">
        <v>8</v>
      </c>
      <c r="AP12">
        <v>7</v>
      </c>
      <c r="AQ12">
        <f t="shared" ref="AQ12:AQ14" si="14">AO12-AP12</f>
        <v>1</v>
      </c>
    </row>
    <row r="13" spans="1:43" x14ac:dyDescent="0.3">
      <c r="L13" s="3" t="s">
        <v>149</v>
      </c>
      <c r="M13" t="s">
        <v>698</v>
      </c>
      <c r="N13" s="2">
        <f t="shared" si="3"/>
        <v>10</v>
      </c>
      <c r="O13">
        <v>11</v>
      </c>
      <c r="P13">
        <v>3</v>
      </c>
      <c r="Q13">
        <v>1</v>
      </c>
      <c r="R13">
        <f>O13-P13-Q13</f>
        <v>7</v>
      </c>
      <c r="S13">
        <v>12</v>
      </c>
      <c r="T13">
        <v>20</v>
      </c>
      <c r="U13">
        <f>S13-T13</f>
        <v>-8</v>
      </c>
      <c r="W13" t="s">
        <v>149</v>
      </c>
      <c r="X13" t="s">
        <v>719</v>
      </c>
      <c r="Y13" s="2">
        <f t="shared" si="4"/>
        <v>5</v>
      </c>
      <c r="Z13">
        <v>11</v>
      </c>
      <c r="AA13">
        <v>1</v>
      </c>
      <c r="AB13">
        <v>2</v>
      </c>
      <c r="AC13">
        <f>Z13-AA13-AB13</f>
        <v>8</v>
      </c>
      <c r="AD13">
        <v>9</v>
      </c>
      <c r="AE13">
        <v>18</v>
      </c>
      <c r="AF13">
        <f>AD13-AE13</f>
        <v>-9</v>
      </c>
      <c r="AH13" t="s">
        <v>15</v>
      </c>
      <c r="AI13" t="s">
        <v>699</v>
      </c>
      <c r="AJ13" s="2">
        <f>AL13*3+AM13</f>
        <v>4</v>
      </c>
      <c r="AK13">
        <v>6</v>
      </c>
      <c r="AL13">
        <v>1</v>
      </c>
      <c r="AM13">
        <v>1</v>
      </c>
      <c r="AN13">
        <f t="shared" si="13"/>
        <v>4</v>
      </c>
      <c r="AO13">
        <v>8</v>
      </c>
      <c r="AP13">
        <v>11</v>
      </c>
      <c r="AQ13">
        <f t="shared" si="14"/>
        <v>-3</v>
      </c>
    </row>
    <row r="14" spans="1:43" x14ac:dyDescent="0.3">
      <c r="A14" t="s">
        <v>86</v>
      </c>
      <c r="L14" s="3" t="s">
        <v>150</v>
      </c>
      <c r="M14" t="s">
        <v>708</v>
      </c>
      <c r="N14" s="2">
        <f t="shared" si="3"/>
        <v>7</v>
      </c>
      <c r="O14">
        <v>11</v>
      </c>
      <c r="P14">
        <v>2</v>
      </c>
      <c r="Q14">
        <v>1</v>
      </c>
      <c r="R14">
        <f t="shared" si="5"/>
        <v>8</v>
      </c>
      <c r="S14">
        <v>12</v>
      </c>
      <c r="T14">
        <v>24</v>
      </c>
      <c r="U14">
        <f t="shared" si="6"/>
        <v>-12</v>
      </c>
      <c r="W14" t="s">
        <v>150</v>
      </c>
      <c r="X14" t="s">
        <v>440</v>
      </c>
      <c r="Y14" s="2">
        <f t="shared" si="4"/>
        <v>2</v>
      </c>
      <c r="Z14">
        <v>11</v>
      </c>
      <c r="AA14">
        <v>0</v>
      </c>
      <c r="AB14">
        <v>2</v>
      </c>
      <c r="AC14">
        <f t="shared" ref="AC14" si="15">Z14-AA14-AB14</f>
        <v>9</v>
      </c>
      <c r="AD14">
        <v>6</v>
      </c>
      <c r="AE14">
        <v>16</v>
      </c>
      <c r="AF14">
        <f t="shared" ref="AF14" si="16">AD14-AE14</f>
        <v>-10</v>
      </c>
      <c r="AH14" t="s">
        <v>17</v>
      </c>
      <c r="AI14" t="s">
        <v>173</v>
      </c>
      <c r="AJ14" s="2">
        <f>AL14*3+AM14</f>
        <v>4</v>
      </c>
      <c r="AK14">
        <v>6</v>
      </c>
      <c r="AL14">
        <v>1</v>
      </c>
      <c r="AM14">
        <v>1</v>
      </c>
      <c r="AN14">
        <f t="shared" si="13"/>
        <v>4</v>
      </c>
      <c r="AO14">
        <v>4</v>
      </c>
      <c r="AP14">
        <v>8</v>
      </c>
      <c r="AQ14">
        <f t="shared" si="14"/>
        <v>-4</v>
      </c>
    </row>
    <row r="15" spans="1:43" x14ac:dyDescent="0.3">
      <c r="A15" t="str">
        <f>B4</f>
        <v>América de Propriá</v>
      </c>
      <c r="B15" t="s">
        <v>69</v>
      </c>
      <c r="C15" t="str">
        <f>B9</f>
        <v>Sergipe</v>
      </c>
    </row>
    <row r="16" spans="1:43" x14ac:dyDescent="0.3">
      <c r="A16" t="str">
        <f>B5</f>
        <v>Guarany</v>
      </c>
      <c r="B16" t="s">
        <v>43</v>
      </c>
      <c r="C16" t="str">
        <f>B8</f>
        <v>Confiança</v>
      </c>
      <c r="AH16" t="s">
        <v>27</v>
      </c>
    </row>
    <row r="17" spans="1:36" x14ac:dyDescent="0.3">
      <c r="A17" t="str">
        <f>B6</f>
        <v>Dorense</v>
      </c>
      <c r="B17" t="s">
        <v>700</v>
      </c>
      <c r="C17" t="str">
        <f>B7</f>
        <v>Barra</v>
      </c>
      <c r="AH17" t="str">
        <f>AI4</f>
        <v>Dorense</v>
      </c>
      <c r="AI17" t="s">
        <v>28</v>
      </c>
      <c r="AJ17" t="str">
        <f>AI12</f>
        <v>Barra</v>
      </c>
    </row>
    <row r="18" spans="1:36" x14ac:dyDescent="0.3">
      <c r="AH18" t="str">
        <f>AI11</f>
        <v>Confiança</v>
      </c>
      <c r="AI18" t="s">
        <v>69</v>
      </c>
      <c r="AJ18" t="str">
        <f>AI5</f>
        <v>Sergipe</v>
      </c>
    </row>
    <row r="19" spans="1:36" x14ac:dyDescent="0.3">
      <c r="A19" t="s">
        <v>27</v>
      </c>
    </row>
    <row r="20" spans="1:36" x14ac:dyDescent="0.3">
      <c r="A20" t="s">
        <v>695</v>
      </c>
      <c r="B20" t="s">
        <v>43</v>
      </c>
      <c r="C20" t="str">
        <f>B3</f>
        <v>Olímpico</v>
      </c>
      <c r="E20" t="str">
        <f>B3</f>
        <v>Olímpico</v>
      </c>
      <c r="F20" t="s">
        <v>701</v>
      </c>
      <c r="G20" t="s">
        <v>695</v>
      </c>
      <c r="AH20" t="s">
        <v>33</v>
      </c>
    </row>
    <row r="21" spans="1:36" x14ac:dyDescent="0.3">
      <c r="A21" t="s">
        <v>692</v>
      </c>
      <c r="B21" t="s">
        <v>28</v>
      </c>
      <c r="C21" t="s">
        <v>173</v>
      </c>
      <c r="E21" t="s">
        <v>173</v>
      </c>
      <c r="F21" t="s">
        <v>57</v>
      </c>
      <c r="G21" t="s">
        <v>692</v>
      </c>
      <c r="AH21" t="s">
        <v>667</v>
      </c>
      <c r="AI21" t="s">
        <v>30</v>
      </c>
      <c r="AJ21" t="s">
        <v>695</v>
      </c>
    </row>
    <row r="23" spans="1:36" x14ac:dyDescent="0.3">
      <c r="A23" t="s">
        <v>33</v>
      </c>
    </row>
    <row r="24" spans="1:36" x14ac:dyDescent="0.3">
      <c r="A24" t="s">
        <v>695</v>
      </c>
      <c r="B24" t="s">
        <v>43</v>
      </c>
      <c r="C24" t="s">
        <v>173</v>
      </c>
      <c r="E24" t="s">
        <v>173</v>
      </c>
      <c r="F24" t="s">
        <v>31</v>
      </c>
      <c r="G24" t="s">
        <v>695</v>
      </c>
    </row>
    <row r="26" spans="1:36" x14ac:dyDescent="0.3">
      <c r="A26" t="s">
        <v>38</v>
      </c>
    </row>
    <row r="27" spans="1:36" x14ac:dyDescent="0.3">
      <c r="A27" t="s">
        <v>695</v>
      </c>
    </row>
    <row r="28" spans="1:36" x14ac:dyDescent="0.3">
      <c r="A28" t="s">
        <v>667</v>
      </c>
    </row>
    <row r="30" spans="1:36" x14ac:dyDescent="0.3">
      <c r="A30" t="s">
        <v>39</v>
      </c>
    </row>
    <row r="31" spans="1:36" x14ac:dyDescent="0.3">
      <c r="A31" t="s">
        <v>695</v>
      </c>
    </row>
    <row r="32" spans="1:36" x14ac:dyDescent="0.3">
      <c r="A32" t="s">
        <v>173</v>
      </c>
    </row>
    <row r="33" spans="1:1" x14ac:dyDescent="0.3">
      <c r="A33" t="s">
        <v>699</v>
      </c>
    </row>
    <row r="34" spans="1:1" x14ac:dyDescent="0.3">
      <c r="A34" t="s">
        <v>692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D0FC-262B-4A59-BDAC-C48C9D5180DA}">
  <dimension ref="A1:BP80"/>
  <sheetViews>
    <sheetView topLeftCell="AC1" workbookViewId="0">
      <selection activeCell="AJ3" sqref="AJ3:AJ10"/>
    </sheetView>
  </sheetViews>
  <sheetFormatPr defaultRowHeight="14.4" x14ac:dyDescent="0.3"/>
  <sheetData>
    <row r="1" spans="1:68" x14ac:dyDescent="0.3">
      <c r="A1" t="s">
        <v>722</v>
      </c>
      <c r="L1" t="s">
        <v>736</v>
      </c>
      <c r="W1" t="s">
        <v>749</v>
      </c>
      <c r="AH1" t="s">
        <v>766</v>
      </c>
      <c r="AS1" t="s">
        <v>778</v>
      </c>
      <c r="BD1" t="s">
        <v>805</v>
      </c>
      <c r="BO1" t="s">
        <v>70</v>
      </c>
    </row>
    <row r="2" spans="1:6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1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H2" t="s">
        <v>1</v>
      </c>
      <c r="AI2" t="s">
        <v>2</v>
      </c>
      <c r="AJ2" t="s">
        <v>3</v>
      </c>
      <c r="AK2" t="s">
        <v>4</v>
      </c>
      <c r="AL2" t="s">
        <v>5</v>
      </c>
      <c r="AM2" t="s">
        <v>6</v>
      </c>
      <c r="AN2" t="s">
        <v>7</v>
      </c>
      <c r="AO2" t="s">
        <v>8</v>
      </c>
      <c r="AP2" t="s">
        <v>9</v>
      </c>
      <c r="AQ2" t="s">
        <v>10</v>
      </c>
      <c r="AS2" t="s">
        <v>72</v>
      </c>
      <c r="BD2" t="s">
        <v>72</v>
      </c>
      <c r="BO2" t="s">
        <v>729</v>
      </c>
      <c r="BP2">
        <v>1</v>
      </c>
    </row>
    <row r="3" spans="1:68" x14ac:dyDescent="0.3">
      <c r="A3" s="1" t="s">
        <v>11</v>
      </c>
      <c r="B3" t="s">
        <v>118</v>
      </c>
      <c r="C3" s="2">
        <f t="shared" ref="C3:C18" si="0">E3*3+F3</f>
        <v>14</v>
      </c>
      <c r="D3">
        <v>8</v>
      </c>
      <c r="E3">
        <v>3</v>
      </c>
      <c r="F3">
        <v>5</v>
      </c>
      <c r="G3">
        <f t="shared" ref="G3:G18" si="1">D3-E3-F3</f>
        <v>0</v>
      </c>
      <c r="H3">
        <v>10</v>
      </c>
      <c r="I3">
        <v>6</v>
      </c>
      <c r="J3">
        <f t="shared" ref="J3:J18" si="2">H3-I3</f>
        <v>4</v>
      </c>
      <c r="L3" s="1" t="s">
        <v>11</v>
      </c>
      <c r="M3" t="s">
        <v>737</v>
      </c>
      <c r="N3" s="2">
        <f t="shared" ref="N3:N18" si="3">P3*3+Q3</f>
        <v>31</v>
      </c>
      <c r="O3">
        <v>15</v>
      </c>
      <c r="P3">
        <v>10</v>
      </c>
      <c r="Q3">
        <v>1</v>
      </c>
      <c r="R3">
        <f t="shared" ref="R3:R18" si="4">O3-P3-Q3</f>
        <v>4</v>
      </c>
      <c r="S3">
        <v>25</v>
      </c>
      <c r="T3">
        <v>17</v>
      </c>
      <c r="U3">
        <f t="shared" ref="U3:U18" si="5">S3-T3</f>
        <v>8</v>
      </c>
      <c r="W3" s="1" t="s">
        <v>11</v>
      </c>
      <c r="X3" t="s">
        <v>722</v>
      </c>
      <c r="Y3" s="2">
        <f t="shared" ref="Y3:Y18" si="6">AA3*3+AB3</f>
        <v>33</v>
      </c>
      <c r="Z3">
        <v>15</v>
      </c>
      <c r="AA3">
        <v>10</v>
      </c>
      <c r="AB3">
        <v>3</v>
      </c>
      <c r="AC3">
        <f t="shared" ref="AC3:AC18" si="7">Z3-AA3-AB3</f>
        <v>2</v>
      </c>
      <c r="AD3">
        <v>26</v>
      </c>
      <c r="AE3">
        <v>12</v>
      </c>
      <c r="AF3">
        <f t="shared" ref="AF3:AF18" si="8">AD3-AE3</f>
        <v>14</v>
      </c>
      <c r="AH3" s="1" t="s">
        <v>11</v>
      </c>
      <c r="AI3" t="s">
        <v>767</v>
      </c>
      <c r="AJ3" s="2">
        <f t="shared" ref="AJ3:AJ18" si="9">AL3*3+AM3</f>
        <v>33</v>
      </c>
      <c r="AK3">
        <v>15</v>
      </c>
      <c r="AL3">
        <v>11</v>
      </c>
      <c r="AM3">
        <v>0</v>
      </c>
      <c r="AN3">
        <f t="shared" ref="AN3:AN18" si="10">AK3-AL3-AM3</f>
        <v>4</v>
      </c>
      <c r="AO3">
        <v>29</v>
      </c>
      <c r="AP3">
        <v>17</v>
      </c>
      <c r="AQ3">
        <f t="shared" ref="AQ3:AQ18" si="11">AO3-AP3</f>
        <v>12</v>
      </c>
      <c r="AS3" t="s">
        <v>1</v>
      </c>
      <c r="AT3" t="s">
        <v>2</v>
      </c>
      <c r="AU3" t="s">
        <v>3</v>
      </c>
      <c r="AV3" t="s">
        <v>4</v>
      </c>
      <c r="AW3" t="s">
        <v>5</v>
      </c>
      <c r="AX3" t="s">
        <v>6</v>
      </c>
      <c r="AY3" t="s">
        <v>7</v>
      </c>
      <c r="AZ3" t="s">
        <v>8</v>
      </c>
      <c r="BA3" t="s">
        <v>9</v>
      </c>
      <c r="BB3" t="s">
        <v>10</v>
      </c>
      <c r="BD3" t="s">
        <v>1</v>
      </c>
      <c r="BE3" t="s">
        <v>2</v>
      </c>
      <c r="BF3" t="s">
        <v>3</v>
      </c>
      <c r="BG3" t="s">
        <v>4</v>
      </c>
      <c r="BH3" t="s">
        <v>5</v>
      </c>
      <c r="BI3" t="s">
        <v>6</v>
      </c>
      <c r="BJ3" t="s">
        <v>7</v>
      </c>
      <c r="BK3" t="s">
        <v>8</v>
      </c>
      <c r="BL3" t="s">
        <v>9</v>
      </c>
      <c r="BM3" t="s">
        <v>10</v>
      </c>
      <c r="BO3" t="s">
        <v>742</v>
      </c>
      <c r="BP3">
        <v>7</v>
      </c>
    </row>
    <row r="4" spans="1:68" x14ac:dyDescent="0.3">
      <c r="A4" s="1" t="s">
        <v>13</v>
      </c>
      <c r="B4" t="s">
        <v>732</v>
      </c>
      <c r="C4" s="2">
        <f t="shared" si="0"/>
        <v>13</v>
      </c>
      <c r="D4">
        <v>8</v>
      </c>
      <c r="E4">
        <v>4</v>
      </c>
      <c r="F4">
        <v>1</v>
      </c>
      <c r="G4">
        <f t="shared" si="1"/>
        <v>3</v>
      </c>
      <c r="H4">
        <v>16</v>
      </c>
      <c r="I4">
        <v>13</v>
      </c>
      <c r="J4">
        <f t="shared" si="2"/>
        <v>3</v>
      </c>
      <c r="L4" s="1" t="s">
        <v>13</v>
      </c>
      <c r="M4" t="s">
        <v>337</v>
      </c>
      <c r="N4" s="2">
        <f t="shared" si="3"/>
        <v>31</v>
      </c>
      <c r="O4">
        <v>15</v>
      </c>
      <c r="P4">
        <v>10</v>
      </c>
      <c r="Q4">
        <v>1</v>
      </c>
      <c r="R4">
        <f t="shared" si="4"/>
        <v>4</v>
      </c>
      <c r="S4">
        <v>23</v>
      </c>
      <c r="T4">
        <v>15</v>
      </c>
      <c r="U4">
        <f t="shared" si="5"/>
        <v>8</v>
      </c>
      <c r="W4" s="1" t="s">
        <v>13</v>
      </c>
      <c r="X4" t="s">
        <v>751</v>
      </c>
      <c r="Y4" s="2">
        <f t="shared" si="6"/>
        <v>30</v>
      </c>
      <c r="Z4">
        <v>15</v>
      </c>
      <c r="AA4">
        <v>10</v>
      </c>
      <c r="AB4">
        <v>0</v>
      </c>
      <c r="AC4">
        <f t="shared" si="7"/>
        <v>5</v>
      </c>
      <c r="AD4">
        <v>20</v>
      </c>
      <c r="AE4">
        <v>16</v>
      </c>
      <c r="AF4">
        <f t="shared" si="8"/>
        <v>4</v>
      </c>
      <c r="AH4" s="1" t="s">
        <v>13</v>
      </c>
      <c r="AI4" t="s">
        <v>768</v>
      </c>
      <c r="AJ4" s="2">
        <f t="shared" si="9"/>
        <v>26</v>
      </c>
      <c r="AK4">
        <v>15</v>
      </c>
      <c r="AL4">
        <v>8</v>
      </c>
      <c r="AM4">
        <v>2</v>
      </c>
      <c r="AN4">
        <f t="shared" si="10"/>
        <v>5</v>
      </c>
      <c r="AO4">
        <v>20</v>
      </c>
      <c r="AP4">
        <v>19</v>
      </c>
      <c r="AQ4">
        <f t="shared" si="11"/>
        <v>1</v>
      </c>
      <c r="AS4" s="1" t="s">
        <v>11</v>
      </c>
      <c r="AT4" t="s">
        <v>779</v>
      </c>
      <c r="AU4" s="2">
        <f t="shared" ref="AU4:AU10" si="12">AW4*3+AX4</f>
        <v>21</v>
      </c>
      <c r="AV4">
        <v>12</v>
      </c>
      <c r="AW4">
        <v>7</v>
      </c>
      <c r="AX4">
        <v>0</v>
      </c>
      <c r="AY4">
        <f t="shared" ref="AY4:AY10" si="13">AV4-AW4-AX4</f>
        <v>5</v>
      </c>
      <c r="AZ4">
        <v>22</v>
      </c>
      <c r="BA4">
        <v>16</v>
      </c>
      <c r="BB4">
        <f t="shared" ref="BB4:BB10" si="14">AZ4-BA4</f>
        <v>6</v>
      </c>
      <c r="BD4" s="1" t="s">
        <v>11</v>
      </c>
      <c r="BE4" t="s">
        <v>743</v>
      </c>
      <c r="BF4" s="2">
        <f>BH4*3+BI4</f>
        <v>10</v>
      </c>
      <c r="BG4">
        <v>6</v>
      </c>
      <c r="BH4">
        <v>3</v>
      </c>
      <c r="BI4">
        <v>1</v>
      </c>
      <c r="BJ4">
        <f t="shared" ref="BJ4:BJ7" si="15">BG4-BH4-BI4</f>
        <v>2</v>
      </c>
      <c r="BK4">
        <v>8</v>
      </c>
      <c r="BL4">
        <v>7</v>
      </c>
      <c r="BM4">
        <f t="shared" ref="BM4:BM7" si="16">BK4-BL4</f>
        <v>1</v>
      </c>
      <c r="BO4" t="s">
        <v>757</v>
      </c>
      <c r="BP4">
        <v>1</v>
      </c>
    </row>
    <row r="5" spans="1:68" x14ac:dyDescent="0.3">
      <c r="A5" s="1" t="s">
        <v>15</v>
      </c>
      <c r="B5" t="s">
        <v>724</v>
      </c>
      <c r="C5" s="2">
        <f t="shared" si="0"/>
        <v>13</v>
      </c>
      <c r="D5">
        <v>8</v>
      </c>
      <c r="E5">
        <v>4</v>
      </c>
      <c r="F5">
        <v>1</v>
      </c>
      <c r="G5">
        <f t="shared" si="1"/>
        <v>3</v>
      </c>
      <c r="H5">
        <v>16</v>
      </c>
      <c r="I5">
        <v>14</v>
      </c>
      <c r="J5">
        <f t="shared" si="2"/>
        <v>2</v>
      </c>
      <c r="L5" s="1" t="s">
        <v>15</v>
      </c>
      <c r="M5" t="s">
        <v>738</v>
      </c>
      <c r="N5" s="2">
        <f t="shared" si="3"/>
        <v>29</v>
      </c>
      <c r="O5">
        <v>15</v>
      </c>
      <c r="P5">
        <v>9</v>
      </c>
      <c r="Q5">
        <v>2</v>
      </c>
      <c r="R5">
        <f t="shared" si="4"/>
        <v>4</v>
      </c>
      <c r="S5">
        <v>24</v>
      </c>
      <c r="T5">
        <v>14</v>
      </c>
      <c r="U5">
        <f t="shared" si="5"/>
        <v>10</v>
      </c>
      <c r="W5" s="1" t="s">
        <v>15</v>
      </c>
      <c r="X5" t="s">
        <v>762</v>
      </c>
      <c r="Y5" s="2">
        <f t="shared" si="6"/>
        <v>26</v>
      </c>
      <c r="Z5">
        <v>15</v>
      </c>
      <c r="AA5">
        <v>8</v>
      </c>
      <c r="AB5">
        <v>2</v>
      </c>
      <c r="AC5">
        <f t="shared" si="7"/>
        <v>5</v>
      </c>
      <c r="AD5">
        <v>23</v>
      </c>
      <c r="AE5">
        <v>16</v>
      </c>
      <c r="AF5">
        <f t="shared" si="8"/>
        <v>7</v>
      </c>
      <c r="AH5" s="1" t="s">
        <v>15</v>
      </c>
      <c r="AI5" t="s">
        <v>769</v>
      </c>
      <c r="AJ5" s="2">
        <f t="shared" si="9"/>
        <v>24</v>
      </c>
      <c r="AK5">
        <v>15</v>
      </c>
      <c r="AL5">
        <v>7</v>
      </c>
      <c r="AM5">
        <v>3</v>
      </c>
      <c r="AN5">
        <f t="shared" si="10"/>
        <v>5</v>
      </c>
      <c r="AO5">
        <v>25</v>
      </c>
      <c r="AP5">
        <v>20</v>
      </c>
      <c r="AQ5">
        <f t="shared" si="11"/>
        <v>5</v>
      </c>
      <c r="AS5" s="1" t="s">
        <v>13</v>
      </c>
      <c r="AT5" t="s">
        <v>780</v>
      </c>
      <c r="AU5" s="2">
        <f t="shared" si="12"/>
        <v>19</v>
      </c>
      <c r="AV5">
        <v>12</v>
      </c>
      <c r="AW5">
        <v>5</v>
      </c>
      <c r="AX5">
        <v>4</v>
      </c>
      <c r="AY5">
        <f t="shared" si="13"/>
        <v>3</v>
      </c>
      <c r="AZ5">
        <v>14</v>
      </c>
      <c r="BA5">
        <v>11</v>
      </c>
      <c r="BB5">
        <f t="shared" si="14"/>
        <v>3</v>
      </c>
      <c r="BD5" s="4" t="s">
        <v>13</v>
      </c>
      <c r="BE5" t="s">
        <v>744</v>
      </c>
      <c r="BF5" s="2">
        <f>BH5*3+BI5</f>
        <v>10</v>
      </c>
      <c r="BG5">
        <v>6</v>
      </c>
      <c r="BH5">
        <v>3</v>
      </c>
      <c r="BI5">
        <v>1</v>
      </c>
      <c r="BJ5">
        <f t="shared" si="15"/>
        <v>2</v>
      </c>
      <c r="BK5">
        <v>6</v>
      </c>
      <c r="BL5">
        <v>5</v>
      </c>
      <c r="BM5">
        <f t="shared" si="16"/>
        <v>1</v>
      </c>
      <c r="BO5" t="s">
        <v>769</v>
      </c>
      <c r="BP5">
        <v>1</v>
      </c>
    </row>
    <row r="6" spans="1:68" x14ac:dyDescent="0.3">
      <c r="A6" s="1" t="s">
        <v>17</v>
      </c>
      <c r="B6" t="s">
        <v>733</v>
      </c>
      <c r="C6" s="2">
        <f t="shared" si="0"/>
        <v>13</v>
      </c>
      <c r="D6">
        <v>8</v>
      </c>
      <c r="E6">
        <v>4</v>
      </c>
      <c r="F6">
        <v>1</v>
      </c>
      <c r="G6">
        <f t="shared" si="1"/>
        <v>3</v>
      </c>
      <c r="H6">
        <v>18</v>
      </c>
      <c r="I6">
        <v>17</v>
      </c>
      <c r="J6">
        <f t="shared" si="2"/>
        <v>1</v>
      </c>
      <c r="L6" s="1" t="s">
        <v>17</v>
      </c>
      <c r="M6" t="s">
        <v>739</v>
      </c>
      <c r="N6" s="2">
        <f t="shared" si="3"/>
        <v>28</v>
      </c>
      <c r="O6">
        <v>15</v>
      </c>
      <c r="P6">
        <v>9</v>
      </c>
      <c r="Q6">
        <v>1</v>
      </c>
      <c r="R6">
        <f t="shared" si="4"/>
        <v>5</v>
      </c>
      <c r="S6">
        <v>28</v>
      </c>
      <c r="T6">
        <v>19</v>
      </c>
      <c r="U6">
        <f t="shared" si="5"/>
        <v>9</v>
      </c>
      <c r="W6" s="1" t="s">
        <v>17</v>
      </c>
      <c r="X6" t="s">
        <v>756</v>
      </c>
      <c r="Y6" s="2">
        <f t="shared" si="6"/>
        <v>26</v>
      </c>
      <c r="Z6">
        <v>15</v>
      </c>
      <c r="AA6">
        <v>8</v>
      </c>
      <c r="AB6">
        <v>2</v>
      </c>
      <c r="AC6">
        <f t="shared" si="7"/>
        <v>5</v>
      </c>
      <c r="AD6">
        <v>22</v>
      </c>
      <c r="AE6">
        <v>18</v>
      </c>
      <c r="AF6">
        <f t="shared" si="8"/>
        <v>4</v>
      </c>
      <c r="AH6" s="1" t="s">
        <v>17</v>
      </c>
      <c r="AI6" t="s">
        <v>770</v>
      </c>
      <c r="AJ6" s="2">
        <f t="shared" si="9"/>
        <v>24</v>
      </c>
      <c r="AK6">
        <v>15</v>
      </c>
      <c r="AL6">
        <v>7</v>
      </c>
      <c r="AM6">
        <v>3</v>
      </c>
      <c r="AN6">
        <f t="shared" si="10"/>
        <v>5</v>
      </c>
      <c r="AO6">
        <v>20</v>
      </c>
      <c r="AP6">
        <v>15</v>
      </c>
      <c r="AQ6">
        <f t="shared" si="11"/>
        <v>5</v>
      </c>
      <c r="AS6" s="1" t="s">
        <v>15</v>
      </c>
      <c r="AT6" t="s">
        <v>781</v>
      </c>
      <c r="AU6" s="2">
        <f t="shared" si="12"/>
        <v>18</v>
      </c>
      <c r="AV6">
        <v>12</v>
      </c>
      <c r="AW6">
        <v>5</v>
      </c>
      <c r="AX6">
        <v>3</v>
      </c>
      <c r="AY6">
        <f t="shared" si="13"/>
        <v>4</v>
      </c>
      <c r="AZ6">
        <v>17</v>
      </c>
      <c r="BA6">
        <v>15</v>
      </c>
      <c r="BB6">
        <f t="shared" si="14"/>
        <v>2</v>
      </c>
      <c r="BD6" s="4" t="s">
        <v>15</v>
      </c>
      <c r="BE6" t="s">
        <v>727</v>
      </c>
      <c r="BF6" s="2">
        <f>BH6*3+BI6</f>
        <v>7</v>
      </c>
      <c r="BG6">
        <v>6</v>
      </c>
      <c r="BH6">
        <v>2</v>
      </c>
      <c r="BI6">
        <v>1</v>
      </c>
      <c r="BJ6">
        <f t="shared" si="15"/>
        <v>3</v>
      </c>
      <c r="BK6">
        <v>9</v>
      </c>
      <c r="BL6">
        <v>10</v>
      </c>
      <c r="BM6">
        <f t="shared" si="16"/>
        <v>-1</v>
      </c>
      <c r="BO6" t="s">
        <v>780</v>
      </c>
      <c r="BP6">
        <v>2</v>
      </c>
    </row>
    <row r="7" spans="1:68" x14ac:dyDescent="0.3">
      <c r="A7" s="1" t="s">
        <v>19</v>
      </c>
      <c r="B7" t="s">
        <v>723</v>
      </c>
      <c r="C7" s="2">
        <f t="shared" si="0"/>
        <v>13</v>
      </c>
      <c r="D7">
        <v>8</v>
      </c>
      <c r="E7">
        <v>4</v>
      </c>
      <c r="F7">
        <v>1</v>
      </c>
      <c r="G7">
        <f t="shared" si="1"/>
        <v>3</v>
      </c>
      <c r="H7">
        <v>11</v>
      </c>
      <c r="I7">
        <v>11</v>
      </c>
      <c r="J7">
        <f t="shared" si="2"/>
        <v>0</v>
      </c>
      <c r="L7" s="1" t="s">
        <v>19</v>
      </c>
      <c r="M7" t="s">
        <v>740</v>
      </c>
      <c r="N7" s="2">
        <f t="shared" si="3"/>
        <v>28</v>
      </c>
      <c r="O7">
        <v>15</v>
      </c>
      <c r="P7">
        <v>9</v>
      </c>
      <c r="Q7">
        <v>1</v>
      </c>
      <c r="R7">
        <f t="shared" si="4"/>
        <v>5</v>
      </c>
      <c r="S7">
        <v>26</v>
      </c>
      <c r="T7">
        <v>18</v>
      </c>
      <c r="U7">
        <f t="shared" si="5"/>
        <v>8</v>
      </c>
      <c r="W7" s="1" t="s">
        <v>19</v>
      </c>
      <c r="X7" t="s">
        <v>755</v>
      </c>
      <c r="Y7" s="2">
        <f t="shared" si="6"/>
        <v>22</v>
      </c>
      <c r="Z7">
        <v>15</v>
      </c>
      <c r="AA7">
        <v>7</v>
      </c>
      <c r="AB7">
        <v>1</v>
      </c>
      <c r="AC7">
        <f t="shared" si="7"/>
        <v>7</v>
      </c>
      <c r="AD7">
        <v>23</v>
      </c>
      <c r="AE7">
        <v>22</v>
      </c>
      <c r="AF7">
        <f t="shared" si="8"/>
        <v>1</v>
      </c>
      <c r="AH7" s="1" t="s">
        <v>19</v>
      </c>
      <c r="AI7" t="s">
        <v>771</v>
      </c>
      <c r="AJ7" s="2">
        <f t="shared" si="9"/>
        <v>24</v>
      </c>
      <c r="AK7">
        <v>15</v>
      </c>
      <c r="AL7">
        <v>7</v>
      </c>
      <c r="AM7">
        <v>3</v>
      </c>
      <c r="AN7">
        <f t="shared" si="10"/>
        <v>5</v>
      </c>
      <c r="AO7">
        <v>24</v>
      </c>
      <c r="AP7">
        <v>23</v>
      </c>
      <c r="AQ7">
        <f t="shared" si="11"/>
        <v>1</v>
      </c>
      <c r="AS7" s="1" t="s">
        <v>17</v>
      </c>
      <c r="AT7" t="s">
        <v>268</v>
      </c>
      <c r="AU7" s="2">
        <f t="shared" si="12"/>
        <v>16</v>
      </c>
      <c r="AV7">
        <v>12</v>
      </c>
      <c r="AW7">
        <v>4</v>
      </c>
      <c r="AX7">
        <v>4</v>
      </c>
      <c r="AY7">
        <f t="shared" si="13"/>
        <v>4</v>
      </c>
      <c r="AZ7">
        <v>23</v>
      </c>
      <c r="BA7">
        <v>19</v>
      </c>
      <c r="BB7">
        <f t="shared" si="14"/>
        <v>4</v>
      </c>
      <c r="BD7" t="s">
        <v>17</v>
      </c>
      <c r="BE7" t="s">
        <v>756</v>
      </c>
      <c r="BF7" s="2">
        <f>BH7*3+BI7</f>
        <v>7</v>
      </c>
      <c r="BG7">
        <v>6</v>
      </c>
      <c r="BH7">
        <v>2</v>
      </c>
      <c r="BI7">
        <v>1</v>
      </c>
      <c r="BJ7">
        <f t="shared" si="15"/>
        <v>3</v>
      </c>
      <c r="BK7">
        <v>7</v>
      </c>
      <c r="BL7">
        <v>8</v>
      </c>
      <c r="BM7">
        <f t="shared" si="16"/>
        <v>-1</v>
      </c>
      <c r="BO7" t="s">
        <v>337</v>
      </c>
      <c r="BP7">
        <v>2</v>
      </c>
    </row>
    <row r="8" spans="1:68" x14ac:dyDescent="0.3">
      <c r="A8" s="1" t="s">
        <v>21</v>
      </c>
      <c r="B8" t="s">
        <v>729</v>
      </c>
      <c r="C8" s="2">
        <f t="shared" si="0"/>
        <v>12</v>
      </c>
      <c r="D8">
        <v>8</v>
      </c>
      <c r="E8">
        <v>3</v>
      </c>
      <c r="F8">
        <v>3</v>
      </c>
      <c r="G8">
        <f t="shared" si="1"/>
        <v>2</v>
      </c>
      <c r="H8">
        <v>14</v>
      </c>
      <c r="I8">
        <v>10</v>
      </c>
      <c r="J8">
        <f t="shared" si="2"/>
        <v>4</v>
      </c>
      <c r="L8" s="1" t="s">
        <v>21</v>
      </c>
      <c r="M8" t="s">
        <v>741</v>
      </c>
      <c r="N8" s="2">
        <f t="shared" si="3"/>
        <v>25</v>
      </c>
      <c r="O8">
        <v>15</v>
      </c>
      <c r="P8">
        <v>8</v>
      </c>
      <c r="Q8">
        <v>1</v>
      </c>
      <c r="R8">
        <f t="shared" si="4"/>
        <v>6</v>
      </c>
      <c r="S8">
        <v>17</v>
      </c>
      <c r="T8">
        <v>13</v>
      </c>
      <c r="U8">
        <f t="shared" si="5"/>
        <v>4</v>
      </c>
      <c r="W8" s="1" t="s">
        <v>21</v>
      </c>
      <c r="X8" t="s">
        <v>757</v>
      </c>
      <c r="Y8" s="2">
        <f t="shared" si="6"/>
        <v>22</v>
      </c>
      <c r="Z8">
        <v>15</v>
      </c>
      <c r="AA8">
        <v>7</v>
      </c>
      <c r="AB8">
        <v>1</v>
      </c>
      <c r="AC8">
        <f t="shared" si="7"/>
        <v>7</v>
      </c>
      <c r="AD8">
        <v>20</v>
      </c>
      <c r="AE8">
        <v>23</v>
      </c>
      <c r="AF8">
        <f t="shared" si="8"/>
        <v>-3</v>
      </c>
      <c r="AH8" s="1" t="s">
        <v>21</v>
      </c>
      <c r="AI8" t="s">
        <v>772</v>
      </c>
      <c r="AJ8" s="2">
        <f t="shared" si="9"/>
        <v>23</v>
      </c>
      <c r="AK8">
        <v>15</v>
      </c>
      <c r="AL8">
        <v>7</v>
      </c>
      <c r="AM8">
        <v>2</v>
      </c>
      <c r="AN8">
        <f t="shared" si="10"/>
        <v>6</v>
      </c>
      <c r="AO8">
        <v>27</v>
      </c>
      <c r="AP8">
        <v>25</v>
      </c>
      <c r="AQ8">
        <f t="shared" si="11"/>
        <v>2</v>
      </c>
      <c r="AS8" t="s">
        <v>19</v>
      </c>
      <c r="AT8" t="s">
        <v>782</v>
      </c>
      <c r="AU8" s="2">
        <f t="shared" si="12"/>
        <v>14</v>
      </c>
      <c r="AV8">
        <v>12</v>
      </c>
      <c r="AW8">
        <v>3</v>
      </c>
      <c r="AX8">
        <v>5</v>
      </c>
      <c r="AY8">
        <f t="shared" si="13"/>
        <v>4</v>
      </c>
      <c r="AZ8">
        <v>22</v>
      </c>
      <c r="BA8">
        <v>24</v>
      </c>
      <c r="BB8">
        <f t="shared" si="14"/>
        <v>-2</v>
      </c>
    </row>
    <row r="9" spans="1:68" x14ac:dyDescent="0.3">
      <c r="A9" s="1" t="s">
        <v>23</v>
      </c>
      <c r="B9" t="s">
        <v>122</v>
      </c>
      <c r="C9" s="2">
        <f t="shared" si="0"/>
        <v>12</v>
      </c>
      <c r="D9">
        <v>8</v>
      </c>
      <c r="E9">
        <v>3</v>
      </c>
      <c r="F9">
        <v>3</v>
      </c>
      <c r="G9">
        <f t="shared" si="1"/>
        <v>2</v>
      </c>
      <c r="H9">
        <v>9</v>
      </c>
      <c r="I9">
        <v>10</v>
      </c>
      <c r="J9">
        <f t="shared" si="2"/>
        <v>-1</v>
      </c>
      <c r="L9" s="1" t="s">
        <v>23</v>
      </c>
      <c r="M9" t="s">
        <v>742</v>
      </c>
      <c r="N9" s="2">
        <f t="shared" si="3"/>
        <v>25</v>
      </c>
      <c r="O9">
        <v>15</v>
      </c>
      <c r="P9">
        <v>8</v>
      </c>
      <c r="Q9">
        <v>1</v>
      </c>
      <c r="R9">
        <f t="shared" si="4"/>
        <v>6</v>
      </c>
      <c r="S9">
        <v>26</v>
      </c>
      <c r="T9">
        <v>24</v>
      </c>
      <c r="U9">
        <f t="shared" si="5"/>
        <v>2</v>
      </c>
      <c r="W9" s="1" t="s">
        <v>23</v>
      </c>
      <c r="X9" t="s">
        <v>758</v>
      </c>
      <c r="Y9" s="2">
        <f t="shared" si="6"/>
        <v>22</v>
      </c>
      <c r="Z9">
        <v>15</v>
      </c>
      <c r="AA9">
        <v>6</v>
      </c>
      <c r="AB9">
        <v>4</v>
      </c>
      <c r="AC9">
        <f t="shared" si="7"/>
        <v>5</v>
      </c>
      <c r="AD9">
        <v>18</v>
      </c>
      <c r="AE9">
        <v>18</v>
      </c>
      <c r="AF9">
        <f t="shared" si="8"/>
        <v>0</v>
      </c>
      <c r="AH9" s="1" t="s">
        <v>23</v>
      </c>
      <c r="AI9" t="s">
        <v>760</v>
      </c>
      <c r="AJ9" s="2">
        <f t="shared" si="9"/>
        <v>23</v>
      </c>
      <c r="AK9">
        <v>15</v>
      </c>
      <c r="AL9">
        <v>7</v>
      </c>
      <c r="AM9">
        <v>2</v>
      </c>
      <c r="AN9">
        <f t="shared" si="10"/>
        <v>6</v>
      </c>
      <c r="AO9">
        <v>21</v>
      </c>
      <c r="AP9">
        <v>22</v>
      </c>
      <c r="AQ9">
        <f t="shared" si="11"/>
        <v>-1</v>
      </c>
      <c r="AS9" t="s">
        <v>21</v>
      </c>
      <c r="AT9" t="s">
        <v>783</v>
      </c>
      <c r="AU9" s="2">
        <f t="shared" si="12"/>
        <v>14</v>
      </c>
      <c r="AV9">
        <v>12</v>
      </c>
      <c r="AW9">
        <v>3</v>
      </c>
      <c r="AX9">
        <v>5</v>
      </c>
      <c r="AY9">
        <f t="shared" si="13"/>
        <v>4</v>
      </c>
      <c r="AZ9">
        <v>15</v>
      </c>
      <c r="BA9">
        <v>17</v>
      </c>
      <c r="BB9">
        <f t="shared" si="14"/>
        <v>-2</v>
      </c>
      <c r="BD9" t="s">
        <v>73</v>
      </c>
    </row>
    <row r="10" spans="1:68" x14ac:dyDescent="0.3">
      <c r="A10" s="1" t="s">
        <v>25</v>
      </c>
      <c r="B10" t="s">
        <v>110</v>
      </c>
      <c r="C10" s="2">
        <f t="shared" si="0"/>
        <v>11</v>
      </c>
      <c r="D10">
        <v>8</v>
      </c>
      <c r="E10">
        <v>3</v>
      </c>
      <c r="F10">
        <v>2</v>
      </c>
      <c r="G10">
        <f t="shared" si="1"/>
        <v>3</v>
      </c>
      <c r="H10">
        <v>15</v>
      </c>
      <c r="I10">
        <v>15</v>
      </c>
      <c r="J10">
        <f t="shared" si="2"/>
        <v>0</v>
      </c>
      <c r="L10" s="1" t="s">
        <v>25</v>
      </c>
      <c r="M10" t="s">
        <v>743</v>
      </c>
      <c r="N10" s="2">
        <f t="shared" si="3"/>
        <v>22</v>
      </c>
      <c r="O10">
        <v>15</v>
      </c>
      <c r="P10">
        <v>7</v>
      </c>
      <c r="Q10">
        <v>1</v>
      </c>
      <c r="R10">
        <f t="shared" si="4"/>
        <v>7</v>
      </c>
      <c r="S10">
        <v>18</v>
      </c>
      <c r="T10">
        <v>21</v>
      </c>
      <c r="U10">
        <f t="shared" si="5"/>
        <v>-3</v>
      </c>
      <c r="W10" s="1" t="s">
        <v>25</v>
      </c>
      <c r="X10" t="s">
        <v>759</v>
      </c>
      <c r="Y10" s="2">
        <f t="shared" si="6"/>
        <v>21</v>
      </c>
      <c r="Z10">
        <v>15</v>
      </c>
      <c r="AA10">
        <v>7</v>
      </c>
      <c r="AB10">
        <v>0</v>
      </c>
      <c r="AC10">
        <f t="shared" si="7"/>
        <v>8</v>
      </c>
      <c r="AD10">
        <v>15</v>
      </c>
      <c r="AE10">
        <v>15</v>
      </c>
      <c r="AF10">
        <f t="shared" si="8"/>
        <v>0</v>
      </c>
      <c r="AH10" s="1" t="s">
        <v>25</v>
      </c>
      <c r="AI10" t="s">
        <v>773</v>
      </c>
      <c r="AJ10" s="2">
        <f t="shared" si="9"/>
        <v>23</v>
      </c>
      <c r="AK10">
        <v>15</v>
      </c>
      <c r="AL10">
        <v>6</v>
      </c>
      <c r="AM10">
        <v>5</v>
      </c>
      <c r="AN10">
        <f t="shared" si="10"/>
        <v>4</v>
      </c>
      <c r="AO10">
        <v>31</v>
      </c>
      <c r="AP10">
        <v>27</v>
      </c>
      <c r="AQ10">
        <f t="shared" si="11"/>
        <v>4</v>
      </c>
      <c r="AS10" t="s">
        <v>23</v>
      </c>
      <c r="AT10" t="s">
        <v>784</v>
      </c>
      <c r="AU10" s="2">
        <f t="shared" si="12"/>
        <v>12</v>
      </c>
      <c r="AV10">
        <v>12</v>
      </c>
      <c r="AW10">
        <v>3</v>
      </c>
      <c r="AX10">
        <v>3</v>
      </c>
      <c r="AY10">
        <f t="shared" si="13"/>
        <v>6</v>
      </c>
      <c r="AZ10">
        <v>19</v>
      </c>
      <c r="BA10">
        <v>30</v>
      </c>
      <c r="BB10">
        <f t="shared" si="14"/>
        <v>-11</v>
      </c>
      <c r="BD10" t="s">
        <v>1</v>
      </c>
      <c r="BE10" t="s">
        <v>2</v>
      </c>
      <c r="BF10" t="s">
        <v>3</v>
      </c>
      <c r="BG10" t="s">
        <v>4</v>
      </c>
      <c r="BH10" t="s">
        <v>5</v>
      </c>
      <c r="BI10" t="s">
        <v>6</v>
      </c>
      <c r="BJ10" t="s">
        <v>7</v>
      </c>
      <c r="BK10" t="s">
        <v>8</v>
      </c>
      <c r="BL10" t="s">
        <v>9</v>
      </c>
      <c r="BM10" t="s">
        <v>10</v>
      </c>
    </row>
    <row r="11" spans="1:68" x14ac:dyDescent="0.3">
      <c r="A11" t="s">
        <v>66</v>
      </c>
      <c r="B11" t="s">
        <v>728</v>
      </c>
      <c r="C11" s="2">
        <f t="shared" si="0"/>
        <v>11</v>
      </c>
      <c r="D11">
        <v>8</v>
      </c>
      <c r="E11">
        <v>3</v>
      </c>
      <c r="F11">
        <v>2</v>
      </c>
      <c r="G11">
        <f t="shared" si="1"/>
        <v>3</v>
      </c>
      <c r="H11">
        <v>11</v>
      </c>
      <c r="I11">
        <v>11</v>
      </c>
      <c r="J11">
        <f t="shared" si="2"/>
        <v>0</v>
      </c>
      <c r="L11" t="s">
        <v>66</v>
      </c>
      <c r="M11" t="s">
        <v>744</v>
      </c>
      <c r="N11" s="2">
        <f t="shared" si="3"/>
        <v>20</v>
      </c>
      <c r="O11">
        <v>15</v>
      </c>
      <c r="P11">
        <v>6</v>
      </c>
      <c r="Q11">
        <v>2</v>
      </c>
      <c r="R11">
        <f t="shared" si="4"/>
        <v>7</v>
      </c>
      <c r="S11">
        <v>22</v>
      </c>
      <c r="T11">
        <v>22</v>
      </c>
      <c r="U11">
        <f t="shared" si="5"/>
        <v>0</v>
      </c>
      <c r="W11" t="s">
        <v>66</v>
      </c>
      <c r="X11" t="s">
        <v>753</v>
      </c>
      <c r="Y11" s="2">
        <f t="shared" si="6"/>
        <v>21</v>
      </c>
      <c r="Z11">
        <v>15</v>
      </c>
      <c r="AA11">
        <v>7</v>
      </c>
      <c r="AB11">
        <v>0</v>
      </c>
      <c r="AC11">
        <f t="shared" si="7"/>
        <v>8</v>
      </c>
      <c r="AD11">
        <v>26</v>
      </c>
      <c r="AE11">
        <v>28</v>
      </c>
      <c r="AF11">
        <f t="shared" si="8"/>
        <v>-2</v>
      </c>
      <c r="AH11" t="s">
        <v>66</v>
      </c>
      <c r="AI11" t="s">
        <v>761</v>
      </c>
      <c r="AJ11" s="2">
        <f t="shared" si="9"/>
        <v>22</v>
      </c>
      <c r="AK11">
        <v>15</v>
      </c>
      <c r="AL11">
        <v>7</v>
      </c>
      <c r="AM11">
        <v>1</v>
      </c>
      <c r="AN11">
        <f t="shared" si="10"/>
        <v>7</v>
      </c>
      <c r="AO11">
        <v>18</v>
      </c>
      <c r="AP11">
        <v>18</v>
      </c>
      <c r="AQ11">
        <f t="shared" si="11"/>
        <v>0</v>
      </c>
      <c r="BD11" s="1" t="s">
        <v>11</v>
      </c>
      <c r="BE11" t="s">
        <v>737</v>
      </c>
      <c r="BF11" s="2">
        <f>BH11*3+BI11</f>
        <v>10</v>
      </c>
      <c r="BG11">
        <v>6</v>
      </c>
      <c r="BH11">
        <v>3</v>
      </c>
      <c r="BI11">
        <v>1</v>
      </c>
      <c r="BJ11">
        <f t="shared" ref="BJ11:BJ14" si="17">BG11-BH11-BI11</f>
        <v>2</v>
      </c>
      <c r="BK11">
        <v>13</v>
      </c>
      <c r="BL11">
        <v>9</v>
      </c>
      <c r="BM11">
        <f t="shared" ref="BM11:BM14" si="18">BK11-BL11</f>
        <v>4</v>
      </c>
    </row>
    <row r="12" spans="1:68" x14ac:dyDescent="0.3">
      <c r="A12" t="s">
        <v>137</v>
      </c>
      <c r="B12" t="s">
        <v>727</v>
      </c>
      <c r="C12" s="2">
        <f t="shared" si="0"/>
        <v>11</v>
      </c>
      <c r="D12">
        <v>8</v>
      </c>
      <c r="E12">
        <v>3</v>
      </c>
      <c r="F12">
        <v>2</v>
      </c>
      <c r="G12">
        <f t="shared" si="1"/>
        <v>3</v>
      </c>
      <c r="H12">
        <v>12</v>
      </c>
      <c r="I12">
        <v>13</v>
      </c>
      <c r="J12">
        <f t="shared" si="2"/>
        <v>-1</v>
      </c>
      <c r="L12" t="s">
        <v>137</v>
      </c>
      <c r="M12" t="s">
        <v>112</v>
      </c>
      <c r="N12" s="2">
        <f t="shared" si="3"/>
        <v>19</v>
      </c>
      <c r="O12">
        <v>15</v>
      </c>
      <c r="P12">
        <v>6</v>
      </c>
      <c r="Q12">
        <v>1</v>
      </c>
      <c r="R12">
        <f t="shared" si="4"/>
        <v>8</v>
      </c>
      <c r="S12">
        <v>19</v>
      </c>
      <c r="T12">
        <v>23</v>
      </c>
      <c r="U12">
        <f t="shared" si="5"/>
        <v>-4</v>
      </c>
      <c r="W12" t="s">
        <v>137</v>
      </c>
      <c r="X12" t="s">
        <v>763</v>
      </c>
      <c r="Y12" s="2">
        <f t="shared" si="6"/>
        <v>20</v>
      </c>
      <c r="Z12">
        <v>15</v>
      </c>
      <c r="AA12">
        <v>6</v>
      </c>
      <c r="AB12">
        <v>2</v>
      </c>
      <c r="AC12">
        <f t="shared" si="7"/>
        <v>7</v>
      </c>
      <c r="AD12">
        <v>20</v>
      </c>
      <c r="AE12">
        <v>22</v>
      </c>
      <c r="AF12">
        <f t="shared" si="8"/>
        <v>-2</v>
      </c>
      <c r="AH12" t="s">
        <v>137</v>
      </c>
      <c r="AI12" t="s">
        <v>551</v>
      </c>
      <c r="AJ12" s="2">
        <f t="shared" si="9"/>
        <v>21</v>
      </c>
      <c r="AK12">
        <v>15</v>
      </c>
      <c r="AL12">
        <v>6</v>
      </c>
      <c r="AM12">
        <v>3</v>
      </c>
      <c r="AN12">
        <f t="shared" si="10"/>
        <v>6</v>
      </c>
      <c r="AO12">
        <v>27</v>
      </c>
      <c r="AP12">
        <v>25</v>
      </c>
      <c r="AQ12">
        <f t="shared" si="11"/>
        <v>2</v>
      </c>
      <c r="AS12" t="s">
        <v>73</v>
      </c>
      <c r="BD12" s="4" t="s">
        <v>13</v>
      </c>
      <c r="BE12" t="s">
        <v>741</v>
      </c>
      <c r="BF12" s="2">
        <f>BH12*3+BI12</f>
        <v>10</v>
      </c>
      <c r="BG12">
        <v>6</v>
      </c>
      <c r="BH12">
        <v>3</v>
      </c>
      <c r="BI12">
        <v>1</v>
      </c>
      <c r="BJ12">
        <f t="shared" si="17"/>
        <v>2</v>
      </c>
      <c r="BK12">
        <v>8</v>
      </c>
      <c r="BL12">
        <v>8</v>
      </c>
      <c r="BM12">
        <f t="shared" si="18"/>
        <v>0</v>
      </c>
    </row>
    <row r="13" spans="1:68" x14ac:dyDescent="0.3">
      <c r="A13" t="s">
        <v>149</v>
      </c>
      <c r="B13" t="s">
        <v>726</v>
      </c>
      <c r="C13" s="2">
        <f t="shared" si="0"/>
        <v>10</v>
      </c>
      <c r="D13">
        <v>8</v>
      </c>
      <c r="E13">
        <v>3</v>
      </c>
      <c r="F13">
        <v>1</v>
      </c>
      <c r="G13">
        <f t="shared" si="1"/>
        <v>4</v>
      </c>
      <c r="H13">
        <v>9</v>
      </c>
      <c r="I13">
        <v>12</v>
      </c>
      <c r="J13">
        <f t="shared" si="2"/>
        <v>-3</v>
      </c>
      <c r="L13" t="s">
        <v>149</v>
      </c>
      <c r="M13" t="s">
        <v>440</v>
      </c>
      <c r="N13" s="2">
        <f t="shared" si="3"/>
        <v>19</v>
      </c>
      <c r="O13">
        <v>15</v>
      </c>
      <c r="P13">
        <v>6</v>
      </c>
      <c r="Q13">
        <v>1</v>
      </c>
      <c r="R13">
        <f t="shared" si="4"/>
        <v>8</v>
      </c>
      <c r="S13">
        <v>17</v>
      </c>
      <c r="T13">
        <v>23</v>
      </c>
      <c r="U13">
        <f t="shared" si="5"/>
        <v>-6</v>
      </c>
      <c r="W13" t="s">
        <v>149</v>
      </c>
      <c r="X13" t="s">
        <v>764</v>
      </c>
      <c r="Y13" s="2">
        <f t="shared" si="6"/>
        <v>20</v>
      </c>
      <c r="Z13">
        <v>15</v>
      </c>
      <c r="AA13">
        <v>6</v>
      </c>
      <c r="AB13">
        <v>2</v>
      </c>
      <c r="AC13">
        <f t="shared" si="7"/>
        <v>7</v>
      </c>
      <c r="AD13">
        <v>17</v>
      </c>
      <c r="AE13">
        <v>21</v>
      </c>
      <c r="AF13">
        <f t="shared" si="8"/>
        <v>-4</v>
      </c>
      <c r="AH13" t="s">
        <v>149</v>
      </c>
      <c r="AI13" t="s">
        <v>774</v>
      </c>
      <c r="AJ13" s="2">
        <f t="shared" si="9"/>
        <v>18</v>
      </c>
      <c r="AK13">
        <v>15</v>
      </c>
      <c r="AL13">
        <v>5</v>
      </c>
      <c r="AM13">
        <v>3</v>
      </c>
      <c r="AN13">
        <f t="shared" si="10"/>
        <v>7</v>
      </c>
      <c r="AO13">
        <v>24</v>
      </c>
      <c r="AP13">
        <v>23</v>
      </c>
      <c r="AQ13">
        <f t="shared" si="11"/>
        <v>1</v>
      </c>
      <c r="AS13" t="s">
        <v>1</v>
      </c>
      <c r="AT13" t="s">
        <v>2</v>
      </c>
      <c r="AU13" t="s">
        <v>3</v>
      </c>
      <c r="AV13" t="s">
        <v>4</v>
      </c>
      <c r="AW13" t="s">
        <v>5</v>
      </c>
      <c r="AX13" t="s">
        <v>6</v>
      </c>
      <c r="AY13" t="s">
        <v>7</v>
      </c>
      <c r="AZ13" t="s">
        <v>8</v>
      </c>
      <c r="BA13" t="s">
        <v>9</v>
      </c>
      <c r="BB13" t="s">
        <v>10</v>
      </c>
      <c r="BD13" s="4" t="s">
        <v>15</v>
      </c>
      <c r="BE13" t="s">
        <v>726</v>
      </c>
      <c r="BF13" s="2">
        <f>BH13*3+BI13</f>
        <v>9</v>
      </c>
      <c r="BG13">
        <v>6</v>
      </c>
      <c r="BH13">
        <v>3</v>
      </c>
      <c r="BI13">
        <v>0</v>
      </c>
      <c r="BJ13">
        <f t="shared" si="17"/>
        <v>3</v>
      </c>
      <c r="BK13">
        <v>8</v>
      </c>
      <c r="BL13">
        <v>10</v>
      </c>
      <c r="BM13">
        <f t="shared" si="18"/>
        <v>-2</v>
      </c>
    </row>
    <row r="14" spans="1:68" x14ac:dyDescent="0.3">
      <c r="A14" t="s">
        <v>150</v>
      </c>
      <c r="B14" t="s">
        <v>730</v>
      </c>
      <c r="C14" s="2">
        <f t="shared" si="0"/>
        <v>9</v>
      </c>
      <c r="D14">
        <v>8</v>
      </c>
      <c r="E14">
        <v>3</v>
      </c>
      <c r="F14">
        <v>0</v>
      </c>
      <c r="G14">
        <f t="shared" si="1"/>
        <v>5</v>
      </c>
      <c r="H14">
        <v>11</v>
      </c>
      <c r="I14">
        <v>14</v>
      </c>
      <c r="J14">
        <f t="shared" si="2"/>
        <v>-3</v>
      </c>
      <c r="L14" t="s">
        <v>150</v>
      </c>
      <c r="M14" t="s">
        <v>745</v>
      </c>
      <c r="N14" s="2">
        <f t="shared" si="3"/>
        <v>19</v>
      </c>
      <c r="O14">
        <v>15</v>
      </c>
      <c r="P14">
        <v>5</v>
      </c>
      <c r="Q14">
        <v>4</v>
      </c>
      <c r="R14">
        <f t="shared" si="4"/>
        <v>6</v>
      </c>
      <c r="S14">
        <v>17</v>
      </c>
      <c r="T14">
        <v>19</v>
      </c>
      <c r="U14">
        <f t="shared" si="5"/>
        <v>-2</v>
      </c>
      <c r="W14" t="s">
        <v>150</v>
      </c>
      <c r="X14" t="s">
        <v>752</v>
      </c>
      <c r="Y14" s="2">
        <f t="shared" si="6"/>
        <v>19</v>
      </c>
      <c r="Z14">
        <v>15</v>
      </c>
      <c r="AA14">
        <v>6</v>
      </c>
      <c r="AB14">
        <v>1</v>
      </c>
      <c r="AC14">
        <f t="shared" si="7"/>
        <v>8</v>
      </c>
      <c r="AD14">
        <v>21</v>
      </c>
      <c r="AE14">
        <v>21</v>
      </c>
      <c r="AF14">
        <f t="shared" si="8"/>
        <v>0</v>
      </c>
      <c r="AH14" t="s">
        <v>150</v>
      </c>
      <c r="AI14" t="s">
        <v>83</v>
      </c>
      <c r="AJ14" s="2">
        <f t="shared" si="9"/>
        <v>17</v>
      </c>
      <c r="AK14">
        <v>15</v>
      </c>
      <c r="AL14">
        <v>5</v>
      </c>
      <c r="AM14">
        <v>2</v>
      </c>
      <c r="AN14">
        <f t="shared" si="10"/>
        <v>8</v>
      </c>
      <c r="AO14">
        <v>17</v>
      </c>
      <c r="AP14">
        <v>25</v>
      </c>
      <c r="AQ14">
        <f t="shared" si="11"/>
        <v>-8</v>
      </c>
      <c r="AS14" s="1" t="s">
        <v>11</v>
      </c>
      <c r="AT14" t="s">
        <v>785</v>
      </c>
      <c r="AU14" s="2">
        <f t="shared" ref="AU14:AU20" si="19">AW14*3+AX14</f>
        <v>25</v>
      </c>
      <c r="AV14">
        <v>12</v>
      </c>
      <c r="AW14">
        <v>8</v>
      </c>
      <c r="AX14">
        <v>1</v>
      </c>
      <c r="AY14">
        <f t="shared" ref="AY14:AY20" si="20">AV14-AW14-AX14</f>
        <v>3</v>
      </c>
      <c r="AZ14">
        <v>16</v>
      </c>
      <c r="BA14">
        <v>13</v>
      </c>
      <c r="BB14">
        <f t="shared" ref="BB14:BB20" si="21">AZ14-BA14</f>
        <v>3</v>
      </c>
      <c r="BD14" t="s">
        <v>17</v>
      </c>
      <c r="BE14" t="s">
        <v>752</v>
      </c>
      <c r="BF14" s="2">
        <f>BH14*3+BI14</f>
        <v>5</v>
      </c>
      <c r="BG14">
        <v>6</v>
      </c>
      <c r="BH14">
        <v>1</v>
      </c>
      <c r="BI14">
        <v>2</v>
      </c>
      <c r="BJ14">
        <f t="shared" si="17"/>
        <v>3</v>
      </c>
      <c r="BK14">
        <v>7</v>
      </c>
      <c r="BL14">
        <v>9</v>
      </c>
      <c r="BM14">
        <f t="shared" si="18"/>
        <v>-2</v>
      </c>
    </row>
    <row r="15" spans="1:68" x14ac:dyDescent="0.3">
      <c r="A15" t="s">
        <v>151</v>
      </c>
      <c r="B15" t="s">
        <v>725</v>
      </c>
      <c r="C15" s="2">
        <f t="shared" si="0"/>
        <v>9</v>
      </c>
      <c r="D15">
        <v>8</v>
      </c>
      <c r="E15">
        <v>2</v>
      </c>
      <c r="F15">
        <v>3</v>
      </c>
      <c r="G15">
        <f t="shared" si="1"/>
        <v>3</v>
      </c>
      <c r="H15">
        <v>12</v>
      </c>
      <c r="I15">
        <v>12</v>
      </c>
      <c r="J15">
        <f t="shared" si="2"/>
        <v>0</v>
      </c>
      <c r="L15" t="s">
        <v>151</v>
      </c>
      <c r="M15" t="s">
        <v>746</v>
      </c>
      <c r="N15" s="2">
        <f t="shared" si="3"/>
        <v>14</v>
      </c>
      <c r="O15">
        <v>15</v>
      </c>
      <c r="P15">
        <v>2</v>
      </c>
      <c r="Q15">
        <v>8</v>
      </c>
      <c r="R15">
        <f t="shared" si="4"/>
        <v>5</v>
      </c>
      <c r="S15">
        <v>16</v>
      </c>
      <c r="T15">
        <v>20</v>
      </c>
      <c r="U15">
        <f t="shared" si="5"/>
        <v>-4</v>
      </c>
      <c r="W15" t="s">
        <v>151</v>
      </c>
      <c r="X15" t="s">
        <v>765</v>
      </c>
      <c r="Y15" s="2">
        <f t="shared" si="6"/>
        <v>17</v>
      </c>
      <c r="Z15">
        <v>15</v>
      </c>
      <c r="AA15">
        <v>5</v>
      </c>
      <c r="AB15">
        <v>2</v>
      </c>
      <c r="AC15">
        <f t="shared" si="7"/>
        <v>8</v>
      </c>
      <c r="AD15">
        <v>25</v>
      </c>
      <c r="AE15">
        <v>30</v>
      </c>
      <c r="AF15">
        <f t="shared" si="8"/>
        <v>-5</v>
      </c>
      <c r="AH15" t="s">
        <v>151</v>
      </c>
      <c r="AI15" t="s">
        <v>775</v>
      </c>
      <c r="AJ15" s="2">
        <f t="shared" si="9"/>
        <v>17</v>
      </c>
      <c r="AK15">
        <v>15</v>
      </c>
      <c r="AL15">
        <v>4</v>
      </c>
      <c r="AM15">
        <v>5</v>
      </c>
      <c r="AN15">
        <f t="shared" si="10"/>
        <v>6</v>
      </c>
      <c r="AO15">
        <v>21</v>
      </c>
      <c r="AP15">
        <v>21</v>
      </c>
      <c r="AQ15">
        <f t="shared" si="11"/>
        <v>0</v>
      </c>
      <c r="AS15" s="1" t="s">
        <v>13</v>
      </c>
      <c r="AT15" t="s">
        <v>786</v>
      </c>
      <c r="AU15" s="2">
        <f t="shared" si="19"/>
        <v>22</v>
      </c>
      <c r="AV15">
        <v>12</v>
      </c>
      <c r="AW15">
        <v>7</v>
      </c>
      <c r="AX15">
        <v>1</v>
      </c>
      <c r="AY15">
        <f t="shared" si="20"/>
        <v>4</v>
      </c>
      <c r="AZ15">
        <v>17</v>
      </c>
      <c r="BA15">
        <v>9</v>
      </c>
      <c r="BB15">
        <f t="shared" si="21"/>
        <v>8</v>
      </c>
    </row>
    <row r="16" spans="1:68" x14ac:dyDescent="0.3">
      <c r="A16" t="s">
        <v>480</v>
      </c>
      <c r="B16" t="s">
        <v>734</v>
      </c>
      <c r="C16" s="2">
        <f t="shared" si="0"/>
        <v>9</v>
      </c>
      <c r="D16">
        <v>8</v>
      </c>
      <c r="E16">
        <v>2</v>
      </c>
      <c r="F16">
        <v>3</v>
      </c>
      <c r="G16">
        <f t="shared" si="1"/>
        <v>3</v>
      </c>
      <c r="H16">
        <v>12</v>
      </c>
      <c r="I16">
        <v>15</v>
      </c>
      <c r="J16">
        <f t="shared" si="2"/>
        <v>-3</v>
      </c>
      <c r="L16" t="s">
        <v>480</v>
      </c>
      <c r="M16" t="s">
        <v>747</v>
      </c>
      <c r="N16" s="2">
        <f t="shared" si="3"/>
        <v>13</v>
      </c>
      <c r="O16">
        <v>15</v>
      </c>
      <c r="P16">
        <v>4</v>
      </c>
      <c r="Q16">
        <v>1</v>
      </c>
      <c r="R16">
        <f t="shared" si="4"/>
        <v>10</v>
      </c>
      <c r="S16">
        <v>17</v>
      </c>
      <c r="T16">
        <v>24</v>
      </c>
      <c r="U16">
        <f t="shared" si="5"/>
        <v>-7</v>
      </c>
      <c r="W16" t="s">
        <v>480</v>
      </c>
      <c r="X16" t="s">
        <v>750</v>
      </c>
      <c r="Y16" s="2">
        <f t="shared" si="6"/>
        <v>17</v>
      </c>
      <c r="Z16">
        <v>15</v>
      </c>
      <c r="AA16">
        <v>4</v>
      </c>
      <c r="AB16">
        <v>5</v>
      </c>
      <c r="AC16">
        <f t="shared" si="7"/>
        <v>6</v>
      </c>
      <c r="AD16">
        <v>23</v>
      </c>
      <c r="AE16">
        <v>24</v>
      </c>
      <c r="AF16">
        <f t="shared" si="8"/>
        <v>-1</v>
      </c>
      <c r="AH16" t="s">
        <v>480</v>
      </c>
      <c r="AI16" t="s">
        <v>354</v>
      </c>
      <c r="AJ16" s="2">
        <f t="shared" si="9"/>
        <v>16</v>
      </c>
      <c r="AK16">
        <v>15</v>
      </c>
      <c r="AL16">
        <v>5</v>
      </c>
      <c r="AM16">
        <v>1</v>
      </c>
      <c r="AN16">
        <f t="shared" si="10"/>
        <v>9</v>
      </c>
      <c r="AO16">
        <v>17</v>
      </c>
      <c r="AP16">
        <v>23</v>
      </c>
      <c r="AQ16">
        <f t="shared" si="11"/>
        <v>-6</v>
      </c>
      <c r="AS16" s="1" t="s">
        <v>15</v>
      </c>
      <c r="AT16" t="s">
        <v>787</v>
      </c>
      <c r="AU16" s="2">
        <f t="shared" si="19"/>
        <v>17</v>
      </c>
      <c r="AV16">
        <v>12</v>
      </c>
      <c r="AW16">
        <v>5</v>
      </c>
      <c r="AX16">
        <v>2</v>
      </c>
      <c r="AY16">
        <f t="shared" si="20"/>
        <v>5</v>
      </c>
      <c r="AZ16">
        <v>21</v>
      </c>
      <c r="BA16">
        <v>20</v>
      </c>
      <c r="BB16">
        <f t="shared" si="21"/>
        <v>1</v>
      </c>
      <c r="BD16" t="s">
        <v>254</v>
      </c>
    </row>
    <row r="17" spans="1:65" x14ac:dyDescent="0.3">
      <c r="A17" s="3" t="s">
        <v>482</v>
      </c>
      <c r="B17" t="s">
        <v>179</v>
      </c>
      <c r="C17" s="2">
        <f t="shared" si="0"/>
        <v>8</v>
      </c>
      <c r="D17">
        <v>8</v>
      </c>
      <c r="E17">
        <v>2</v>
      </c>
      <c r="F17">
        <v>2</v>
      </c>
      <c r="G17">
        <f t="shared" si="1"/>
        <v>4</v>
      </c>
      <c r="H17">
        <v>11</v>
      </c>
      <c r="I17">
        <v>12</v>
      </c>
      <c r="J17">
        <f t="shared" si="2"/>
        <v>-1</v>
      </c>
      <c r="L17" s="3" t="s">
        <v>482</v>
      </c>
      <c r="M17" t="s">
        <v>375</v>
      </c>
      <c r="N17" s="2">
        <f t="shared" si="3"/>
        <v>13</v>
      </c>
      <c r="O17">
        <v>15</v>
      </c>
      <c r="P17">
        <v>4</v>
      </c>
      <c r="Q17">
        <v>1</v>
      </c>
      <c r="R17">
        <f t="shared" si="4"/>
        <v>10</v>
      </c>
      <c r="S17">
        <v>16</v>
      </c>
      <c r="T17">
        <v>25</v>
      </c>
      <c r="U17">
        <f t="shared" si="5"/>
        <v>-9</v>
      </c>
      <c r="W17" s="3" t="s">
        <v>482</v>
      </c>
      <c r="X17" t="s">
        <v>14</v>
      </c>
      <c r="Y17" s="2">
        <f t="shared" si="6"/>
        <v>16</v>
      </c>
      <c r="Z17">
        <v>15</v>
      </c>
      <c r="AA17">
        <v>5</v>
      </c>
      <c r="AB17">
        <v>1</v>
      </c>
      <c r="AC17">
        <f t="shared" si="7"/>
        <v>9</v>
      </c>
      <c r="AD17">
        <v>17</v>
      </c>
      <c r="AE17">
        <v>23</v>
      </c>
      <c r="AF17">
        <f t="shared" si="8"/>
        <v>-6</v>
      </c>
      <c r="AH17" s="3" t="s">
        <v>482</v>
      </c>
      <c r="AI17" t="s">
        <v>776</v>
      </c>
      <c r="AJ17" s="2">
        <f t="shared" si="9"/>
        <v>16</v>
      </c>
      <c r="AK17">
        <v>15</v>
      </c>
      <c r="AL17">
        <v>5</v>
      </c>
      <c r="AM17">
        <v>1</v>
      </c>
      <c r="AN17">
        <f t="shared" si="10"/>
        <v>9</v>
      </c>
      <c r="AO17">
        <v>17</v>
      </c>
      <c r="AP17">
        <v>26</v>
      </c>
      <c r="AQ17">
        <f t="shared" si="11"/>
        <v>-9</v>
      </c>
      <c r="AS17" s="1" t="s">
        <v>17</v>
      </c>
      <c r="AT17" t="s">
        <v>788</v>
      </c>
      <c r="AU17" s="2">
        <f t="shared" si="19"/>
        <v>17</v>
      </c>
      <c r="AV17">
        <v>12</v>
      </c>
      <c r="AW17">
        <v>5</v>
      </c>
      <c r="AX17">
        <v>2</v>
      </c>
      <c r="AY17">
        <f t="shared" si="20"/>
        <v>5</v>
      </c>
      <c r="AZ17">
        <v>16</v>
      </c>
      <c r="BA17">
        <v>19</v>
      </c>
      <c r="BB17">
        <f t="shared" si="21"/>
        <v>-3</v>
      </c>
      <c r="BD17" t="s">
        <v>1</v>
      </c>
      <c r="BE17" t="s">
        <v>2</v>
      </c>
      <c r="BF17" t="s">
        <v>3</v>
      </c>
      <c r="BG17" t="s">
        <v>4</v>
      </c>
      <c r="BH17" t="s">
        <v>5</v>
      </c>
      <c r="BI17" t="s">
        <v>6</v>
      </c>
      <c r="BJ17" t="s">
        <v>7</v>
      </c>
      <c r="BK17" t="s">
        <v>8</v>
      </c>
      <c r="BL17" t="s">
        <v>9</v>
      </c>
      <c r="BM17" t="s">
        <v>10</v>
      </c>
    </row>
    <row r="18" spans="1:65" x14ac:dyDescent="0.3">
      <c r="A18" s="3" t="s">
        <v>483</v>
      </c>
      <c r="B18" t="s">
        <v>731</v>
      </c>
      <c r="C18" s="2">
        <f t="shared" si="0"/>
        <v>8</v>
      </c>
      <c r="D18">
        <v>8</v>
      </c>
      <c r="E18">
        <v>2</v>
      </c>
      <c r="F18">
        <v>2</v>
      </c>
      <c r="G18">
        <f t="shared" si="1"/>
        <v>4</v>
      </c>
      <c r="H18">
        <v>8</v>
      </c>
      <c r="I18">
        <v>11</v>
      </c>
      <c r="J18">
        <f t="shared" si="2"/>
        <v>-3</v>
      </c>
      <c r="L18" s="3" t="s">
        <v>483</v>
      </c>
      <c r="M18" t="s">
        <v>748</v>
      </c>
      <c r="N18" s="2">
        <f t="shared" si="3"/>
        <v>9</v>
      </c>
      <c r="O18">
        <v>15</v>
      </c>
      <c r="P18">
        <v>2</v>
      </c>
      <c r="Q18">
        <v>3</v>
      </c>
      <c r="R18">
        <f t="shared" si="4"/>
        <v>10</v>
      </c>
      <c r="S18">
        <v>17</v>
      </c>
      <c r="T18">
        <v>31</v>
      </c>
      <c r="U18">
        <f t="shared" si="5"/>
        <v>-14</v>
      </c>
      <c r="W18" s="3" t="s">
        <v>483</v>
      </c>
      <c r="X18" t="s">
        <v>754</v>
      </c>
      <c r="Y18" s="2">
        <f t="shared" si="6"/>
        <v>14</v>
      </c>
      <c r="Z18">
        <v>15</v>
      </c>
      <c r="AA18">
        <v>4</v>
      </c>
      <c r="AB18">
        <v>2</v>
      </c>
      <c r="AC18">
        <f t="shared" si="7"/>
        <v>9</v>
      </c>
      <c r="AD18">
        <v>17</v>
      </c>
      <c r="AE18">
        <v>24</v>
      </c>
      <c r="AF18">
        <f t="shared" si="8"/>
        <v>-7</v>
      </c>
      <c r="AH18" s="3" t="s">
        <v>483</v>
      </c>
      <c r="AI18" t="s">
        <v>777</v>
      </c>
      <c r="AJ18" s="2">
        <f t="shared" si="9"/>
        <v>14</v>
      </c>
      <c r="AK18">
        <v>15</v>
      </c>
      <c r="AL18">
        <v>4</v>
      </c>
      <c r="AM18">
        <v>2</v>
      </c>
      <c r="AN18">
        <f t="shared" si="10"/>
        <v>9</v>
      </c>
      <c r="AO18">
        <v>17</v>
      </c>
      <c r="AP18">
        <v>26</v>
      </c>
      <c r="AQ18">
        <f t="shared" si="11"/>
        <v>-9</v>
      </c>
      <c r="AS18" t="s">
        <v>19</v>
      </c>
      <c r="AT18" t="s">
        <v>789</v>
      </c>
      <c r="AU18" s="2">
        <f t="shared" si="19"/>
        <v>16</v>
      </c>
      <c r="AV18">
        <v>12</v>
      </c>
      <c r="AW18">
        <v>5</v>
      </c>
      <c r="AX18">
        <v>1</v>
      </c>
      <c r="AY18">
        <f t="shared" si="20"/>
        <v>6</v>
      </c>
      <c r="AZ18">
        <v>19</v>
      </c>
      <c r="BA18">
        <v>22</v>
      </c>
      <c r="BB18">
        <f t="shared" si="21"/>
        <v>-3</v>
      </c>
      <c r="BD18" s="1" t="s">
        <v>11</v>
      </c>
      <c r="BE18" t="s">
        <v>337</v>
      </c>
      <c r="BF18" s="2">
        <f>BH18*3+BI18</f>
        <v>12</v>
      </c>
      <c r="BG18">
        <v>6</v>
      </c>
      <c r="BH18">
        <v>4</v>
      </c>
      <c r="BI18">
        <v>0</v>
      </c>
      <c r="BJ18">
        <f t="shared" ref="BJ18:BJ21" si="22">BG18-BH18-BI18</f>
        <v>2</v>
      </c>
      <c r="BK18">
        <v>6</v>
      </c>
      <c r="BL18">
        <v>5</v>
      </c>
      <c r="BM18">
        <f t="shared" ref="BM18:BM21" si="23">BK18-BL18</f>
        <v>1</v>
      </c>
    </row>
    <row r="19" spans="1:65" x14ac:dyDescent="0.3">
      <c r="AS19" t="s">
        <v>21</v>
      </c>
      <c r="AT19" t="s">
        <v>790</v>
      </c>
      <c r="AU19" s="2">
        <f t="shared" si="19"/>
        <v>13</v>
      </c>
      <c r="AV19">
        <v>12</v>
      </c>
      <c r="AW19">
        <v>4</v>
      </c>
      <c r="AX19">
        <v>1</v>
      </c>
      <c r="AY19">
        <f t="shared" si="20"/>
        <v>7</v>
      </c>
      <c r="AZ19">
        <v>14</v>
      </c>
      <c r="BA19">
        <v>16</v>
      </c>
      <c r="BB19">
        <f t="shared" si="21"/>
        <v>-2</v>
      </c>
      <c r="BD19" s="4" t="s">
        <v>13</v>
      </c>
      <c r="BE19" t="s">
        <v>764</v>
      </c>
      <c r="BF19" s="2">
        <f>BH19*3+BI19</f>
        <v>11</v>
      </c>
      <c r="BG19">
        <v>6</v>
      </c>
      <c r="BH19">
        <v>3</v>
      </c>
      <c r="BI19">
        <v>2</v>
      </c>
      <c r="BJ19">
        <f t="shared" si="22"/>
        <v>1</v>
      </c>
      <c r="BK19">
        <v>13</v>
      </c>
      <c r="BL19">
        <v>10</v>
      </c>
      <c r="BM19">
        <f t="shared" si="23"/>
        <v>3</v>
      </c>
    </row>
    <row r="20" spans="1:65" x14ac:dyDescent="0.3">
      <c r="A20" t="s">
        <v>221</v>
      </c>
      <c r="L20" t="s">
        <v>342</v>
      </c>
      <c r="W20" t="s">
        <v>221</v>
      </c>
      <c r="AH20" t="s">
        <v>221</v>
      </c>
      <c r="AS20" t="s">
        <v>23</v>
      </c>
      <c r="AT20" t="s">
        <v>791</v>
      </c>
      <c r="AU20" s="2">
        <f t="shared" si="19"/>
        <v>11</v>
      </c>
      <c r="AV20">
        <v>12</v>
      </c>
      <c r="AW20">
        <v>3</v>
      </c>
      <c r="AX20">
        <v>2</v>
      </c>
      <c r="AY20">
        <f t="shared" si="20"/>
        <v>7</v>
      </c>
      <c r="AZ20">
        <v>15</v>
      </c>
      <c r="BA20">
        <v>19</v>
      </c>
      <c r="BB20">
        <f t="shared" si="21"/>
        <v>-4</v>
      </c>
      <c r="BD20" s="4" t="s">
        <v>15</v>
      </c>
      <c r="BE20" t="s">
        <v>763</v>
      </c>
      <c r="BF20" s="2">
        <f>BH20*3+BI20</f>
        <v>8</v>
      </c>
      <c r="BG20">
        <v>6</v>
      </c>
      <c r="BH20">
        <v>2</v>
      </c>
      <c r="BI20">
        <v>2</v>
      </c>
      <c r="BJ20">
        <f t="shared" si="22"/>
        <v>2</v>
      </c>
      <c r="BK20">
        <v>11</v>
      </c>
      <c r="BL20">
        <v>10</v>
      </c>
      <c r="BM20">
        <f t="shared" si="23"/>
        <v>1</v>
      </c>
    </row>
    <row r="21" spans="1:65" x14ac:dyDescent="0.3">
      <c r="A21" t="str">
        <f>B3</f>
        <v>Portuguesa</v>
      </c>
      <c r="B21" t="s">
        <v>28</v>
      </c>
      <c r="C21" t="str">
        <f>B10</f>
        <v>Santos</v>
      </c>
      <c r="L21" t="s">
        <v>72</v>
      </c>
      <c r="W21" t="str">
        <f>X10</f>
        <v>EC São Bernardo</v>
      </c>
      <c r="X21" t="s">
        <v>29</v>
      </c>
      <c r="Y21" t="str">
        <f>X3</f>
        <v>Paulista</v>
      </c>
      <c r="AA21" t="str">
        <f>X3</f>
        <v>Paulista</v>
      </c>
      <c r="AB21" t="s">
        <v>31</v>
      </c>
      <c r="AC21" t="str">
        <f>X10</f>
        <v>EC São Bernardo</v>
      </c>
      <c r="AH21" t="str">
        <f>AI10</f>
        <v>São-Carlense</v>
      </c>
      <c r="AI21" t="s">
        <v>36</v>
      </c>
      <c r="AJ21" t="str">
        <f>AI3</f>
        <v>Inter de Bebedouro</v>
      </c>
      <c r="AL21" t="str">
        <f>AI3</f>
        <v>Inter de Bebedouro</v>
      </c>
      <c r="AM21" t="s">
        <v>43</v>
      </c>
      <c r="AN21" t="str">
        <f>AI10</f>
        <v>São-Carlense</v>
      </c>
      <c r="BD21" t="s">
        <v>17</v>
      </c>
      <c r="BE21" t="s">
        <v>753</v>
      </c>
      <c r="BF21" s="2">
        <f>BH21*3+BI21</f>
        <v>3</v>
      </c>
      <c r="BG21">
        <v>6</v>
      </c>
      <c r="BH21">
        <v>1</v>
      </c>
      <c r="BI21">
        <v>0</v>
      </c>
      <c r="BJ21">
        <f t="shared" si="22"/>
        <v>5</v>
      </c>
      <c r="BK21">
        <v>4</v>
      </c>
      <c r="BL21">
        <v>9</v>
      </c>
      <c r="BM21">
        <f t="shared" si="23"/>
        <v>-5</v>
      </c>
    </row>
    <row r="22" spans="1:65" x14ac:dyDescent="0.3">
      <c r="A22" t="str">
        <f>B4</f>
        <v>Corinthians</v>
      </c>
      <c r="B22" t="s">
        <v>30</v>
      </c>
      <c r="C22" t="str">
        <f>B9</f>
        <v>São Paulo</v>
      </c>
      <c r="L22" t="s">
        <v>1</v>
      </c>
      <c r="M22" t="s">
        <v>2</v>
      </c>
      <c r="N22" t="s">
        <v>3</v>
      </c>
      <c r="O22" t="s">
        <v>4</v>
      </c>
      <c r="P22" t="s">
        <v>5</v>
      </c>
      <c r="Q22" t="s">
        <v>6</v>
      </c>
      <c r="R22" t="s">
        <v>7</v>
      </c>
      <c r="S22" t="s">
        <v>8</v>
      </c>
      <c r="T22" t="s">
        <v>9</v>
      </c>
      <c r="U22" t="s">
        <v>10</v>
      </c>
      <c r="W22" t="str">
        <f>X9</f>
        <v>Rio Claro</v>
      </c>
      <c r="X22" t="s">
        <v>30</v>
      </c>
      <c r="Y22" t="str">
        <f>X4</f>
        <v>Catanduva</v>
      </c>
      <c r="AA22" t="str">
        <f>X4</f>
        <v>Catanduva</v>
      </c>
      <c r="AB22" t="s">
        <v>44</v>
      </c>
      <c r="AC22" t="str">
        <f>X9</f>
        <v>Rio Claro</v>
      </c>
      <c r="AH22" t="str">
        <f>AI9</f>
        <v>XV de Jaú</v>
      </c>
      <c r="AI22" t="s">
        <v>69</v>
      </c>
      <c r="AJ22" t="str">
        <f>AI4</f>
        <v>Tanabi</v>
      </c>
      <c r="AL22" t="str">
        <f>AI4</f>
        <v>Tanabi</v>
      </c>
      <c r="AM22" t="s">
        <v>28</v>
      </c>
      <c r="AN22" t="str">
        <f>AI9</f>
        <v>XV de Jaú</v>
      </c>
      <c r="AS22" t="s">
        <v>254</v>
      </c>
    </row>
    <row r="23" spans="1:65" x14ac:dyDescent="0.3">
      <c r="A23" t="str">
        <f>B5</f>
        <v>Novorizontino</v>
      </c>
      <c r="B23" t="s">
        <v>69</v>
      </c>
      <c r="C23" t="str">
        <f>B8</f>
        <v>São Bernardo</v>
      </c>
      <c r="L23" s="1" t="s">
        <v>11</v>
      </c>
      <c r="M23" t="s">
        <v>743</v>
      </c>
      <c r="N23" s="2">
        <f>P23*3+Q23</f>
        <v>13</v>
      </c>
      <c r="O23">
        <v>6</v>
      </c>
      <c r="P23">
        <v>4</v>
      </c>
      <c r="Q23">
        <v>1</v>
      </c>
      <c r="R23">
        <f>O23-P23-Q23</f>
        <v>1</v>
      </c>
      <c r="S23">
        <v>10</v>
      </c>
      <c r="T23">
        <v>4</v>
      </c>
      <c r="U23">
        <f>S23-T23</f>
        <v>6</v>
      </c>
      <c r="W23" t="str">
        <f>X8</f>
        <v>Francana</v>
      </c>
      <c r="X23" t="s">
        <v>30</v>
      </c>
      <c r="Y23" t="str">
        <f>X5</f>
        <v>Osasco Sporting</v>
      </c>
      <c r="AA23" t="str">
        <f>X5</f>
        <v>Osasco Sporting</v>
      </c>
      <c r="AB23" t="s">
        <v>303</v>
      </c>
      <c r="AC23" t="str">
        <f>X8</f>
        <v>Francana</v>
      </c>
      <c r="AH23" t="str">
        <f>AI8</f>
        <v>Colorado Caieiras</v>
      </c>
      <c r="AI23" t="s">
        <v>44</v>
      </c>
      <c r="AJ23" t="str">
        <f>AI5</f>
        <v>Guarulhos</v>
      </c>
      <c r="AL23" t="str">
        <f>AI5</f>
        <v>Guarulhos</v>
      </c>
      <c r="AM23" t="s">
        <v>44</v>
      </c>
      <c r="AN23" t="str">
        <f>AI8</f>
        <v>Colorado Caieiras</v>
      </c>
      <c r="AS23" t="s">
        <v>1</v>
      </c>
      <c r="AT23" t="s">
        <v>2</v>
      </c>
      <c r="AU23" t="s">
        <v>3</v>
      </c>
      <c r="AV23" t="s">
        <v>4</v>
      </c>
      <c r="AW23" t="s">
        <v>5</v>
      </c>
      <c r="AX23" t="s">
        <v>6</v>
      </c>
      <c r="AY23" t="s">
        <v>7</v>
      </c>
      <c r="AZ23" t="s">
        <v>8</v>
      </c>
      <c r="BA23" t="s">
        <v>9</v>
      </c>
      <c r="BB23" t="s">
        <v>10</v>
      </c>
      <c r="BD23" t="s">
        <v>419</v>
      </c>
    </row>
    <row r="24" spans="1:65" x14ac:dyDescent="0.3">
      <c r="A24" t="str">
        <f>B6</f>
        <v>Ituano</v>
      </c>
      <c r="B24" t="s">
        <v>74</v>
      </c>
      <c r="C24" t="str">
        <f>B7</f>
        <v>Capivariano</v>
      </c>
      <c r="L24" s="1" t="s">
        <v>13</v>
      </c>
      <c r="M24" t="s">
        <v>741</v>
      </c>
      <c r="N24" s="2">
        <f>P24*3+Q24</f>
        <v>11</v>
      </c>
      <c r="O24">
        <v>6</v>
      </c>
      <c r="P24">
        <v>3</v>
      </c>
      <c r="Q24">
        <v>2</v>
      </c>
      <c r="R24">
        <f t="shared" ref="R24:R26" si="24">O24-P24-Q24</f>
        <v>1</v>
      </c>
      <c r="S24">
        <v>8</v>
      </c>
      <c r="T24">
        <v>7</v>
      </c>
      <c r="U24">
        <f t="shared" ref="U24:U26" si="25">S24-T24</f>
        <v>1</v>
      </c>
      <c r="W24" t="str">
        <f>X7</f>
        <v>União Suzano</v>
      </c>
      <c r="X24" t="s">
        <v>303</v>
      </c>
      <c r="Y24" t="str">
        <f>X6</f>
        <v>Rio Preto</v>
      </c>
      <c r="AA24" t="str">
        <f>X6</f>
        <v>Rio Preto</v>
      </c>
      <c r="AB24" t="s">
        <v>44</v>
      </c>
      <c r="AC24" t="str">
        <f>X7</f>
        <v>União Suzano</v>
      </c>
      <c r="AH24" t="str">
        <f>AI7</f>
        <v>Jacareí</v>
      </c>
      <c r="AI24" t="s">
        <v>65</v>
      </c>
      <c r="AJ24" t="str">
        <f>AI6</f>
        <v>Lemense</v>
      </c>
      <c r="AL24" t="str">
        <f>AI6</f>
        <v>Lemense</v>
      </c>
      <c r="AM24" t="s">
        <v>30</v>
      </c>
      <c r="AN24" t="str">
        <f>AI7</f>
        <v>Jacareí</v>
      </c>
      <c r="AS24" s="1" t="s">
        <v>11</v>
      </c>
      <c r="AT24" t="s">
        <v>792</v>
      </c>
      <c r="AU24" s="2">
        <f t="shared" ref="AU24:AU29" si="26">AW24*3+AX24</f>
        <v>18</v>
      </c>
      <c r="AV24">
        <v>10</v>
      </c>
      <c r="AW24">
        <v>5</v>
      </c>
      <c r="AX24">
        <v>3</v>
      </c>
      <c r="AY24">
        <f t="shared" ref="AY24:AY29" si="27">AV24-AW24-AX24</f>
        <v>2</v>
      </c>
      <c r="AZ24">
        <v>23</v>
      </c>
      <c r="BA24">
        <v>17</v>
      </c>
      <c r="BB24">
        <f t="shared" ref="BB24:BB29" si="28">AZ24-BA24</f>
        <v>6</v>
      </c>
      <c r="BD24" t="s">
        <v>1</v>
      </c>
      <c r="BE24" t="s">
        <v>2</v>
      </c>
      <c r="BF24" t="s">
        <v>3</v>
      </c>
      <c r="BG24" t="s">
        <v>4</v>
      </c>
      <c r="BH24" t="s">
        <v>5</v>
      </c>
      <c r="BI24" t="s">
        <v>6</v>
      </c>
      <c r="BJ24" t="s">
        <v>7</v>
      </c>
      <c r="BK24" t="s">
        <v>8</v>
      </c>
      <c r="BL24" t="s">
        <v>9</v>
      </c>
      <c r="BM24" t="s">
        <v>10</v>
      </c>
    </row>
    <row r="25" spans="1:65" x14ac:dyDescent="0.3">
      <c r="L25" t="s">
        <v>15</v>
      </c>
      <c r="M25" t="s">
        <v>738</v>
      </c>
      <c r="N25" s="2">
        <f>P25*3+Q25</f>
        <v>7</v>
      </c>
      <c r="O25">
        <v>6</v>
      </c>
      <c r="P25">
        <v>2</v>
      </c>
      <c r="Q25">
        <v>1</v>
      </c>
      <c r="R25">
        <f t="shared" si="24"/>
        <v>3</v>
      </c>
      <c r="S25">
        <v>7</v>
      </c>
      <c r="T25">
        <v>9</v>
      </c>
      <c r="U25">
        <f t="shared" si="25"/>
        <v>-2</v>
      </c>
      <c r="AS25" s="1" t="s">
        <v>13</v>
      </c>
      <c r="AT25" t="s">
        <v>497</v>
      </c>
      <c r="AU25" s="2">
        <f t="shared" si="26"/>
        <v>18</v>
      </c>
      <c r="AV25">
        <v>10</v>
      </c>
      <c r="AW25">
        <v>5</v>
      </c>
      <c r="AX25">
        <v>3</v>
      </c>
      <c r="AY25">
        <f t="shared" si="27"/>
        <v>2</v>
      </c>
      <c r="AZ25">
        <v>17</v>
      </c>
      <c r="BA25">
        <v>12</v>
      </c>
      <c r="BB25">
        <f t="shared" si="28"/>
        <v>5</v>
      </c>
      <c r="BD25" s="1" t="s">
        <v>11</v>
      </c>
      <c r="BE25" t="s">
        <v>738</v>
      </c>
      <c r="BF25" s="2">
        <f>BH25*3+BI25</f>
        <v>11</v>
      </c>
      <c r="BG25">
        <v>6</v>
      </c>
      <c r="BH25">
        <v>3</v>
      </c>
      <c r="BI25">
        <v>2</v>
      </c>
      <c r="BJ25">
        <f t="shared" ref="BJ25:BJ28" si="29">BG25-BH25-BI25</f>
        <v>1</v>
      </c>
      <c r="BK25">
        <v>4</v>
      </c>
      <c r="BL25">
        <v>3</v>
      </c>
      <c r="BM25">
        <f t="shared" ref="BM25:BM28" si="30">BK25-BL25</f>
        <v>1</v>
      </c>
    </row>
    <row r="26" spans="1:65" x14ac:dyDescent="0.3">
      <c r="A26" t="s">
        <v>27</v>
      </c>
      <c r="L26" t="s">
        <v>17</v>
      </c>
      <c r="M26" t="s">
        <v>737</v>
      </c>
      <c r="N26" s="2">
        <f>P26*3+Q26</f>
        <v>3</v>
      </c>
      <c r="O26">
        <v>6</v>
      </c>
      <c r="P26">
        <v>1</v>
      </c>
      <c r="Q26">
        <v>0</v>
      </c>
      <c r="R26">
        <f t="shared" si="24"/>
        <v>5</v>
      </c>
      <c r="S26">
        <v>1</v>
      </c>
      <c r="T26">
        <v>6</v>
      </c>
      <c r="U26">
        <f t="shared" si="25"/>
        <v>-5</v>
      </c>
      <c r="W26" t="s">
        <v>27</v>
      </c>
      <c r="AH26" t="s">
        <v>27</v>
      </c>
      <c r="AS26" s="1" t="s">
        <v>15</v>
      </c>
      <c r="AT26" t="s">
        <v>793</v>
      </c>
      <c r="AU26" s="2">
        <f t="shared" si="26"/>
        <v>13</v>
      </c>
      <c r="AV26">
        <v>10</v>
      </c>
      <c r="AW26">
        <v>3</v>
      </c>
      <c r="AX26">
        <v>4</v>
      </c>
      <c r="AY26">
        <f t="shared" si="27"/>
        <v>3</v>
      </c>
      <c r="AZ26">
        <v>16</v>
      </c>
      <c r="BA26">
        <v>14</v>
      </c>
      <c r="BB26">
        <f t="shared" si="28"/>
        <v>2</v>
      </c>
      <c r="BD26" s="4" t="s">
        <v>13</v>
      </c>
      <c r="BE26" t="s">
        <v>742</v>
      </c>
      <c r="BF26" s="2">
        <f>BH26*3+BI26</f>
        <v>10</v>
      </c>
      <c r="BG26">
        <v>6</v>
      </c>
      <c r="BH26">
        <v>3</v>
      </c>
      <c r="BI26">
        <v>1</v>
      </c>
      <c r="BJ26">
        <f t="shared" si="29"/>
        <v>2</v>
      </c>
      <c r="BK26">
        <v>8</v>
      </c>
      <c r="BL26">
        <v>5</v>
      </c>
      <c r="BM26">
        <f t="shared" si="30"/>
        <v>3</v>
      </c>
    </row>
    <row r="27" spans="1:65" x14ac:dyDescent="0.3">
      <c r="A27" t="s">
        <v>732</v>
      </c>
      <c r="B27" t="s">
        <v>36</v>
      </c>
      <c r="C27" t="s">
        <v>110</v>
      </c>
      <c r="W27" t="s">
        <v>759</v>
      </c>
      <c r="X27" t="s">
        <v>43</v>
      </c>
      <c r="Y27" t="s">
        <v>756</v>
      </c>
      <c r="AA27" t="s">
        <v>756</v>
      </c>
      <c r="AB27" t="s">
        <v>28</v>
      </c>
      <c r="AC27" t="s">
        <v>759</v>
      </c>
      <c r="AH27" t="s">
        <v>769</v>
      </c>
      <c r="AI27" t="s">
        <v>30</v>
      </c>
      <c r="AJ27" t="s">
        <v>768</v>
      </c>
      <c r="AL27" t="s">
        <v>768</v>
      </c>
      <c r="AM27" t="s">
        <v>44</v>
      </c>
      <c r="AN27" t="s">
        <v>769</v>
      </c>
      <c r="AS27" s="1" t="s">
        <v>17</v>
      </c>
      <c r="AT27" t="s">
        <v>794</v>
      </c>
      <c r="AU27" s="2">
        <f t="shared" si="26"/>
        <v>12</v>
      </c>
      <c r="AV27">
        <v>10</v>
      </c>
      <c r="AW27">
        <v>3</v>
      </c>
      <c r="AX27">
        <v>3</v>
      </c>
      <c r="AY27">
        <f t="shared" si="27"/>
        <v>4</v>
      </c>
      <c r="AZ27">
        <v>13</v>
      </c>
      <c r="BA27">
        <v>12</v>
      </c>
      <c r="BB27">
        <f t="shared" si="28"/>
        <v>1</v>
      </c>
      <c r="BD27" s="4" t="s">
        <v>15</v>
      </c>
      <c r="BE27" t="s">
        <v>112</v>
      </c>
      <c r="BF27" s="2">
        <f>BH27*3+BI27</f>
        <v>8</v>
      </c>
      <c r="BG27">
        <v>6</v>
      </c>
      <c r="BH27">
        <v>2</v>
      </c>
      <c r="BI27">
        <v>2</v>
      </c>
      <c r="BJ27">
        <f t="shared" si="29"/>
        <v>2</v>
      </c>
      <c r="BK27">
        <v>6</v>
      </c>
      <c r="BL27">
        <v>6</v>
      </c>
      <c r="BM27">
        <f t="shared" si="30"/>
        <v>0</v>
      </c>
    </row>
    <row r="28" spans="1:65" x14ac:dyDescent="0.3">
      <c r="A28" t="s">
        <v>733</v>
      </c>
      <c r="B28" t="s">
        <v>28</v>
      </c>
      <c r="C28" t="s">
        <v>729</v>
      </c>
      <c r="L28" t="s">
        <v>73</v>
      </c>
      <c r="W28" t="s">
        <v>758</v>
      </c>
      <c r="X28" t="s">
        <v>28</v>
      </c>
      <c r="Y28" t="s">
        <v>757</v>
      </c>
      <c r="AA28" t="s">
        <v>757</v>
      </c>
      <c r="AB28" t="s">
        <v>54</v>
      </c>
      <c r="AC28" t="s">
        <v>758</v>
      </c>
      <c r="AH28" t="s">
        <v>773</v>
      </c>
      <c r="AI28" t="s">
        <v>44</v>
      </c>
      <c r="AJ28" t="s">
        <v>771</v>
      </c>
      <c r="AL28" t="s">
        <v>771</v>
      </c>
      <c r="AM28" t="s">
        <v>29</v>
      </c>
      <c r="AN28" t="s">
        <v>773</v>
      </c>
      <c r="AS28" t="s">
        <v>19</v>
      </c>
      <c r="AT28" t="s">
        <v>795</v>
      </c>
      <c r="AU28" s="2">
        <f t="shared" si="26"/>
        <v>11</v>
      </c>
      <c r="AV28">
        <v>10</v>
      </c>
      <c r="AW28">
        <v>3</v>
      </c>
      <c r="AX28">
        <v>2</v>
      </c>
      <c r="AY28">
        <f t="shared" si="27"/>
        <v>5</v>
      </c>
      <c r="AZ28">
        <v>13</v>
      </c>
      <c r="BA28">
        <v>17</v>
      </c>
      <c r="BB28">
        <f t="shared" si="28"/>
        <v>-4</v>
      </c>
      <c r="BD28" t="s">
        <v>17</v>
      </c>
      <c r="BE28" t="s">
        <v>722</v>
      </c>
      <c r="BF28" s="2">
        <f>BH28*3+BI28</f>
        <v>4</v>
      </c>
      <c r="BG28">
        <v>6</v>
      </c>
      <c r="BH28">
        <v>1</v>
      </c>
      <c r="BI28">
        <v>1</v>
      </c>
      <c r="BJ28">
        <f t="shared" si="29"/>
        <v>4</v>
      </c>
      <c r="BK28">
        <v>4</v>
      </c>
      <c r="BL28">
        <v>8</v>
      </c>
      <c r="BM28">
        <f t="shared" si="30"/>
        <v>-4</v>
      </c>
    </row>
    <row r="29" spans="1:65" x14ac:dyDescent="0.3">
      <c r="L29" t="s">
        <v>1</v>
      </c>
      <c r="M29" t="s">
        <v>2</v>
      </c>
      <c r="N29" t="s">
        <v>3</v>
      </c>
      <c r="O29" t="s">
        <v>4</v>
      </c>
      <c r="P29" t="s">
        <v>5</v>
      </c>
      <c r="Q29" t="s">
        <v>6</v>
      </c>
      <c r="R29" t="s">
        <v>7</v>
      </c>
      <c r="S29" t="s">
        <v>8</v>
      </c>
      <c r="T29" t="s">
        <v>9</v>
      </c>
      <c r="U29" t="s">
        <v>10</v>
      </c>
      <c r="AS29" t="s">
        <v>21</v>
      </c>
      <c r="AT29" t="s">
        <v>136</v>
      </c>
      <c r="AU29" s="2">
        <f t="shared" si="26"/>
        <v>10</v>
      </c>
      <c r="AV29">
        <v>10</v>
      </c>
      <c r="AW29">
        <v>3</v>
      </c>
      <c r="AX29">
        <v>1</v>
      </c>
      <c r="AY29">
        <f t="shared" si="27"/>
        <v>6</v>
      </c>
      <c r="AZ29">
        <v>7</v>
      </c>
      <c r="BA29">
        <v>17</v>
      </c>
      <c r="BB29">
        <f t="shared" si="28"/>
        <v>-10</v>
      </c>
    </row>
    <row r="30" spans="1:65" x14ac:dyDescent="0.3">
      <c r="A30" t="s">
        <v>33</v>
      </c>
      <c r="L30" s="1" t="s">
        <v>11</v>
      </c>
      <c r="M30" t="s">
        <v>739</v>
      </c>
      <c r="N30" s="2">
        <f>P30*3+Q30</f>
        <v>12</v>
      </c>
      <c r="O30">
        <v>6</v>
      </c>
      <c r="P30">
        <v>4</v>
      </c>
      <c r="Q30">
        <v>0</v>
      </c>
      <c r="R30">
        <f>O30-P30-Q30</f>
        <v>2</v>
      </c>
      <c r="S30">
        <v>6</v>
      </c>
      <c r="T30">
        <v>5</v>
      </c>
      <c r="U30">
        <f>S30-T30</f>
        <v>1</v>
      </c>
      <c r="W30" t="s">
        <v>33</v>
      </c>
      <c r="AH30" t="s">
        <v>33</v>
      </c>
      <c r="BD30" t="s">
        <v>806</v>
      </c>
    </row>
    <row r="31" spans="1:65" x14ac:dyDescent="0.3">
      <c r="A31" t="s">
        <v>729</v>
      </c>
      <c r="B31" t="s">
        <v>31</v>
      </c>
      <c r="C31" t="s">
        <v>732</v>
      </c>
      <c r="E31" t="s">
        <v>732</v>
      </c>
      <c r="F31" t="s">
        <v>735</v>
      </c>
      <c r="G31" t="s">
        <v>729</v>
      </c>
      <c r="L31" s="1" t="s">
        <v>13</v>
      </c>
      <c r="M31" t="s">
        <v>742</v>
      </c>
      <c r="N31" s="2">
        <f>P31*3+Q31</f>
        <v>10</v>
      </c>
      <c r="O31">
        <v>6</v>
      </c>
      <c r="P31">
        <v>3</v>
      </c>
      <c r="Q31">
        <v>1</v>
      </c>
      <c r="R31">
        <f t="shared" ref="R31:R33" si="31">O31-P31-Q31</f>
        <v>2</v>
      </c>
      <c r="S31">
        <v>9</v>
      </c>
      <c r="T31">
        <v>7</v>
      </c>
      <c r="U31">
        <f t="shared" ref="U31:U33" si="32">S31-T31</f>
        <v>2</v>
      </c>
      <c r="W31" t="s">
        <v>759</v>
      </c>
      <c r="X31" t="s">
        <v>44</v>
      </c>
      <c r="Y31" t="s">
        <v>757</v>
      </c>
      <c r="AA31" t="s">
        <v>757</v>
      </c>
      <c r="AB31" t="s">
        <v>36</v>
      </c>
      <c r="AC31" t="s">
        <v>759</v>
      </c>
      <c r="AH31" t="s">
        <v>771</v>
      </c>
      <c r="AI31" t="s">
        <v>31</v>
      </c>
      <c r="AJ31" t="s">
        <v>769</v>
      </c>
      <c r="AL31" t="s">
        <v>769</v>
      </c>
      <c r="AM31" t="s">
        <v>57</v>
      </c>
      <c r="AN31" t="s">
        <v>771</v>
      </c>
      <c r="AS31" t="s">
        <v>419</v>
      </c>
      <c r="BD31" t="s">
        <v>727</v>
      </c>
      <c r="BE31" t="s">
        <v>43</v>
      </c>
      <c r="BF31" t="s">
        <v>764</v>
      </c>
      <c r="BH31" t="s">
        <v>764</v>
      </c>
      <c r="BI31" t="s">
        <v>807</v>
      </c>
      <c r="BJ31" t="s">
        <v>727</v>
      </c>
    </row>
    <row r="32" spans="1:65" x14ac:dyDescent="0.3">
      <c r="L32" t="s">
        <v>15</v>
      </c>
      <c r="M32" t="s">
        <v>740</v>
      </c>
      <c r="N32" s="2">
        <f>P32*3+Q32</f>
        <v>9</v>
      </c>
      <c r="O32">
        <v>6</v>
      </c>
      <c r="P32">
        <v>3</v>
      </c>
      <c r="Q32">
        <v>0</v>
      </c>
      <c r="R32">
        <f t="shared" si="31"/>
        <v>3</v>
      </c>
      <c r="S32">
        <v>4</v>
      </c>
      <c r="T32">
        <v>6</v>
      </c>
      <c r="U32">
        <f t="shared" si="32"/>
        <v>-2</v>
      </c>
      <c r="AS32" t="s">
        <v>1</v>
      </c>
      <c r="AT32" t="s">
        <v>2</v>
      </c>
      <c r="AU32" t="s">
        <v>3</v>
      </c>
      <c r="AV32" t="s">
        <v>4</v>
      </c>
      <c r="AW32" t="s">
        <v>5</v>
      </c>
      <c r="AX32" t="s">
        <v>6</v>
      </c>
      <c r="AY32" t="s">
        <v>7</v>
      </c>
      <c r="AZ32" t="s">
        <v>8</v>
      </c>
      <c r="BA32" t="s">
        <v>9</v>
      </c>
      <c r="BB32" t="s">
        <v>10</v>
      </c>
      <c r="BD32" t="s">
        <v>112</v>
      </c>
      <c r="BE32" t="s">
        <v>43</v>
      </c>
      <c r="BF32" t="s">
        <v>742</v>
      </c>
      <c r="BH32" t="s">
        <v>742</v>
      </c>
      <c r="BI32" t="s">
        <v>54</v>
      </c>
      <c r="BJ32" t="s">
        <v>112</v>
      </c>
    </row>
    <row r="33" spans="1:62" x14ac:dyDescent="0.3">
      <c r="A33" t="s">
        <v>38</v>
      </c>
      <c r="L33" t="s">
        <v>17</v>
      </c>
      <c r="M33" t="s">
        <v>337</v>
      </c>
      <c r="N33" s="2">
        <f>P33*3+Q33</f>
        <v>4</v>
      </c>
      <c r="O33">
        <v>6</v>
      </c>
      <c r="P33">
        <v>1</v>
      </c>
      <c r="Q33">
        <v>1</v>
      </c>
      <c r="R33">
        <f t="shared" si="31"/>
        <v>4</v>
      </c>
      <c r="S33">
        <v>6</v>
      </c>
      <c r="T33">
        <v>7</v>
      </c>
      <c r="U33">
        <f t="shared" si="32"/>
        <v>-1</v>
      </c>
      <c r="AS33" s="1" t="s">
        <v>11</v>
      </c>
      <c r="AT33" t="s">
        <v>796</v>
      </c>
      <c r="AU33" s="2">
        <f t="shared" ref="AU33:AU38" si="33">AW33*3+AX33</f>
        <v>19</v>
      </c>
      <c r="AV33">
        <v>10</v>
      </c>
      <c r="AW33">
        <v>5</v>
      </c>
      <c r="AX33">
        <v>4</v>
      </c>
      <c r="AY33">
        <f t="shared" ref="AY33:AY38" si="34">AV33-AW33-AX33</f>
        <v>1</v>
      </c>
      <c r="AZ33">
        <v>24</v>
      </c>
      <c r="BA33">
        <v>17</v>
      </c>
      <c r="BB33">
        <f t="shared" ref="BB33:BB38" si="35">AZ33-BA33</f>
        <v>7</v>
      </c>
      <c r="BD33" t="s">
        <v>763</v>
      </c>
      <c r="BE33" t="s">
        <v>30</v>
      </c>
      <c r="BF33" t="s">
        <v>744</v>
      </c>
      <c r="BH33" t="s">
        <v>744</v>
      </c>
      <c r="BI33" t="s">
        <v>36</v>
      </c>
      <c r="BJ33" t="s">
        <v>763</v>
      </c>
    </row>
    <row r="34" spans="1:62" x14ac:dyDescent="0.3">
      <c r="A34" t="s">
        <v>118</v>
      </c>
      <c r="AS34" s="1" t="s">
        <v>13</v>
      </c>
      <c r="AT34" t="s">
        <v>797</v>
      </c>
      <c r="AU34" s="2">
        <f t="shared" si="33"/>
        <v>15</v>
      </c>
      <c r="AV34">
        <v>10</v>
      </c>
      <c r="AW34">
        <v>4</v>
      </c>
      <c r="AX34">
        <v>3</v>
      </c>
      <c r="AY34">
        <f t="shared" si="34"/>
        <v>3</v>
      </c>
      <c r="AZ34">
        <v>18</v>
      </c>
      <c r="BA34">
        <v>16</v>
      </c>
      <c r="BB34">
        <f t="shared" si="35"/>
        <v>2</v>
      </c>
      <c r="BD34" t="s">
        <v>726</v>
      </c>
      <c r="BE34" t="s">
        <v>44</v>
      </c>
      <c r="BF34" t="s">
        <v>741</v>
      </c>
      <c r="BH34" t="s">
        <v>741</v>
      </c>
      <c r="BI34" t="s">
        <v>69</v>
      </c>
      <c r="BJ34" t="s">
        <v>726</v>
      </c>
    </row>
    <row r="35" spans="1:62" x14ac:dyDescent="0.3">
      <c r="A35" t="s">
        <v>723</v>
      </c>
      <c r="L35" t="s">
        <v>27</v>
      </c>
      <c r="AS35" s="1" t="s">
        <v>15</v>
      </c>
      <c r="AT35" t="s">
        <v>798</v>
      </c>
      <c r="AU35" s="2">
        <f t="shared" si="33"/>
        <v>13</v>
      </c>
      <c r="AV35">
        <v>10</v>
      </c>
      <c r="AW35">
        <v>3</v>
      </c>
      <c r="AX35">
        <v>4</v>
      </c>
      <c r="AY35">
        <f t="shared" si="34"/>
        <v>3</v>
      </c>
      <c r="AZ35">
        <v>15</v>
      </c>
      <c r="BA35">
        <v>16</v>
      </c>
      <c r="BB35">
        <f t="shared" si="35"/>
        <v>-1</v>
      </c>
    </row>
    <row r="36" spans="1:62" x14ac:dyDescent="0.3">
      <c r="A36" t="s">
        <v>727</v>
      </c>
      <c r="L36" t="s">
        <v>743</v>
      </c>
      <c r="M36" t="s">
        <v>44</v>
      </c>
      <c r="N36" t="s">
        <v>742</v>
      </c>
      <c r="P36" t="s">
        <v>742</v>
      </c>
      <c r="Q36" t="s">
        <v>54</v>
      </c>
      <c r="R36" t="s">
        <v>743</v>
      </c>
      <c r="AS36" s="1" t="s">
        <v>17</v>
      </c>
      <c r="AT36" t="s">
        <v>799</v>
      </c>
      <c r="AU36" s="2">
        <f t="shared" si="33"/>
        <v>12</v>
      </c>
      <c r="AV36">
        <v>10</v>
      </c>
      <c r="AW36">
        <v>3</v>
      </c>
      <c r="AX36">
        <v>3</v>
      </c>
      <c r="AY36">
        <f t="shared" si="34"/>
        <v>4</v>
      </c>
      <c r="AZ36">
        <v>13</v>
      </c>
      <c r="BA36">
        <v>12</v>
      </c>
      <c r="BB36">
        <f t="shared" si="35"/>
        <v>1</v>
      </c>
      <c r="BD36" t="s">
        <v>221</v>
      </c>
    </row>
    <row r="37" spans="1:62" x14ac:dyDescent="0.3">
      <c r="A37" t="s">
        <v>337</v>
      </c>
      <c r="L37" t="s">
        <v>741</v>
      </c>
      <c r="M37" t="s">
        <v>36</v>
      </c>
      <c r="N37" t="s">
        <v>739</v>
      </c>
      <c r="P37" t="s">
        <v>739</v>
      </c>
      <c r="Q37" t="s">
        <v>43</v>
      </c>
      <c r="R37" t="s">
        <v>741</v>
      </c>
      <c r="AS37" t="s">
        <v>19</v>
      </c>
      <c r="AT37" t="s">
        <v>800</v>
      </c>
      <c r="AU37" s="2">
        <f t="shared" si="33"/>
        <v>12</v>
      </c>
      <c r="AV37">
        <v>10</v>
      </c>
      <c r="AW37">
        <v>3</v>
      </c>
      <c r="AX37">
        <v>3</v>
      </c>
      <c r="AY37">
        <f t="shared" si="34"/>
        <v>4</v>
      </c>
      <c r="AZ37">
        <v>16</v>
      </c>
      <c r="BA37">
        <v>19</v>
      </c>
      <c r="BB37">
        <f t="shared" si="35"/>
        <v>-3</v>
      </c>
      <c r="BD37" t="s">
        <v>726</v>
      </c>
      <c r="BE37" t="s">
        <v>44</v>
      </c>
      <c r="BF37" t="s">
        <v>337</v>
      </c>
      <c r="BH37" t="s">
        <v>337</v>
      </c>
      <c r="BI37" t="s">
        <v>30</v>
      </c>
      <c r="BJ37" t="s">
        <v>726</v>
      </c>
    </row>
    <row r="38" spans="1:62" x14ac:dyDescent="0.3">
      <c r="AS38" t="s">
        <v>21</v>
      </c>
      <c r="AT38" t="s">
        <v>111</v>
      </c>
      <c r="AU38" s="2">
        <f t="shared" si="33"/>
        <v>9</v>
      </c>
      <c r="AV38">
        <v>10</v>
      </c>
      <c r="AW38">
        <v>2</v>
      </c>
      <c r="AX38">
        <v>3</v>
      </c>
      <c r="AY38">
        <f t="shared" si="34"/>
        <v>5</v>
      </c>
      <c r="AZ38">
        <v>12</v>
      </c>
      <c r="BA38">
        <v>18</v>
      </c>
      <c r="BB38">
        <f t="shared" si="35"/>
        <v>-6</v>
      </c>
      <c r="BD38" t="s">
        <v>744</v>
      </c>
      <c r="BE38" t="s">
        <v>43</v>
      </c>
      <c r="BF38" t="s">
        <v>764</v>
      </c>
      <c r="BH38" t="s">
        <v>764</v>
      </c>
      <c r="BI38" t="s">
        <v>54</v>
      </c>
      <c r="BJ38" t="s">
        <v>744</v>
      </c>
    </row>
    <row r="39" spans="1:62" x14ac:dyDescent="0.3">
      <c r="A39" t="s">
        <v>39</v>
      </c>
      <c r="L39" t="s">
        <v>33</v>
      </c>
      <c r="BD39" t="s">
        <v>743</v>
      </c>
      <c r="BE39" t="s">
        <v>31</v>
      </c>
      <c r="BF39" t="s">
        <v>738</v>
      </c>
      <c r="BH39" t="s">
        <v>738</v>
      </c>
      <c r="BI39" t="s">
        <v>74</v>
      </c>
      <c r="BJ39" t="s">
        <v>743</v>
      </c>
    </row>
    <row r="40" spans="1:62" x14ac:dyDescent="0.3">
      <c r="A40" t="s">
        <v>729</v>
      </c>
      <c r="L40" t="s">
        <v>741</v>
      </c>
      <c r="M40" t="s">
        <v>69</v>
      </c>
      <c r="N40" t="s">
        <v>742</v>
      </c>
      <c r="P40" t="s">
        <v>742</v>
      </c>
      <c r="Q40" t="s">
        <v>44</v>
      </c>
      <c r="R40" t="s">
        <v>741</v>
      </c>
      <c r="AS40" t="s">
        <v>169</v>
      </c>
      <c r="BD40" t="s">
        <v>742</v>
      </c>
      <c r="BE40" t="s">
        <v>31</v>
      </c>
      <c r="BF40" t="s">
        <v>737</v>
      </c>
      <c r="BH40" t="s">
        <v>737</v>
      </c>
      <c r="BI40" t="s">
        <v>44</v>
      </c>
      <c r="BJ40" t="s">
        <v>742</v>
      </c>
    </row>
    <row r="41" spans="1:62" x14ac:dyDescent="0.3">
      <c r="A41" t="s">
        <v>732</v>
      </c>
      <c r="AS41" t="s">
        <v>801</v>
      </c>
    </row>
    <row r="42" spans="1:62" x14ac:dyDescent="0.3">
      <c r="A42" t="s">
        <v>733</v>
      </c>
      <c r="AS42" t="s">
        <v>1</v>
      </c>
      <c r="AT42" t="s">
        <v>2</v>
      </c>
      <c r="AU42" t="s">
        <v>3</v>
      </c>
      <c r="AV42" t="s">
        <v>4</v>
      </c>
      <c r="AW42" t="s">
        <v>5</v>
      </c>
      <c r="AX42" t="s">
        <v>6</v>
      </c>
      <c r="AY42" t="s">
        <v>7</v>
      </c>
      <c r="AZ42" t="s">
        <v>8</v>
      </c>
      <c r="BA42" t="s">
        <v>9</v>
      </c>
      <c r="BB42" t="s">
        <v>10</v>
      </c>
      <c r="BD42" t="s">
        <v>27</v>
      </c>
    </row>
    <row r="43" spans="1:62" x14ac:dyDescent="0.3">
      <c r="A43" t="s">
        <v>110</v>
      </c>
      <c r="AS43" s="1" t="s">
        <v>11</v>
      </c>
      <c r="AT43" t="s">
        <v>786</v>
      </c>
      <c r="AU43" s="2">
        <f>AW43*3+AX43</f>
        <v>15</v>
      </c>
      <c r="AV43">
        <v>6</v>
      </c>
      <c r="AW43">
        <v>5</v>
      </c>
      <c r="AX43">
        <v>0</v>
      </c>
      <c r="AY43">
        <f t="shared" ref="AY43:AY46" si="36">AV43-AW43-AX43</f>
        <v>1</v>
      </c>
      <c r="AZ43">
        <v>11</v>
      </c>
      <c r="BA43">
        <v>3</v>
      </c>
      <c r="BB43">
        <f t="shared" ref="BB43:BB46" si="37">AZ43-BA43</f>
        <v>8</v>
      </c>
      <c r="BD43" t="s">
        <v>737</v>
      </c>
      <c r="BE43" t="s">
        <v>57</v>
      </c>
      <c r="BF43" t="s">
        <v>738</v>
      </c>
      <c r="BH43" t="s">
        <v>738</v>
      </c>
      <c r="BI43" t="s">
        <v>30</v>
      </c>
      <c r="BJ43" t="s">
        <v>737</v>
      </c>
    </row>
    <row r="44" spans="1:62" x14ac:dyDescent="0.3">
      <c r="A44" t="s">
        <v>118</v>
      </c>
      <c r="AS44" s="1" t="s">
        <v>13</v>
      </c>
      <c r="AT44" t="s">
        <v>779</v>
      </c>
      <c r="AU44" s="2">
        <f>AW44*3+AX44</f>
        <v>10</v>
      </c>
      <c r="AV44">
        <v>6</v>
      </c>
      <c r="AW44">
        <v>3</v>
      </c>
      <c r="AX44">
        <v>1</v>
      </c>
      <c r="AY44">
        <f t="shared" si="36"/>
        <v>2</v>
      </c>
      <c r="AZ44">
        <v>7</v>
      </c>
      <c r="BA44">
        <v>6</v>
      </c>
      <c r="BB44">
        <f t="shared" si="37"/>
        <v>1</v>
      </c>
      <c r="BD44" t="s">
        <v>764</v>
      </c>
      <c r="BE44" t="s">
        <v>57</v>
      </c>
      <c r="BF44" t="s">
        <v>337</v>
      </c>
      <c r="BH44" t="s">
        <v>337</v>
      </c>
      <c r="BI44" t="s">
        <v>30</v>
      </c>
      <c r="BJ44" t="s">
        <v>764</v>
      </c>
    </row>
    <row r="45" spans="1:62" x14ac:dyDescent="0.3">
      <c r="A45" t="s">
        <v>738</v>
      </c>
      <c r="AS45" t="s">
        <v>15</v>
      </c>
      <c r="AT45" t="s">
        <v>793</v>
      </c>
      <c r="AU45" s="2">
        <f>AW45*3+AX45</f>
        <v>7</v>
      </c>
      <c r="AV45">
        <v>6</v>
      </c>
      <c r="AW45">
        <v>2</v>
      </c>
      <c r="AX45">
        <v>1</v>
      </c>
      <c r="AY45">
        <f t="shared" si="36"/>
        <v>3</v>
      </c>
      <c r="AZ45">
        <v>4</v>
      </c>
      <c r="BA45">
        <v>7</v>
      </c>
      <c r="BB45">
        <f t="shared" si="37"/>
        <v>-3</v>
      </c>
    </row>
    <row r="46" spans="1:62" x14ac:dyDescent="0.3">
      <c r="AS46" t="s">
        <v>17</v>
      </c>
      <c r="AT46" t="s">
        <v>799</v>
      </c>
      <c r="AU46" s="2">
        <f>AW46*3+AX46</f>
        <v>2</v>
      </c>
      <c r="AV46">
        <v>6</v>
      </c>
      <c r="AW46">
        <v>0</v>
      </c>
      <c r="AX46">
        <v>2</v>
      </c>
      <c r="AY46">
        <f t="shared" si="36"/>
        <v>4</v>
      </c>
      <c r="AZ46">
        <v>3</v>
      </c>
      <c r="BA46">
        <v>9</v>
      </c>
      <c r="BB46">
        <f t="shared" si="37"/>
        <v>-6</v>
      </c>
      <c r="BD46" t="s">
        <v>33</v>
      </c>
    </row>
    <row r="47" spans="1:62" x14ac:dyDescent="0.3">
      <c r="BD47" t="s">
        <v>337</v>
      </c>
      <c r="BE47" t="s">
        <v>30</v>
      </c>
      <c r="BF47" t="s">
        <v>738</v>
      </c>
      <c r="BH47" t="s">
        <v>738</v>
      </c>
      <c r="BI47" t="s">
        <v>57</v>
      </c>
      <c r="BJ47" t="s">
        <v>337</v>
      </c>
    </row>
    <row r="48" spans="1:62" x14ac:dyDescent="0.3">
      <c r="AS48" t="s">
        <v>802</v>
      </c>
    </row>
    <row r="49" spans="45:54" x14ac:dyDescent="0.3">
      <c r="AS49" t="s">
        <v>1</v>
      </c>
      <c r="AT49" t="s">
        <v>2</v>
      </c>
      <c r="AU49" t="s">
        <v>3</v>
      </c>
      <c r="AV49" t="s">
        <v>4</v>
      </c>
      <c r="AW49" t="s">
        <v>5</v>
      </c>
      <c r="AX49" t="s">
        <v>6</v>
      </c>
      <c r="AY49" t="s">
        <v>7</v>
      </c>
      <c r="AZ49" t="s">
        <v>8</v>
      </c>
      <c r="BA49" t="s">
        <v>9</v>
      </c>
      <c r="BB49" t="s">
        <v>10</v>
      </c>
    </row>
    <row r="50" spans="45:54" x14ac:dyDescent="0.3">
      <c r="AS50" s="1" t="s">
        <v>11</v>
      </c>
      <c r="AT50" t="s">
        <v>798</v>
      </c>
      <c r="AU50" s="2">
        <f>AW50*3+AX50</f>
        <v>13</v>
      </c>
      <c r="AV50">
        <v>6</v>
      </c>
      <c r="AW50">
        <v>4</v>
      </c>
      <c r="AX50">
        <v>1</v>
      </c>
      <c r="AY50">
        <f t="shared" ref="AY50:AY53" si="38">AV50-AW50-AX50</f>
        <v>1</v>
      </c>
      <c r="AZ50">
        <v>8</v>
      </c>
      <c r="BA50">
        <v>3</v>
      </c>
      <c r="BB50">
        <f t="shared" ref="BB50:BB53" si="39">AZ50-BA50</f>
        <v>5</v>
      </c>
    </row>
    <row r="51" spans="45:54" x14ac:dyDescent="0.3">
      <c r="AS51" s="1" t="s">
        <v>13</v>
      </c>
      <c r="AT51" t="s">
        <v>497</v>
      </c>
      <c r="AU51" s="2">
        <f>AW51*3+AX51</f>
        <v>8</v>
      </c>
      <c r="AV51">
        <v>6</v>
      </c>
      <c r="AW51">
        <v>2</v>
      </c>
      <c r="AX51">
        <v>2</v>
      </c>
      <c r="AY51">
        <f t="shared" si="38"/>
        <v>2</v>
      </c>
      <c r="AZ51">
        <v>7</v>
      </c>
      <c r="BA51">
        <v>6</v>
      </c>
      <c r="BB51">
        <f t="shared" si="39"/>
        <v>1</v>
      </c>
    </row>
    <row r="52" spans="45:54" x14ac:dyDescent="0.3">
      <c r="AS52" t="s">
        <v>15</v>
      </c>
      <c r="AT52" t="s">
        <v>268</v>
      </c>
      <c r="AU52" s="2">
        <f>AW52*3+AX52</f>
        <v>8</v>
      </c>
      <c r="AV52">
        <v>6</v>
      </c>
      <c r="AW52">
        <v>2</v>
      </c>
      <c r="AX52">
        <v>2</v>
      </c>
      <c r="AY52">
        <f t="shared" si="38"/>
        <v>2</v>
      </c>
      <c r="AZ52">
        <v>5</v>
      </c>
      <c r="BA52">
        <v>5</v>
      </c>
      <c r="BB52">
        <f t="shared" si="39"/>
        <v>0</v>
      </c>
    </row>
    <row r="53" spans="45:54" x14ac:dyDescent="0.3">
      <c r="AS53" t="s">
        <v>17</v>
      </c>
      <c r="AT53" t="s">
        <v>785</v>
      </c>
      <c r="AU53" s="2">
        <f>AW53*3+AX53</f>
        <v>3</v>
      </c>
      <c r="AV53">
        <v>6</v>
      </c>
      <c r="AW53">
        <v>0</v>
      </c>
      <c r="AX53">
        <v>3</v>
      </c>
      <c r="AY53">
        <f t="shared" si="38"/>
        <v>3</v>
      </c>
      <c r="AZ53">
        <v>3</v>
      </c>
      <c r="BA53">
        <v>9</v>
      </c>
      <c r="BB53">
        <f t="shared" si="39"/>
        <v>-6</v>
      </c>
    </row>
    <row r="55" spans="45:54" x14ac:dyDescent="0.3">
      <c r="AS55" t="s">
        <v>803</v>
      </c>
    </row>
    <row r="56" spans="45:54" x14ac:dyDescent="0.3">
      <c r="AS56" t="s">
        <v>1</v>
      </c>
      <c r="AT56" t="s">
        <v>2</v>
      </c>
      <c r="AU56" t="s">
        <v>3</v>
      </c>
      <c r="AV56" t="s">
        <v>4</v>
      </c>
      <c r="AW56" t="s">
        <v>5</v>
      </c>
      <c r="AX56" t="s">
        <v>6</v>
      </c>
      <c r="AY56" t="s">
        <v>7</v>
      </c>
      <c r="AZ56" t="s">
        <v>8</v>
      </c>
      <c r="BA56" t="s">
        <v>9</v>
      </c>
      <c r="BB56" t="s">
        <v>10</v>
      </c>
    </row>
    <row r="57" spans="45:54" x14ac:dyDescent="0.3">
      <c r="AS57" s="1" t="s">
        <v>11</v>
      </c>
      <c r="AT57" t="s">
        <v>788</v>
      </c>
      <c r="AU57" s="2">
        <f>AW57*3+AX57</f>
        <v>13</v>
      </c>
      <c r="AV57">
        <v>6</v>
      </c>
      <c r="AW57">
        <v>4</v>
      </c>
      <c r="AX57">
        <v>1</v>
      </c>
      <c r="AY57">
        <f t="shared" ref="AY57:AY60" si="40">AV57-AW57-AX57</f>
        <v>1</v>
      </c>
      <c r="AZ57">
        <v>10</v>
      </c>
      <c r="BA57">
        <v>4</v>
      </c>
      <c r="BB57">
        <f t="shared" ref="BB57:BB60" si="41">AZ57-BA57</f>
        <v>6</v>
      </c>
    </row>
    <row r="58" spans="45:54" x14ac:dyDescent="0.3">
      <c r="AS58" s="1" t="s">
        <v>13</v>
      </c>
      <c r="AT58" t="s">
        <v>781</v>
      </c>
      <c r="AU58" s="2">
        <f>AW58*3+AX58</f>
        <v>9</v>
      </c>
      <c r="AV58">
        <v>6</v>
      </c>
      <c r="AW58">
        <v>3</v>
      </c>
      <c r="AX58">
        <v>0</v>
      </c>
      <c r="AY58">
        <f t="shared" si="40"/>
        <v>3</v>
      </c>
      <c r="AZ58">
        <v>4</v>
      </c>
      <c r="BA58">
        <v>3</v>
      </c>
      <c r="BB58">
        <f t="shared" si="41"/>
        <v>1</v>
      </c>
    </row>
    <row r="59" spans="45:54" x14ac:dyDescent="0.3">
      <c r="AS59" t="s">
        <v>15</v>
      </c>
      <c r="AT59" t="s">
        <v>797</v>
      </c>
      <c r="AU59" s="2">
        <f>AW59*3+AX59</f>
        <v>7</v>
      </c>
      <c r="AV59">
        <v>6</v>
      </c>
      <c r="AW59">
        <v>2</v>
      </c>
      <c r="AX59">
        <v>1</v>
      </c>
      <c r="AY59">
        <f t="shared" si="40"/>
        <v>3</v>
      </c>
      <c r="AZ59">
        <v>8</v>
      </c>
      <c r="BA59">
        <v>10</v>
      </c>
      <c r="BB59">
        <f t="shared" si="41"/>
        <v>-2</v>
      </c>
    </row>
    <row r="60" spans="45:54" x14ac:dyDescent="0.3">
      <c r="AS60" t="s">
        <v>17</v>
      </c>
      <c r="AT60" t="s">
        <v>792</v>
      </c>
      <c r="AU60" s="2">
        <f>AW60*3+AX60</f>
        <v>5</v>
      </c>
      <c r="AV60">
        <v>6</v>
      </c>
      <c r="AW60">
        <v>1</v>
      </c>
      <c r="AX60">
        <v>2</v>
      </c>
      <c r="AY60">
        <f t="shared" si="40"/>
        <v>3</v>
      </c>
      <c r="AZ60">
        <v>4</v>
      </c>
      <c r="BA60">
        <v>9</v>
      </c>
      <c r="BB60">
        <f t="shared" si="41"/>
        <v>-5</v>
      </c>
    </row>
    <row r="62" spans="45:54" x14ac:dyDescent="0.3">
      <c r="AS62" t="s">
        <v>804</v>
      </c>
    </row>
    <row r="63" spans="45:54" x14ac:dyDescent="0.3">
      <c r="AS63" t="s">
        <v>1</v>
      </c>
      <c r="AT63" t="s">
        <v>2</v>
      </c>
      <c r="AU63" t="s">
        <v>3</v>
      </c>
      <c r="AV63" t="s">
        <v>4</v>
      </c>
      <c r="AW63" t="s">
        <v>5</v>
      </c>
      <c r="AX63" t="s">
        <v>6</v>
      </c>
      <c r="AY63" t="s">
        <v>7</v>
      </c>
      <c r="AZ63" t="s">
        <v>8</v>
      </c>
      <c r="BA63" t="s">
        <v>9</v>
      </c>
      <c r="BB63" t="s">
        <v>10</v>
      </c>
    </row>
    <row r="64" spans="45:54" x14ac:dyDescent="0.3">
      <c r="AS64" s="1" t="s">
        <v>11</v>
      </c>
      <c r="AT64" t="s">
        <v>780</v>
      </c>
      <c r="AU64" s="2">
        <f>AW64*3+AX64</f>
        <v>11</v>
      </c>
      <c r="AV64">
        <v>6</v>
      </c>
      <c r="AW64">
        <v>3</v>
      </c>
      <c r="AX64">
        <v>2</v>
      </c>
      <c r="AY64">
        <f t="shared" ref="AY64:AY67" si="42">AV64-AW64-AX64</f>
        <v>1</v>
      </c>
      <c r="AZ64">
        <v>4</v>
      </c>
      <c r="BA64">
        <v>3</v>
      </c>
      <c r="BB64">
        <f t="shared" ref="BB64:BB67" si="43">AZ64-BA64</f>
        <v>1</v>
      </c>
    </row>
    <row r="65" spans="45:54" x14ac:dyDescent="0.3">
      <c r="AS65" s="1" t="s">
        <v>13</v>
      </c>
      <c r="AT65" t="s">
        <v>787</v>
      </c>
      <c r="AU65" s="2">
        <f>AW65*3+AX65</f>
        <v>8</v>
      </c>
      <c r="AV65">
        <v>6</v>
      </c>
      <c r="AW65">
        <v>2</v>
      </c>
      <c r="AX65">
        <v>2</v>
      </c>
      <c r="AY65">
        <f t="shared" si="42"/>
        <v>2</v>
      </c>
      <c r="AZ65">
        <v>6</v>
      </c>
      <c r="BA65">
        <v>4</v>
      </c>
      <c r="BB65">
        <f t="shared" si="43"/>
        <v>2</v>
      </c>
    </row>
    <row r="66" spans="45:54" x14ac:dyDescent="0.3">
      <c r="AS66" t="s">
        <v>15</v>
      </c>
      <c r="AT66" t="s">
        <v>796</v>
      </c>
      <c r="AU66" s="2">
        <f>AW66*3+AX66</f>
        <v>8</v>
      </c>
      <c r="AV66">
        <v>6</v>
      </c>
      <c r="AW66">
        <v>2</v>
      </c>
      <c r="AX66">
        <v>2</v>
      </c>
      <c r="AY66">
        <f t="shared" si="42"/>
        <v>2</v>
      </c>
      <c r="AZ66">
        <v>3</v>
      </c>
      <c r="BA66">
        <v>4</v>
      </c>
      <c r="BB66">
        <f t="shared" si="43"/>
        <v>-1</v>
      </c>
    </row>
    <row r="67" spans="45:54" x14ac:dyDescent="0.3">
      <c r="AS67" t="s">
        <v>17</v>
      </c>
      <c r="AT67" t="s">
        <v>794</v>
      </c>
      <c r="AU67" s="2">
        <f>AW67*3+AX67</f>
        <v>6</v>
      </c>
      <c r="AV67">
        <v>6</v>
      </c>
      <c r="AW67">
        <v>2</v>
      </c>
      <c r="AX67">
        <v>0</v>
      </c>
      <c r="AY67">
        <f t="shared" si="42"/>
        <v>4</v>
      </c>
      <c r="AZ67">
        <v>4</v>
      </c>
      <c r="BA67">
        <v>6</v>
      </c>
      <c r="BB67">
        <f t="shared" si="43"/>
        <v>-2</v>
      </c>
    </row>
    <row r="69" spans="45:54" x14ac:dyDescent="0.3">
      <c r="AS69" t="s">
        <v>221</v>
      </c>
    </row>
    <row r="70" spans="45:54" x14ac:dyDescent="0.3">
      <c r="AS70" t="s">
        <v>787</v>
      </c>
      <c r="AT70" t="s">
        <v>36</v>
      </c>
      <c r="AU70" t="s">
        <v>786</v>
      </c>
      <c r="AW70" t="s">
        <v>786</v>
      </c>
      <c r="AX70" t="s">
        <v>43</v>
      </c>
      <c r="AY70" t="s">
        <v>787</v>
      </c>
    </row>
    <row r="71" spans="45:54" x14ac:dyDescent="0.3">
      <c r="AS71" t="s">
        <v>798</v>
      </c>
      <c r="AT71" t="s">
        <v>28</v>
      </c>
      <c r="AU71" t="s">
        <v>779</v>
      </c>
      <c r="AW71" t="s">
        <v>779</v>
      </c>
      <c r="AX71" t="s">
        <v>30</v>
      </c>
      <c r="AY71" t="s">
        <v>798</v>
      </c>
    </row>
    <row r="72" spans="45:54" x14ac:dyDescent="0.3">
      <c r="AS72" t="s">
        <v>497</v>
      </c>
      <c r="AT72" t="s">
        <v>65</v>
      </c>
      <c r="AU72" t="s">
        <v>788</v>
      </c>
      <c r="AW72" t="s">
        <v>788</v>
      </c>
      <c r="AX72" t="s">
        <v>74</v>
      </c>
      <c r="AY72" t="s">
        <v>497</v>
      </c>
    </row>
    <row r="73" spans="45:54" x14ac:dyDescent="0.3">
      <c r="AS73" t="s">
        <v>781</v>
      </c>
      <c r="AT73" t="s">
        <v>28</v>
      </c>
      <c r="AU73" t="s">
        <v>780</v>
      </c>
      <c r="AW73" t="s">
        <v>780</v>
      </c>
      <c r="AX73" t="s">
        <v>43</v>
      </c>
      <c r="AY73" t="s">
        <v>781</v>
      </c>
    </row>
    <row r="75" spans="45:54" x14ac:dyDescent="0.3">
      <c r="AS75" t="s">
        <v>27</v>
      </c>
    </row>
    <row r="76" spans="45:54" x14ac:dyDescent="0.3">
      <c r="AS76" t="s">
        <v>787</v>
      </c>
      <c r="AT76" t="s">
        <v>43</v>
      </c>
      <c r="AU76" t="s">
        <v>779</v>
      </c>
      <c r="AW76" t="s">
        <v>779</v>
      </c>
      <c r="AX76" t="s">
        <v>43</v>
      </c>
      <c r="AY76" t="s">
        <v>787</v>
      </c>
    </row>
    <row r="77" spans="45:54" x14ac:dyDescent="0.3">
      <c r="AS77" t="s">
        <v>497</v>
      </c>
      <c r="AT77" t="s">
        <v>57</v>
      </c>
      <c r="AU77" t="s">
        <v>780</v>
      </c>
      <c r="AW77" t="s">
        <v>780</v>
      </c>
      <c r="AX77" t="s">
        <v>44</v>
      </c>
      <c r="AY77" t="s">
        <v>497</v>
      </c>
    </row>
    <row r="79" spans="45:54" x14ac:dyDescent="0.3">
      <c r="AS79" t="s">
        <v>33</v>
      </c>
    </row>
    <row r="80" spans="45:54" x14ac:dyDescent="0.3">
      <c r="AS80" t="s">
        <v>780</v>
      </c>
      <c r="AT80" t="s">
        <v>36</v>
      </c>
      <c r="AU80" t="s">
        <v>779</v>
      </c>
      <c r="AW80" t="s">
        <v>779</v>
      </c>
      <c r="AX80" t="s">
        <v>43</v>
      </c>
      <c r="AY80" t="s">
        <v>780</v>
      </c>
    </row>
  </sheetData>
  <sortState xmlns:xlrd2="http://schemas.microsoft.com/office/spreadsheetml/2017/richdata2" ref="AS81:AV88">
    <sortCondition descending="1" ref="AT81:AT88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2987-3FB8-4CB8-BFBA-CE4506B0C194}">
  <dimension ref="A1:X30"/>
  <sheetViews>
    <sheetView topLeftCell="I1" workbookViewId="0">
      <selection activeCell="X3" sqref="X3"/>
    </sheetView>
  </sheetViews>
  <sheetFormatPr defaultRowHeight="14.4" x14ac:dyDescent="0.3"/>
  <sheetData>
    <row r="1" spans="1:24" x14ac:dyDescent="0.3">
      <c r="A1" t="s">
        <v>808</v>
      </c>
      <c r="L1" t="s">
        <v>818</v>
      </c>
      <c r="W1" t="s">
        <v>70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72</v>
      </c>
      <c r="W2" t="s">
        <v>812</v>
      </c>
      <c r="X2">
        <v>9</v>
      </c>
    </row>
    <row r="3" spans="1:24" x14ac:dyDescent="0.3">
      <c r="A3" s="1" t="s">
        <v>11</v>
      </c>
      <c r="B3" t="s">
        <v>196</v>
      </c>
      <c r="C3" s="2">
        <f t="shared" ref="C3:C10" si="0">E3*3+F3</f>
        <v>18</v>
      </c>
      <c r="D3">
        <v>7</v>
      </c>
      <c r="E3">
        <v>6</v>
      </c>
      <c r="F3">
        <v>0</v>
      </c>
      <c r="G3">
        <f>D3-E3-F3</f>
        <v>1</v>
      </c>
      <c r="H3">
        <v>15</v>
      </c>
      <c r="I3">
        <v>7</v>
      </c>
      <c r="J3">
        <f>H3-I3</f>
        <v>8</v>
      </c>
      <c r="L3" t="s">
        <v>1</v>
      </c>
      <c r="M3" t="s">
        <v>2</v>
      </c>
      <c r="N3" t="s">
        <v>3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W3" t="s">
        <v>814</v>
      </c>
      <c r="X3">
        <v>3</v>
      </c>
    </row>
    <row r="4" spans="1:24" x14ac:dyDescent="0.3">
      <c r="A4" s="1" t="s">
        <v>13</v>
      </c>
      <c r="B4" t="s">
        <v>809</v>
      </c>
      <c r="C4" s="2">
        <f t="shared" si="0"/>
        <v>12</v>
      </c>
      <c r="D4">
        <v>7</v>
      </c>
      <c r="E4">
        <v>4</v>
      </c>
      <c r="F4">
        <v>0</v>
      </c>
      <c r="G4">
        <f t="shared" ref="G4:G10" si="1">D4-E4-F4</f>
        <v>3</v>
      </c>
      <c r="H4">
        <v>6</v>
      </c>
      <c r="I4">
        <v>5</v>
      </c>
      <c r="J4">
        <f t="shared" ref="J4:J10" si="2">H4-I4</f>
        <v>1</v>
      </c>
      <c r="L4" s="1" t="s">
        <v>11</v>
      </c>
      <c r="M4" t="s">
        <v>824</v>
      </c>
      <c r="N4" s="2">
        <f>P4*3+Q4</f>
        <v>7</v>
      </c>
      <c r="O4">
        <v>4</v>
      </c>
      <c r="P4">
        <v>2</v>
      </c>
      <c r="Q4">
        <v>1</v>
      </c>
      <c r="R4">
        <f>O4-P4-Q4</f>
        <v>1</v>
      </c>
      <c r="S4">
        <v>7</v>
      </c>
      <c r="T4">
        <v>3</v>
      </c>
      <c r="U4">
        <f>S4-T4</f>
        <v>4</v>
      </c>
    </row>
    <row r="5" spans="1:24" x14ac:dyDescent="0.3">
      <c r="A5" s="1" t="s">
        <v>15</v>
      </c>
      <c r="B5" t="s">
        <v>816</v>
      </c>
      <c r="C5" s="2">
        <f t="shared" si="0"/>
        <v>11</v>
      </c>
      <c r="D5">
        <v>7</v>
      </c>
      <c r="E5">
        <v>3</v>
      </c>
      <c r="F5">
        <v>2</v>
      </c>
      <c r="G5">
        <f t="shared" si="1"/>
        <v>2</v>
      </c>
      <c r="H5">
        <v>12</v>
      </c>
      <c r="I5">
        <v>12</v>
      </c>
      <c r="J5">
        <f t="shared" si="2"/>
        <v>0</v>
      </c>
      <c r="L5" s="1" t="s">
        <v>13</v>
      </c>
      <c r="M5" t="s">
        <v>814</v>
      </c>
      <c r="N5" s="2">
        <f>P5*3+Q5</f>
        <v>7</v>
      </c>
      <c r="O5">
        <v>4</v>
      </c>
      <c r="P5">
        <v>2</v>
      </c>
      <c r="Q5">
        <v>1</v>
      </c>
      <c r="R5">
        <f t="shared" ref="R5:R8" si="3">O5-P5-Q5</f>
        <v>1</v>
      </c>
      <c r="S5">
        <v>4</v>
      </c>
      <c r="T5">
        <v>5</v>
      </c>
      <c r="U5">
        <f t="shared" ref="U5:U8" si="4">S5-T5</f>
        <v>-1</v>
      </c>
    </row>
    <row r="6" spans="1:24" x14ac:dyDescent="0.3">
      <c r="A6" s="1" t="s">
        <v>17</v>
      </c>
      <c r="B6" t="s">
        <v>812</v>
      </c>
      <c r="C6" s="2">
        <f t="shared" si="0"/>
        <v>10</v>
      </c>
      <c r="D6">
        <v>7</v>
      </c>
      <c r="E6">
        <v>3</v>
      </c>
      <c r="F6">
        <v>1</v>
      </c>
      <c r="G6">
        <f t="shared" si="1"/>
        <v>3</v>
      </c>
      <c r="H6">
        <v>13</v>
      </c>
      <c r="I6">
        <v>9</v>
      </c>
      <c r="J6">
        <f t="shared" si="2"/>
        <v>4</v>
      </c>
      <c r="L6" s="1" t="s">
        <v>15</v>
      </c>
      <c r="M6" t="s">
        <v>810</v>
      </c>
      <c r="N6" s="2">
        <f>P6*3+Q6</f>
        <v>6</v>
      </c>
      <c r="O6">
        <v>4</v>
      </c>
      <c r="P6">
        <v>2</v>
      </c>
      <c r="Q6">
        <v>0</v>
      </c>
      <c r="R6">
        <f t="shared" si="3"/>
        <v>2</v>
      </c>
      <c r="S6">
        <v>9</v>
      </c>
      <c r="T6">
        <v>8</v>
      </c>
      <c r="U6">
        <f t="shared" si="4"/>
        <v>1</v>
      </c>
    </row>
    <row r="7" spans="1:24" x14ac:dyDescent="0.3">
      <c r="A7" t="s">
        <v>19</v>
      </c>
      <c r="B7" t="s">
        <v>813</v>
      </c>
      <c r="C7" s="2">
        <f t="shared" si="0"/>
        <v>10</v>
      </c>
      <c r="D7">
        <v>7</v>
      </c>
      <c r="E7">
        <v>3</v>
      </c>
      <c r="F7">
        <v>1</v>
      </c>
      <c r="G7">
        <f t="shared" si="1"/>
        <v>3</v>
      </c>
      <c r="H7">
        <v>8</v>
      </c>
      <c r="I7">
        <v>10</v>
      </c>
      <c r="J7">
        <f t="shared" si="2"/>
        <v>-2</v>
      </c>
      <c r="L7" s="1" t="s">
        <v>17</v>
      </c>
      <c r="M7" t="s">
        <v>815</v>
      </c>
      <c r="N7" s="2">
        <f>P7*3+Q7</f>
        <v>5</v>
      </c>
      <c r="O7">
        <v>4</v>
      </c>
      <c r="P7">
        <v>1</v>
      </c>
      <c r="Q7">
        <v>2</v>
      </c>
      <c r="R7">
        <f t="shared" si="3"/>
        <v>1</v>
      </c>
      <c r="S7">
        <v>3</v>
      </c>
      <c r="T7">
        <v>4</v>
      </c>
      <c r="U7">
        <f t="shared" si="4"/>
        <v>-1</v>
      </c>
    </row>
    <row r="8" spans="1:24" x14ac:dyDescent="0.3">
      <c r="A8" t="s">
        <v>21</v>
      </c>
      <c r="B8" t="s">
        <v>817</v>
      </c>
      <c r="C8" s="2">
        <f t="shared" si="0"/>
        <v>9</v>
      </c>
      <c r="D8">
        <v>7</v>
      </c>
      <c r="E8">
        <v>2</v>
      </c>
      <c r="F8">
        <v>3</v>
      </c>
      <c r="G8">
        <f t="shared" si="1"/>
        <v>2</v>
      </c>
      <c r="H8">
        <v>11</v>
      </c>
      <c r="I8">
        <v>9</v>
      </c>
      <c r="J8">
        <f t="shared" si="2"/>
        <v>2</v>
      </c>
      <c r="L8" t="s">
        <v>19</v>
      </c>
      <c r="M8" t="s">
        <v>811</v>
      </c>
      <c r="N8" s="2">
        <f>P8*3+Q8</f>
        <v>3</v>
      </c>
      <c r="O8">
        <v>4</v>
      </c>
      <c r="P8">
        <v>1</v>
      </c>
      <c r="Q8">
        <v>0</v>
      </c>
      <c r="R8">
        <f t="shared" si="3"/>
        <v>3</v>
      </c>
      <c r="S8">
        <v>5</v>
      </c>
      <c r="T8">
        <v>8</v>
      </c>
      <c r="U8">
        <f t="shared" si="4"/>
        <v>-3</v>
      </c>
    </row>
    <row r="9" spans="1:24" x14ac:dyDescent="0.3">
      <c r="A9" s="3" t="s">
        <v>23</v>
      </c>
      <c r="B9" t="s">
        <v>811</v>
      </c>
      <c r="C9" s="2">
        <f t="shared" si="0"/>
        <v>6</v>
      </c>
      <c r="D9">
        <v>7</v>
      </c>
      <c r="E9">
        <v>2</v>
      </c>
      <c r="F9">
        <v>0</v>
      </c>
      <c r="G9">
        <f t="shared" si="1"/>
        <v>5</v>
      </c>
      <c r="H9">
        <v>8</v>
      </c>
      <c r="I9">
        <v>12</v>
      </c>
      <c r="J9">
        <f t="shared" si="2"/>
        <v>-4</v>
      </c>
      <c r="N9" s="2"/>
    </row>
    <row r="10" spans="1:24" x14ac:dyDescent="0.3">
      <c r="A10" s="3" t="s">
        <v>25</v>
      </c>
      <c r="B10" t="s">
        <v>810</v>
      </c>
      <c r="C10" s="2">
        <f t="shared" si="0"/>
        <v>4</v>
      </c>
      <c r="D10">
        <v>7</v>
      </c>
      <c r="E10">
        <v>1</v>
      </c>
      <c r="F10">
        <v>1</v>
      </c>
      <c r="G10">
        <f t="shared" si="1"/>
        <v>5</v>
      </c>
      <c r="H10">
        <v>6</v>
      </c>
      <c r="I10">
        <v>15</v>
      </c>
      <c r="J10">
        <f t="shared" si="2"/>
        <v>-9</v>
      </c>
      <c r="L10" t="s">
        <v>73</v>
      </c>
    </row>
    <row r="11" spans="1:24" x14ac:dyDescent="0.3">
      <c r="L11" t="s">
        <v>1</v>
      </c>
      <c r="M11" t="s">
        <v>2</v>
      </c>
      <c r="N11" t="s">
        <v>3</v>
      </c>
      <c r="O11" t="s">
        <v>4</v>
      </c>
      <c r="P11" t="s">
        <v>5</v>
      </c>
      <c r="Q11" t="s">
        <v>6</v>
      </c>
      <c r="R11" t="s">
        <v>7</v>
      </c>
      <c r="S11" t="s">
        <v>8</v>
      </c>
      <c r="T11" t="s">
        <v>9</v>
      </c>
      <c r="U11" t="s">
        <v>10</v>
      </c>
    </row>
    <row r="12" spans="1:24" x14ac:dyDescent="0.3">
      <c r="A12" t="s">
        <v>27</v>
      </c>
      <c r="L12" s="1" t="s">
        <v>11</v>
      </c>
      <c r="M12" t="s">
        <v>819</v>
      </c>
      <c r="N12" s="2">
        <f t="shared" ref="N12:N17" si="5">P12*3+Q12</f>
        <v>15</v>
      </c>
      <c r="O12">
        <v>5</v>
      </c>
      <c r="P12">
        <v>5</v>
      </c>
      <c r="Q12">
        <v>0</v>
      </c>
      <c r="R12">
        <f>O12-P12-Q12</f>
        <v>0</v>
      </c>
      <c r="S12">
        <v>14</v>
      </c>
      <c r="T12">
        <v>5</v>
      </c>
      <c r="U12">
        <f>S12-T12</f>
        <v>9</v>
      </c>
    </row>
    <row r="13" spans="1:24" x14ac:dyDescent="0.3">
      <c r="A13" t="str">
        <f>B6</f>
        <v>Palmas</v>
      </c>
      <c r="B13" t="s">
        <v>30</v>
      </c>
      <c r="C13" t="str">
        <f>B3</f>
        <v>Capital</v>
      </c>
      <c r="E13" t="str">
        <f>B3</f>
        <v>Capital</v>
      </c>
      <c r="F13" t="s">
        <v>44</v>
      </c>
      <c r="G13" t="str">
        <f>B6</f>
        <v>Palmas</v>
      </c>
      <c r="L13" s="1" t="s">
        <v>13</v>
      </c>
      <c r="M13" t="s">
        <v>821</v>
      </c>
      <c r="N13" s="2">
        <f t="shared" si="5"/>
        <v>9</v>
      </c>
      <c r="O13">
        <v>5</v>
      </c>
      <c r="P13">
        <v>3</v>
      </c>
      <c r="Q13">
        <v>0</v>
      </c>
      <c r="R13">
        <f t="shared" ref="R13:R17" si="6">O13-P13-Q13</f>
        <v>2</v>
      </c>
      <c r="S13">
        <v>9</v>
      </c>
      <c r="T13">
        <v>6</v>
      </c>
      <c r="U13">
        <f t="shared" ref="U13:U17" si="7">S13-T13</f>
        <v>3</v>
      </c>
    </row>
    <row r="14" spans="1:24" x14ac:dyDescent="0.3">
      <c r="A14" t="str">
        <f>B5</f>
        <v>Interporto</v>
      </c>
      <c r="B14" t="s">
        <v>28</v>
      </c>
      <c r="C14" t="str">
        <f>B4</f>
        <v>Araguaína</v>
      </c>
      <c r="E14" t="str">
        <f>B4</f>
        <v>Araguaína</v>
      </c>
      <c r="F14" t="s">
        <v>57</v>
      </c>
      <c r="G14" t="str">
        <f>B5</f>
        <v>Interporto</v>
      </c>
      <c r="L14" s="1" t="s">
        <v>15</v>
      </c>
      <c r="M14" t="s">
        <v>822</v>
      </c>
      <c r="N14" s="2">
        <f t="shared" si="5"/>
        <v>6</v>
      </c>
      <c r="O14">
        <v>5</v>
      </c>
      <c r="P14">
        <v>2</v>
      </c>
      <c r="Q14">
        <v>0</v>
      </c>
      <c r="R14">
        <f t="shared" si="6"/>
        <v>3</v>
      </c>
      <c r="S14">
        <v>10</v>
      </c>
      <c r="T14">
        <v>9</v>
      </c>
      <c r="U14">
        <f t="shared" si="7"/>
        <v>1</v>
      </c>
    </row>
    <row r="15" spans="1:24" x14ac:dyDescent="0.3">
      <c r="L15" s="1" t="s">
        <v>17</v>
      </c>
      <c r="M15" t="s">
        <v>823</v>
      </c>
      <c r="N15" s="2">
        <f t="shared" si="5"/>
        <v>6</v>
      </c>
      <c r="O15">
        <v>5</v>
      </c>
      <c r="P15">
        <v>2</v>
      </c>
      <c r="Q15">
        <v>0</v>
      </c>
      <c r="R15">
        <f t="shared" si="6"/>
        <v>3</v>
      </c>
      <c r="S15">
        <v>5</v>
      </c>
      <c r="T15">
        <v>9</v>
      </c>
      <c r="U15">
        <f t="shared" si="7"/>
        <v>-4</v>
      </c>
    </row>
    <row r="16" spans="1:24" x14ac:dyDescent="0.3">
      <c r="A16" t="s">
        <v>33</v>
      </c>
      <c r="L16" t="s">
        <v>19</v>
      </c>
      <c r="M16" t="s">
        <v>820</v>
      </c>
      <c r="N16" s="2">
        <f t="shared" si="5"/>
        <v>6</v>
      </c>
      <c r="O16">
        <v>5</v>
      </c>
      <c r="P16">
        <v>2</v>
      </c>
      <c r="Q16">
        <v>0</v>
      </c>
      <c r="R16">
        <f t="shared" si="6"/>
        <v>3</v>
      </c>
      <c r="S16">
        <v>4</v>
      </c>
      <c r="T16">
        <v>9</v>
      </c>
      <c r="U16">
        <f t="shared" si="7"/>
        <v>-5</v>
      </c>
    </row>
    <row r="17" spans="1:21" x14ac:dyDescent="0.3">
      <c r="A17" t="s">
        <v>812</v>
      </c>
      <c r="B17" t="s">
        <v>44</v>
      </c>
      <c r="C17" t="s">
        <v>809</v>
      </c>
      <c r="E17" t="s">
        <v>809</v>
      </c>
      <c r="F17" t="s">
        <v>69</v>
      </c>
      <c r="G17" t="s">
        <v>812</v>
      </c>
      <c r="L17" t="s">
        <v>21</v>
      </c>
      <c r="M17" t="s">
        <v>825</v>
      </c>
      <c r="N17" s="2">
        <f t="shared" si="5"/>
        <v>3</v>
      </c>
      <c r="O17">
        <v>5</v>
      </c>
      <c r="P17">
        <v>1</v>
      </c>
      <c r="Q17">
        <v>0</v>
      </c>
      <c r="R17">
        <f t="shared" si="6"/>
        <v>4</v>
      </c>
      <c r="S17">
        <v>2</v>
      </c>
      <c r="T17">
        <v>6</v>
      </c>
      <c r="U17">
        <f t="shared" si="7"/>
        <v>-4</v>
      </c>
    </row>
    <row r="19" spans="1:21" x14ac:dyDescent="0.3">
      <c r="A19" t="s">
        <v>38</v>
      </c>
      <c r="L19" t="s">
        <v>221</v>
      </c>
    </row>
    <row r="20" spans="1:21" x14ac:dyDescent="0.3">
      <c r="A20" t="s">
        <v>812</v>
      </c>
      <c r="L20" t="str">
        <f>M15</f>
        <v>Paraíso</v>
      </c>
      <c r="M20" t="s">
        <v>43</v>
      </c>
      <c r="N20" t="str">
        <f>M4</f>
        <v>Tocantins</v>
      </c>
      <c r="P20" t="str">
        <f>M4</f>
        <v>Tocantins</v>
      </c>
      <c r="Q20" t="s">
        <v>28</v>
      </c>
      <c r="R20" t="str">
        <f>M15</f>
        <v>Paraíso</v>
      </c>
    </row>
    <row r="21" spans="1:21" x14ac:dyDescent="0.3">
      <c r="A21" t="s">
        <v>809</v>
      </c>
      <c r="L21" t="str">
        <f>M14</f>
        <v>Araguaia</v>
      </c>
      <c r="M21" t="s">
        <v>30</v>
      </c>
      <c r="N21" t="str">
        <f>M5</f>
        <v>Gurupi</v>
      </c>
      <c r="P21" t="str">
        <f>M5</f>
        <v>Gurupi</v>
      </c>
      <c r="Q21" t="s">
        <v>826</v>
      </c>
      <c r="R21" t="str">
        <f>M14</f>
        <v>Araguaia</v>
      </c>
    </row>
    <row r="22" spans="1:21" x14ac:dyDescent="0.3">
      <c r="L22" t="str">
        <f>M6</f>
        <v>Bela Vista</v>
      </c>
      <c r="M22" t="s">
        <v>30</v>
      </c>
      <c r="N22" t="str">
        <f>M13</f>
        <v>Alvorada</v>
      </c>
      <c r="P22" t="str">
        <f>M13</f>
        <v>Alvorada</v>
      </c>
      <c r="Q22" t="s">
        <v>516</v>
      </c>
      <c r="R22" t="str">
        <f>M6</f>
        <v>Bela Vista</v>
      </c>
    </row>
    <row r="23" spans="1:21" x14ac:dyDescent="0.3">
      <c r="A23" t="s">
        <v>39</v>
      </c>
      <c r="L23" t="str">
        <f>M7</f>
        <v>Guaraí</v>
      </c>
      <c r="M23" t="s">
        <v>65</v>
      </c>
      <c r="N23" t="str">
        <f>M12</f>
        <v>Taquarussu</v>
      </c>
      <c r="P23" t="str">
        <f>M12</f>
        <v>Taquarussu</v>
      </c>
      <c r="Q23" t="s">
        <v>69</v>
      </c>
      <c r="R23" t="str">
        <f>M7</f>
        <v>Guaraí</v>
      </c>
    </row>
    <row r="24" spans="1:21" x14ac:dyDescent="0.3">
      <c r="A24" t="s">
        <v>812</v>
      </c>
    </row>
    <row r="25" spans="1:21" x14ac:dyDescent="0.3">
      <c r="A25" t="s">
        <v>809</v>
      </c>
      <c r="L25" t="s">
        <v>27</v>
      </c>
    </row>
    <row r="26" spans="1:21" x14ac:dyDescent="0.3">
      <c r="A26" t="s">
        <v>196</v>
      </c>
      <c r="L26" t="s">
        <v>814</v>
      </c>
      <c r="M26" t="s">
        <v>44</v>
      </c>
      <c r="N26" t="s">
        <v>821</v>
      </c>
      <c r="P26" t="s">
        <v>821</v>
      </c>
      <c r="Q26" t="s">
        <v>31</v>
      </c>
      <c r="R26" t="s">
        <v>814</v>
      </c>
    </row>
    <row r="27" spans="1:21" x14ac:dyDescent="0.3">
      <c r="L27" t="s">
        <v>815</v>
      </c>
      <c r="M27" t="s">
        <v>28</v>
      </c>
      <c r="N27" t="s">
        <v>823</v>
      </c>
      <c r="P27" t="s">
        <v>823</v>
      </c>
      <c r="Q27" t="s">
        <v>36</v>
      </c>
      <c r="R27" t="s">
        <v>815</v>
      </c>
    </row>
    <row r="29" spans="1:21" x14ac:dyDescent="0.3">
      <c r="L29" t="s">
        <v>33</v>
      </c>
    </row>
    <row r="30" spans="1:21" x14ac:dyDescent="0.3">
      <c r="L30" t="s">
        <v>814</v>
      </c>
      <c r="M30" t="s">
        <v>36</v>
      </c>
      <c r="N30" t="s">
        <v>823</v>
      </c>
      <c r="P30" t="s">
        <v>823</v>
      </c>
      <c r="Q30" t="s">
        <v>69</v>
      </c>
      <c r="R30" t="s">
        <v>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Estima</dc:creator>
  <cp:lastModifiedBy>Rafael Estima</cp:lastModifiedBy>
  <dcterms:created xsi:type="dcterms:W3CDTF">2026-04-17T21:58:12Z</dcterms:created>
  <dcterms:modified xsi:type="dcterms:W3CDTF">2026-07-26T05:13:09Z</dcterms:modified>
</cp:coreProperties>
</file>