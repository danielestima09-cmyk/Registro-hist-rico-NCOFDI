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OneDrive\Documentos\"/>
    </mc:Choice>
  </mc:AlternateContent>
  <xr:revisionPtr revIDLastSave="0" documentId="8_{DE9DEE1E-DB22-4A64-8C4D-E4523766A456}" xr6:coauthVersionLast="47" xr6:coauthVersionMax="47" xr10:uidLastSave="{00000000-0000-0000-0000-000000000000}"/>
  <bookViews>
    <workbookView xWindow="-108" yWindow="-108" windowWidth="23256" windowHeight="13176" firstSheet="12" activeTab="20" xr2:uid="{BAB7DEA0-40A4-43D9-B040-260E30D03231}"/>
  </bookViews>
  <sheets>
    <sheet name="Arábia Saudita" sheetId="1" r:id="rId1"/>
    <sheet name="Austrália" sheetId="2" r:id="rId2"/>
    <sheet name="Catar" sheetId="3" r:id="rId3"/>
    <sheet name="China" sheetId="4" r:id="rId4"/>
    <sheet name="Coreia do Sul" sheetId="5" r:id="rId5"/>
    <sheet name="Emirados Árabes Unidos" sheetId="6" r:id="rId6"/>
    <sheet name="Filipinas" sheetId="7" r:id="rId7"/>
    <sheet name="Hong Kong" sheetId="8" r:id="rId8"/>
    <sheet name="Índia" sheetId="9" r:id="rId9"/>
    <sheet name="Indonésia" sheetId="10" r:id="rId10"/>
    <sheet name="Irã" sheetId="11" r:id="rId11"/>
    <sheet name="Iraque" sheetId="12" r:id="rId12"/>
    <sheet name="Japão" sheetId="13" r:id="rId13"/>
    <sheet name="Jordânia" sheetId="14" r:id="rId14"/>
    <sheet name="Kuwait" sheetId="15" r:id="rId15"/>
    <sheet name="Malásia" sheetId="16" r:id="rId16"/>
    <sheet name="Singapura" sheetId="17" r:id="rId17"/>
    <sheet name="Tailândia" sheetId="18" r:id="rId18"/>
    <sheet name="Tajiquistão" sheetId="19" r:id="rId19"/>
    <sheet name="Uzbequistão" sheetId="20" r:id="rId20"/>
    <sheet name="Vietnã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21" l="1"/>
  <c r="G16" i="21"/>
  <c r="C16" i="21"/>
  <c r="J15" i="21"/>
  <c r="G15" i="21"/>
  <c r="C15" i="21"/>
  <c r="J14" i="21"/>
  <c r="G14" i="21"/>
  <c r="C14" i="21"/>
  <c r="J13" i="21"/>
  <c r="G13" i="21"/>
  <c r="C13" i="21"/>
  <c r="J12" i="21"/>
  <c r="G12" i="21"/>
  <c r="C12" i="21"/>
  <c r="J11" i="21"/>
  <c r="G11" i="21"/>
  <c r="C11" i="21"/>
  <c r="J10" i="21"/>
  <c r="G10" i="21"/>
  <c r="C10" i="21"/>
  <c r="J9" i="21"/>
  <c r="G9" i="21"/>
  <c r="C9" i="21"/>
  <c r="J8" i="21"/>
  <c r="G8" i="21"/>
  <c r="C8" i="21"/>
  <c r="J7" i="21"/>
  <c r="G7" i="21"/>
  <c r="C7" i="21"/>
  <c r="J6" i="21"/>
  <c r="G6" i="21"/>
  <c r="C6" i="21"/>
  <c r="J5" i="21"/>
  <c r="G5" i="21"/>
  <c r="C5" i="21"/>
  <c r="J4" i="21"/>
  <c r="G4" i="21"/>
  <c r="C4" i="21"/>
  <c r="J3" i="21"/>
  <c r="G3" i="21"/>
  <c r="C3" i="21"/>
  <c r="U29" i="20"/>
  <c r="R29" i="20"/>
  <c r="N29" i="20"/>
  <c r="U28" i="20"/>
  <c r="R28" i="20"/>
  <c r="N28" i="20"/>
  <c r="U27" i="20"/>
  <c r="R27" i="20"/>
  <c r="N27" i="20"/>
  <c r="U26" i="20"/>
  <c r="R26" i="20"/>
  <c r="N26" i="20"/>
  <c r="U22" i="20"/>
  <c r="R22" i="20"/>
  <c r="N22" i="20"/>
  <c r="U21" i="20"/>
  <c r="R21" i="20"/>
  <c r="N21" i="20"/>
  <c r="U20" i="20"/>
  <c r="R20" i="20"/>
  <c r="N20" i="20"/>
  <c r="U19" i="20"/>
  <c r="R19" i="20"/>
  <c r="N19" i="20"/>
  <c r="U15" i="20"/>
  <c r="R15" i="20"/>
  <c r="N15" i="20"/>
  <c r="U14" i="20"/>
  <c r="R14" i="20"/>
  <c r="N14" i="20"/>
  <c r="U13" i="20"/>
  <c r="R13" i="20"/>
  <c r="N13" i="20"/>
  <c r="U12" i="20"/>
  <c r="R12" i="20"/>
  <c r="N12" i="20"/>
  <c r="U8" i="20"/>
  <c r="R8" i="20"/>
  <c r="N8" i="20"/>
  <c r="U7" i="20"/>
  <c r="R7" i="20"/>
  <c r="N7" i="20"/>
  <c r="U6" i="20"/>
  <c r="R6" i="20"/>
  <c r="N6" i="20"/>
  <c r="U5" i="20"/>
  <c r="R5" i="20"/>
  <c r="N5" i="20"/>
  <c r="J18" i="20"/>
  <c r="G18" i="20"/>
  <c r="C18" i="20"/>
  <c r="J17" i="20"/>
  <c r="G17" i="20"/>
  <c r="C17" i="20"/>
  <c r="J16" i="20"/>
  <c r="G16" i="20"/>
  <c r="C16" i="20"/>
  <c r="J15" i="20"/>
  <c r="G15" i="20"/>
  <c r="C15" i="20"/>
  <c r="J14" i="20"/>
  <c r="G14" i="20"/>
  <c r="C14" i="20"/>
  <c r="J13" i="20"/>
  <c r="G13" i="20"/>
  <c r="C13" i="20"/>
  <c r="J12" i="20"/>
  <c r="G12" i="20"/>
  <c r="C12" i="20"/>
  <c r="J11" i="20"/>
  <c r="G11" i="20"/>
  <c r="C11" i="20"/>
  <c r="J10" i="20"/>
  <c r="G10" i="20"/>
  <c r="C10" i="20"/>
  <c r="J9" i="20"/>
  <c r="G9" i="20"/>
  <c r="C9" i="20"/>
  <c r="J8" i="20"/>
  <c r="G8" i="20"/>
  <c r="C8" i="20"/>
  <c r="J7" i="20"/>
  <c r="G7" i="20"/>
  <c r="C7" i="20"/>
  <c r="J6" i="20"/>
  <c r="G6" i="20"/>
  <c r="C6" i="20"/>
  <c r="J5" i="20"/>
  <c r="G5" i="20"/>
  <c r="C5" i="20"/>
  <c r="J4" i="20"/>
  <c r="G4" i="20"/>
  <c r="C4" i="20"/>
  <c r="J3" i="20"/>
  <c r="G3" i="20"/>
  <c r="C3" i="20"/>
  <c r="C14" i="19"/>
  <c r="C13" i="19"/>
  <c r="C12" i="19"/>
  <c r="C11" i="19"/>
  <c r="C10" i="19"/>
  <c r="C9" i="19"/>
  <c r="C8" i="19"/>
  <c r="C7" i="19"/>
  <c r="C6" i="19"/>
  <c r="C5" i="19"/>
  <c r="C4" i="19"/>
  <c r="C3" i="19"/>
  <c r="J14" i="19"/>
  <c r="G14" i="19"/>
  <c r="J13" i="19"/>
  <c r="G13" i="19"/>
  <c r="J12" i="19"/>
  <c r="G12" i="19"/>
  <c r="J11" i="19"/>
  <c r="G11" i="19"/>
  <c r="J10" i="19"/>
  <c r="G10" i="19"/>
  <c r="J9" i="19"/>
  <c r="G9" i="19"/>
  <c r="J8" i="19"/>
  <c r="G8" i="19"/>
  <c r="J7" i="19"/>
  <c r="G7" i="19"/>
  <c r="J6" i="19"/>
  <c r="G6" i="19"/>
  <c r="J5" i="19"/>
  <c r="G5" i="19"/>
  <c r="J4" i="19"/>
  <c r="G4" i="19"/>
  <c r="J3" i="19"/>
  <c r="G3" i="19"/>
  <c r="J18" i="18"/>
  <c r="G18" i="18"/>
  <c r="C18" i="18"/>
  <c r="J17" i="18"/>
  <c r="G17" i="18"/>
  <c r="C17" i="18"/>
  <c r="J16" i="18"/>
  <c r="G16" i="18"/>
  <c r="C16" i="18"/>
  <c r="J15" i="18"/>
  <c r="G15" i="18"/>
  <c r="C15" i="18"/>
  <c r="J14" i="18"/>
  <c r="G14" i="18"/>
  <c r="C14" i="18"/>
  <c r="J13" i="18"/>
  <c r="G13" i="18"/>
  <c r="C13" i="18"/>
  <c r="J12" i="18"/>
  <c r="G12" i="18"/>
  <c r="C12" i="18"/>
  <c r="J11" i="18"/>
  <c r="G11" i="18"/>
  <c r="C11" i="18"/>
  <c r="J10" i="18"/>
  <c r="G10" i="18"/>
  <c r="C10" i="18"/>
  <c r="J9" i="18"/>
  <c r="G9" i="18"/>
  <c r="C9" i="18"/>
  <c r="J8" i="18"/>
  <c r="G8" i="18"/>
  <c r="C8" i="18"/>
  <c r="J7" i="18"/>
  <c r="G7" i="18"/>
  <c r="C7" i="18"/>
  <c r="J6" i="18"/>
  <c r="G6" i="18"/>
  <c r="C6" i="18"/>
  <c r="J5" i="18"/>
  <c r="G5" i="18"/>
  <c r="C5" i="18"/>
  <c r="J4" i="18"/>
  <c r="G4" i="18"/>
  <c r="C4" i="18"/>
  <c r="J3" i="18"/>
  <c r="G3" i="18"/>
  <c r="C3" i="18"/>
  <c r="R12" i="17"/>
  <c r="R13" i="17"/>
  <c r="L13" i="17"/>
  <c r="L12" i="17"/>
  <c r="U9" i="17"/>
  <c r="R9" i="17"/>
  <c r="N9" i="17"/>
  <c r="U8" i="17"/>
  <c r="R8" i="17"/>
  <c r="N8" i="17"/>
  <c r="U7" i="17"/>
  <c r="R7" i="17"/>
  <c r="N7" i="17"/>
  <c r="U6" i="17"/>
  <c r="R6" i="17"/>
  <c r="N6" i="17"/>
  <c r="U5" i="17"/>
  <c r="R5" i="17"/>
  <c r="N5" i="17"/>
  <c r="U4" i="17"/>
  <c r="R4" i="17"/>
  <c r="N4" i="17"/>
  <c r="J8" i="17"/>
  <c r="G8" i="17"/>
  <c r="C8" i="17"/>
  <c r="J5" i="17"/>
  <c r="G5" i="17"/>
  <c r="C5" i="17"/>
  <c r="J6" i="17"/>
  <c r="G6" i="17"/>
  <c r="C6" i="17"/>
  <c r="J10" i="17"/>
  <c r="G10" i="17"/>
  <c r="C10" i="17"/>
  <c r="J3" i="17"/>
  <c r="G3" i="17"/>
  <c r="C3" i="17"/>
  <c r="J4" i="17"/>
  <c r="G4" i="17"/>
  <c r="C4" i="17"/>
  <c r="J7" i="17"/>
  <c r="G7" i="17"/>
  <c r="C7" i="17"/>
  <c r="J9" i="17"/>
  <c r="G9" i="17"/>
  <c r="C9" i="17"/>
  <c r="J15" i="16"/>
  <c r="G15" i="16"/>
  <c r="C15" i="16"/>
  <c r="J14" i="16"/>
  <c r="G14" i="16"/>
  <c r="C14" i="16"/>
  <c r="J13" i="16"/>
  <c r="G13" i="16"/>
  <c r="C13" i="16"/>
  <c r="J12" i="16"/>
  <c r="G12" i="16"/>
  <c r="C12" i="16"/>
  <c r="J11" i="16"/>
  <c r="G11" i="16"/>
  <c r="C11" i="16"/>
  <c r="J10" i="16"/>
  <c r="G10" i="16"/>
  <c r="C10" i="16"/>
  <c r="J9" i="16"/>
  <c r="G9" i="16"/>
  <c r="C9" i="16"/>
  <c r="J8" i="16"/>
  <c r="G8" i="16"/>
  <c r="C8" i="16"/>
  <c r="J7" i="16"/>
  <c r="G7" i="16"/>
  <c r="C7" i="16"/>
  <c r="J6" i="16"/>
  <c r="G6" i="16"/>
  <c r="C6" i="16"/>
  <c r="J5" i="16"/>
  <c r="G5" i="16"/>
  <c r="C5" i="16"/>
  <c r="J4" i="16"/>
  <c r="G4" i="16"/>
  <c r="C4" i="16"/>
  <c r="J3" i="16"/>
  <c r="G3" i="16"/>
  <c r="C3" i="16"/>
  <c r="J21" i="15"/>
  <c r="G21" i="15"/>
  <c r="C21" i="15"/>
  <c r="J18" i="15"/>
  <c r="G18" i="15"/>
  <c r="C18" i="15"/>
  <c r="J20" i="15"/>
  <c r="G20" i="15"/>
  <c r="C20" i="15"/>
  <c r="J19" i="15"/>
  <c r="G19" i="15"/>
  <c r="C19" i="15"/>
  <c r="J16" i="15"/>
  <c r="G16" i="15"/>
  <c r="C16" i="15"/>
  <c r="J17" i="15"/>
  <c r="G17" i="15"/>
  <c r="C17" i="15"/>
  <c r="J12" i="15"/>
  <c r="G12" i="15"/>
  <c r="C12" i="15"/>
  <c r="J11" i="15"/>
  <c r="G11" i="15"/>
  <c r="C11" i="15"/>
  <c r="J10" i="15"/>
  <c r="G10" i="15"/>
  <c r="C10" i="15"/>
  <c r="J9" i="15"/>
  <c r="G9" i="15"/>
  <c r="C9" i="15"/>
  <c r="J8" i="15"/>
  <c r="G8" i="15"/>
  <c r="C8" i="15"/>
  <c r="J7" i="15"/>
  <c r="G7" i="15"/>
  <c r="C7" i="15"/>
  <c r="J6" i="15"/>
  <c r="G6" i="15"/>
  <c r="C6" i="15"/>
  <c r="J5" i="15"/>
  <c r="G5" i="15"/>
  <c r="C5" i="15"/>
  <c r="J4" i="15"/>
  <c r="G4" i="15"/>
  <c r="C4" i="15"/>
  <c r="J3" i="15"/>
  <c r="G3" i="15"/>
  <c r="C3" i="15"/>
  <c r="J11" i="14"/>
  <c r="G11" i="14"/>
  <c r="C11" i="14"/>
  <c r="J12" i="14"/>
  <c r="G12" i="14"/>
  <c r="C12" i="14"/>
  <c r="J10" i="14"/>
  <c r="G10" i="14"/>
  <c r="C10" i="14"/>
  <c r="J9" i="14"/>
  <c r="G9" i="14"/>
  <c r="C9" i="14"/>
  <c r="J5" i="14"/>
  <c r="G5" i="14"/>
  <c r="C5" i="14"/>
  <c r="J8" i="14"/>
  <c r="G8" i="14"/>
  <c r="C8" i="14"/>
  <c r="J6" i="14"/>
  <c r="G6" i="14"/>
  <c r="C6" i="14"/>
  <c r="J4" i="14"/>
  <c r="G4" i="14"/>
  <c r="C4" i="14"/>
  <c r="J3" i="14"/>
  <c r="G3" i="14"/>
  <c r="C3" i="14"/>
  <c r="J7" i="14"/>
  <c r="G7" i="14"/>
  <c r="C7" i="14"/>
  <c r="N26" i="13"/>
  <c r="N27" i="13"/>
  <c r="L27" i="13"/>
  <c r="L26" i="13"/>
  <c r="U22" i="13"/>
  <c r="R22" i="13"/>
  <c r="N22" i="13"/>
  <c r="U21" i="13"/>
  <c r="R21" i="13"/>
  <c r="N21" i="13"/>
  <c r="U20" i="13"/>
  <c r="R20" i="13"/>
  <c r="N20" i="13"/>
  <c r="U19" i="13"/>
  <c r="R19" i="13"/>
  <c r="N19" i="13"/>
  <c r="U18" i="13"/>
  <c r="R18" i="13"/>
  <c r="N18" i="13"/>
  <c r="U17" i="13"/>
  <c r="R17" i="13"/>
  <c r="N17" i="13"/>
  <c r="U16" i="13"/>
  <c r="R16" i="13"/>
  <c r="N16" i="13"/>
  <c r="U15" i="13"/>
  <c r="R15" i="13"/>
  <c r="N15" i="13"/>
  <c r="U14" i="13"/>
  <c r="R14" i="13"/>
  <c r="N14" i="13"/>
  <c r="U13" i="13"/>
  <c r="R13" i="13"/>
  <c r="N13" i="13"/>
  <c r="U12" i="13"/>
  <c r="R12" i="13"/>
  <c r="N12" i="13"/>
  <c r="U11" i="13"/>
  <c r="R11" i="13"/>
  <c r="N11" i="13"/>
  <c r="U10" i="13"/>
  <c r="R10" i="13"/>
  <c r="N10" i="13"/>
  <c r="U9" i="13"/>
  <c r="R9" i="13"/>
  <c r="N9" i="13"/>
  <c r="U8" i="13"/>
  <c r="R8" i="13"/>
  <c r="N8" i="13"/>
  <c r="U7" i="13"/>
  <c r="R7" i="13"/>
  <c r="N7" i="13"/>
  <c r="U6" i="13"/>
  <c r="R6" i="13"/>
  <c r="N6" i="13"/>
  <c r="U5" i="13"/>
  <c r="R5" i="13"/>
  <c r="N5" i="13"/>
  <c r="U4" i="13"/>
  <c r="R4" i="13"/>
  <c r="N4" i="13"/>
  <c r="U3" i="13"/>
  <c r="R3" i="13"/>
  <c r="N3" i="13"/>
  <c r="J22" i="13"/>
  <c r="G22" i="13"/>
  <c r="C22" i="13"/>
  <c r="J21" i="13"/>
  <c r="G21" i="13"/>
  <c r="C21" i="13"/>
  <c r="J20" i="13"/>
  <c r="G20" i="13"/>
  <c r="C20" i="13"/>
  <c r="J19" i="13"/>
  <c r="G19" i="13"/>
  <c r="C19" i="13"/>
  <c r="J18" i="13"/>
  <c r="G18" i="13"/>
  <c r="C18" i="13"/>
  <c r="J17" i="13"/>
  <c r="G17" i="13"/>
  <c r="C17" i="13"/>
  <c r="J16" i="13"/>
  <c r="G16" i="13"/>
  <c r="C16" i="13"/>
  <c r="J15" i="13"/>
  <c r="G15" i="13"/>
  <c r="C15" i="13"/>
  <c r="J14" i="13"/>
  <c r="G14" i="13"/>
  <c r="C14" i="13"/>
  <c r="J13" i="13"/>
  <c r="G13" i="13"/>
  <c r="C13" i="13"/>
  <c r="J12" i="13"/>
  <c r="G12" i="13"/>
  <c r="C12" i="13"/>
  <c r="J11" i="13"/>
  <c r="G11" i="13"/>
  <c r="C11" i="13"/>
  <c r="J10" i="13"/>
  <c r="G10" i="13"/>
  <c r="C10" i="13"/>
  <c r="J9" i="13"/>
  <c r="G9" i="13"/>
  <c r="C9" i="13"/>
  <c r="J8" i="13"/>
  <c r="G8" i="13"/>
  <c r="C8" i="13"/>
  <c r="J7" i="13"/>
  <c r="G7" i="13"/>
  <c r="C7" i="13"/>
  <c r="J6" i="13"/>
  <c r="G6" i="13"/>
  <c r="C6" i="13"/>
  <c r="J5" i="13"/>
  <c r="G5" i="13"/>
  <c r="C5" i="13"/>
  <c r="J4" i="13"/>
  <c r="G4" i="13"/>
  <c r="C4" i="13"/>
  <c r="J3" i="13"/>
  <c r="G3" i="13"/>
  <c r="C3" i="13"/>
  <c r="J22" i="12"/>
  <c r="G22" i="12"/>
  <c r="C22" i="12"/>
  <c r="J21" i="12"/>
  <c r="G21" i="12"/>
  <c r="C21" i="12"/>
  <c r="J20" i="12"/>
  <c r="G20" i="12"/>
  <c r="C20" i="12"/>
  <c r="J19" i="12"/>
  <c r="G19" i="12"/>
  <c r="C19" i="12"/>
  <c r="J18" i="12"/>
  <c r="G18" i="12"/>
  <c r="C18" i="12"/>
  <c r="J17" i="12"/>
  <c r="G17" i="12"/>
  <c r="C17" i="12"/>
  <c r="J16" i="12"/>
  <c r="G16" i="12"/>
  <c r="C16" i="12"/>
  <c r="J15" i="12"/>
  <c r="G15" i="12"/>
  <c r="C15" i="12"/>
  <c r="J14" i="12"/>
  <c r="G14" i="12"/>
  <c r="C14" i="12"/>
  <c r="J13" i="12"/>
  <c r="G13" i="12"/>
  <c r="C13" i="12"/>
  <c r="J12" i="12"/>
  <c r="G12" i="12"/>
  <c r="C12" i="12"/>
  <c r="J11" i="12"/>
  <c r="G11" i="12"/>
  <c r="C11" i="12"/>
  <c r="J10" i="12"/>
  <c r="G10" i="12"/>
  <c r="C10" i="12"/>
  <c r="J9" i="12"/>
  <c r="G9" i="12"/>
  <c r="C9" i="12"/>
  <c r="J8" i="12"/>
  <c r="G8" i="12"/>
  <c r="C8" i="12"/>
  <c r="J7" i="12"/>
  <c r="G7" i="12"/>
  <c r="C7" i="12"/>
  <c r="J6" i="12"/>
  <c r="G6" i="12"/>
  <c r="C6" i="12"/>
  <c r="J5" i="12"/>
  <c r="G5" i="12"/>
  <c r="C5" i="12"/>
  <c r="J4" i="12"/>
  <c r="G4" i="12"/>
  <c r="C4" i="12"/>
  <c r="J3" i="12"/>
  <c r="G3" i="12"/>
  <c r="C3" i="12"/>
  <c r="J18" i="11"/>
  <c r="G18" i="11"/>
  <c r="C18" i="11"/>
  <c r="J17" i="11"/>
  <c r="G17" i="11"/>
  <c r="C17" i="11"/>
  <c r="J16" i="11"/>
  <c r="G16" i="11"/>
  <c r="C16" i="11"/>
  <c r="J15" i="11"/>
  <c r="G15" i="11"/>
  <c r="C15" i="11"/>
  <c r="J14" i="11"/>
  <c r="G14" i="11"/>
  <c r="C14" i="11"/>
  <c r="J13" i="11"/>
  <c r="G13" i="11"/>
  <c r="C13" i="11"/>
  <c r="J12" i="11"/>
  <c r="G12" i="11"/>
  <c r="C12" i="11"/>
  <c r="J11" i="11"/>
  <c r="G11" i="11"/>
  <c r="C11" i="11"/>
  <c r="J10" i="11"/>
  <c r="G10" i="11"/>
  <c r="C10" i="11"/>
  <c r="J9" i="11"/>
  <c r="G9" i="11"/>
  <c r="C9" i="11"/>
  <c r="J8" i="11"/>
  <c r="G8" i="11"/>
  <c r="C8" i="11"/>
  <c r="J7" i="11"/>
  <c r="G7" i="11"/>
  <c r="C7" i="11"/>
  <c r="J6" i="11"/>
  <c r="G6" i="11"/>
  <c r="C6" i="11"/>
  <c r="J5" i="11"/>
  <c r="G5" i="11"/>
  <c r="C5" i="11"/>
  <c r="J4" i="11"/>
  <c r="G4" i="11"/>
  <c r="C4" i="11"/>
  <c r="J3" i="11"/>
  <c r="G3" i="11"/>
  <c r="C3" i="11"/>
  <c r="J20" i="10"/>
  <c r="G20" i="10"/>
  <c r="C20" i="10"/>
  <c r="J19" i="10"/>
  <c r="G19" i="10"/>
  <c r="C19" i="10"/>
  <c r="J18" i="10"/>
  <c r="G18" i="10"/>
  <c r="C18" i="10"/>
  <c r="J17" i="10"/>
  <c r="G17" i="10"/>
  <c r="C17" i="10"/>
  <c r="J16" i="10"/>
  <c r="G16" i="10"/>
  <c r="C16" i="10"/>
  <c r="J15" i="10"/>
  <c r="G15" i="10"/>
  <c r="C15" i="10"/>
  <c r="J14" i="10"/>
  <c r="G14" i="10"/>
  <c r="C14" i="10"/>
  <c r="J13" i="10"/>
  <c r="G13" i="10"/>
  <c r="C13" i="10"/>
  <c r="J12" i="10"/>
  <c r="G12" i="10"/>
  <c r="C12" i="10"/>
  <c r="J11" i="10"/>
  <c r="G11" i="10"/>
  <c r="C11" i="10"/>
  <c r="J10" i="10"/>
  <c r="G10" i="10"/>
  <c r="C10" i="10"/>
  <c r="J9" i="10"/>
  <c r="G9" i="10"/>
  <c r="C9" i="10"/>
  <c r="J8" i="10"/>
  <c r="G8" i="10"/>
  <c r="C8" i="10"/>
  <c r="J7" i="10"/>
  <c r="G7" i="10"/>
  <c r="C7" i="10"/>
  <c r="J6" i="10"/>
  <c r="G6" i="10"/>
  <c r="C6" i="10"/>
  <c r="J5" i="10"/>
  <c r="G5" i="10"/>
  <c r="C5" i="10"/>
  <c r="J4" i="10"/>
  <c r="G4" i="10"/>
  <c r="C4" i="10"/>
  <c r="J3" i="10"/>
  <c r="G3" i="10"/>
  <c r="C3" i="10"/>
  <c r="L24" i="9"/>
  <c r="N23" i="9"/>
  <c r="N24" i="9"/>
  <c r="L23" i="9"/>
  <c r="U20" i="9"/>
  <c r="R20" i="9"/>
  <c r="N20" i="9"/>
  <c r="U19" i="9"/>
  <c r="R19" i="9"/>
  <c r="N19" i="9"/>
  <c r="U18" i="9"/>
  <c r="R18" i="9"/>
  <c r="N18" i="9"/>
  <c r="U17" i="9"/>
  <c r="R17" i="9"/>
  <c r="N17" i="9"/>
  <c r="U16" i="9"/>
  <c r="R16" i="9"/>
  <c r="N16" i="9"/>
  <c r="U15" i="9"/>
  <c r="R15" i="9"/>
  <c r="N15" i="9"/>
  <c r="U14" i="9"/>
  <c r="R14" i="9"/>
  <c r="N14" i="9"/>
  <c r="U10" i="9"/>
  <c r="R10" i="9"/>
  <c r="N10" i="9"/>
  <c r="U9" i="9"/>
  <c r="R9" i="9"/>
  <c r="N9" i="9"/>
  <c r="U8" i="9"/>
  <c r="R8" i="9"/>
  <c r="N8" i="9"/>
  <c r="U7" i="9"/>
  <c r="R7" i="9"/>
  <c r="N7" i="9"/>
  <c r="U6" i="9"/>
  <c r="R6" i="9"/>
  <c r="N6" i="9"/>
  <c r="U5" i="9"/>
  <c r="R5" i="9"/>
  <c r="N5" i="9"/>
  <c r="U4" i="9"/>
  <c r="R4" i="9"/>
  <c r="N4" i="9"/>
  <c r="J16" i="9"/>
  <c r="G16" i="9"/>
  <c r="C16" i="9"/>
  <c r="J15" i="9"/>
  <c r="G15" i="9"/>
  <c r="C15" i="9"/>
  <c r="J14" i="9"/>
  <c r="G14" i="9"/>
  <c r="C14" i="9"/>
  <c r="J13" i="9"/>
  <c r="G13" i="9"/>
  <c r="C13" i="9"/>
  <c r="J12" i="9"/>
  <c r="G12" i="9"/>
  <c r="C12" i="9"/>
  <c r="J11" i="9"/>
  <c r="G11" i="9"/>
  <c r="C11" i="9"/>
  <c r="J10" i="9"/>
  <c r="G10" i="9"/>
  <c r="C10" i="9"/>
  <c r="J9" i="9"/>
  <c r="G9" i="9"/>
  <c r="C9" i="9"/>
  <c r="J8" i="9"/>
  <c r="G8" i="9"/>
  <c r="C8" i="9"/>
  <c r="J7" i="9"/>
  <c r="G7" i="9"/>
  <c r="C7" i="9"/>
  <c r="J6" i="9"/>
  <c r="G6" i="9"/>
  <c r="C6" i="9"/>
  <c r="J5" i="9"/>
  <c r="G5" i="9"/>
  <c r="C5" i="9"/>
  <c r="J4" i="9"/>
  <c r="G4" i="9"/>
  <c r="C4" i="9"/>
  <c r="J3" i="9"/>
  <c r="G3" i="9"/>
  <c r="C3" i="9"/>
  <c r="C7" i="8"/>
  <c r="J12" i="8"/>
  <c r="G12" i="8"/>
  <c r="C12" i="8"/>
  <c r="J11" i="8"/>
  <c r="G11" i="8"/>
  <c r="C11" i="8"/>
  <c r="J10" i="8"/>
  <c r="G10" i="8"/>
  <c r="C10" i="8"/>
  <c r="J9" i="8"/>
  <c r="G9" i="8"/>
  <c r="C9" i="8"/>
  <c r="J8" i="8"/>
  <c r="G8" i="8"/>
  <c r="C8" i="8"/>
  <c r="J7" i="8"/>
  <c r="G7" i="8"/>
  <c r="J6" i="8"/>
  <c r="G6" i="8"/>
  <c r="C6" i="8"/>
  <c r="J5" i="8"/>
  <c r="G5" i="8"/>
  <c r="C5" i="8"/>
  <c r="J4" i="8"/>
  <c r="G4" i="8"/>
  <c r="C4" i="8"/>
  <c r="J3" i="8"/>
  <c r="G3" i="8"/>
  <c r="C3" i="8"/>
  <c r="J18" i="7"/>
  <c r="G18" i="7"/>
  <c r="C18" i="7"/>
  <c r="J20" i="7"/>
  <c r="G20" i="7"/>
  <c r="C20" i="7"/>
  <c r="J21" i="7"/>
  <c r="G21" i="7"/>
  <c r="C21" i="7"/>
  <c r="J19" i="7"/>
  <c r="G19" i="7"/>
  <c r="C19" i="7"/>
  <c r="J16" i="7"/>
  <c r="G16" i="7"/>
  <c r="C16" i="7"/>
  <c r="J17" i="7"/>
  <c r="G17" i="7"/>
  <c r="C17" i="7"/>
  <c r="J13" i="7"/>
  <c r="G13" i="7"/>
  <c r="C13" i="7"/>
  <c r="J12" i="7"/>
  <c r="G12" i="7"/>
  <c r="C12" i="7"/>
  <c r="J11" i="7"/>
  <c r="G11" i="7"/>
  <c r="C11" i="7"/>
  <c r="J10" i="7"/>
  <c r="G10" i="7"/>
  <c r="C10" i="7"/>
  <c r="J9" i="7"/>
  <c r="G9" i="7"/>
  <c r="C9" i="7"/>
  <c r="J8" i="7"/>
  <c r="G8" i="7"/>
  <c r="C8" i="7"/>
  <c r="J7" i="7"/>
  <c r="G7" i="7"/>
  <c r="C7" i="7"/>
  <c r="J6" i="7"/>
  <c r="G6" i="7"/>
  <c r="C6" i="7"/>
  <c r="J5" i="7"/>
  <c r="G5" i="7"/>
  <c r="C5" i="7"/>
  <c r="J4" i="7"/>
  <c r="G4" i="7"/>
  <c r="C4" i="7"/>
  <c r="J3" i="7"/>
  <c r="G3" i="7"/>
  <c r="C3" i="7"/>
  <c r="J16" i="6"/>
  <c r="G16" i="6"/>
  <c r="C16" i="6"/>
  <c r="J15" i="6"/>
  <c r="G15" i="6"/>
  <c r="C15" i="6"/>
  <c r="J14" i="6"/>
  <c r="G14" i="6"/>
  <c r="C14" i="6"/>
  <c r="J13" i="6"/>
  <c r="G13" i="6"/>
  <c r="C13" i="6"/>
  <c r="J12" i="6"/>
  <c r="G12" i="6"/>
  <c r="C12" i="6"/>
  <c r="J11" i="6"/>
  <c r="G11" i="6"/>
  <c r="C11" i="6"/>
  <c r="J10" i="6"/>
  <c r="G10" i="6"/>
  <c r="C10" i="6"/>
  <c r="J9" i="6"/>
  <c r="G9" i="6"/>
  <c r="C9" i="6"/>
  <c r="J8" i="6"/>
  <c r="G8" i="6"/>
  <c r="C8" i="6"/>
  <c r="J7" i="6"/>
  <c r="G7" i="6"/>
  <c r="C7" i="6"/>
  <c r="J6" i="6"/>
  <c r="G6" i="6"/>
  <c r="C6" i="6"/>
  <c r="J5" i="6"/>
  <c r="G5" i="6"/>
  <c r="C5" i="6"/>
  <c r="J4" i="6"/>
  <c r="G4" i="6"/>
  <c r="C4" i="6"/>
  <c r="J3" i="6"/>
  <c r="G3" i="6"/>
  <c r="C3" i="6"/>
  <c r="E33" i="5"/>
  <c r="C33" i="5"/>
  <c r="J29" i="5"/>
  <c r="G29" i="5"/>
  <c r="C29" i="5"/>
  <c r="J27" i="5"/>
  <c r="G27" i="5"/>
  <c r="C27" i="5"/>
  <c r="J28" i="5"/>
  <c r="G28" i="5"/>
  <c r="C28" i="5"/>
  <c r="J30" i="5"/>
  <c r="G30" i="5"/>
  <c r="C30" i="5"/>
  <c r="J25" i="5"/>
  <c r="G25" i="5"/>
  <c r="C25" i="5"/>
  <c r="J26" i="5"/>
  <c r="G26" i="5"/>
  <c r="C26" i="5"/>
  <c r="J20" i="5"/>
  <c r="G20" i="5"/>
  <c r="C20" i="5"/>
  <c r="J21" i="5"/>
  <c r="G21" i="5"/>
  <c r="C21" i="5"/>
  <c r="J22" i="5"/>
  <c r="G22" i="5"/>
  <c r="C22" i="5"/>
  <c r="J18" i="5"/>
  <c r="G18" i="5"/>
  <c r="C18" i="5"/>
  <c r="J17" i="5"/>
  <c r="G17" i="5"/>
  <c r="C17" i="5"/>
  <c r="J19" i="5"/>
  <c r="G19" i="5"/>
  <c r="C19" i="5"/>
  <c r="N23" i="5"/>
  <c r="N24" i="5"/>
  <c r="L24" i="5"/>
  <c r="L23" i="5"/>
  <c r="N15" i="5"/>
  <c r="N16" i="5"/>
  <c r="N17" i="5"/>
  <c r="N18" i="5"/>
  <c r="N19" i="5"/>
  <c r="N14" i="5"/>
  <c r="N13" i="5"/>
  <c r="N12" i="5"/>
  <c r="N11" i="5"/>
  <c r="N10" i="5"/>
  <c r="N9" i="5"/>
  <c r="N8" i="5"/>
  <c r="N7" i="5"/>
  <c r="N6" i="5"/>
  <c r="N5" i="5"/>
  <c r="N4" i="5"/>
  <c r="N3" i="5"/>
  <c r="U19" i="5"/>
  <c r="R19" i="5"/>
  <c r="U18" i="5"/>
  <c r="R18" i="5"/>
  <c r="U17" i="5"/>
  <c r="R17" i="5"/>
  <c r="U16" i="5"/>
  <c r="R16" i="5"/>
  <c r="U15" i="5"/>
  <c r="R15" i="5"/>
  <c r="U14" i="5"/>
  <c r="R14" i="5"/>
  <c r="U13" i="5"/>
  <c r="R13" i="5"/>
  <c r="U12" i="5"/>
  <c r="R12" i="5"/>
  <c r="U11" i="5"/>
  <c r="R11" i="5"/>
  <c r="U10" i="5"/>
  <c r="R10" i="5"/>
  <c r="U9" i="5"/>
  <c r="R9" i="5"/>
  <c r="U8" i="5"/>
  <c r="R8" i="5"/>
  <c r="U7" i="5"/>
  <c r="R7" i="5"/>
  <c r="U6" i="5"/>
  <c r="R6" i="5"/>
  <c r="U5" i="5"/>
  <c r="R5" i="5"/>
  <c r="U4" i="5"/>
  <c r="R4" i="5"/>
  <c r="U3" i="5"/>
  <c r="R3" i="5"/>
  <c r="C14" i="5"/>
  <c r="C11" i="5"/>
  <c r="C13" i="5"/>
  <c r="C10" i="5"/>
  <c r="C9" i="5"/>
  <c r="C12" i="5"/>
  <c r="C7" i="5"/>
  <c r="C5" i="5"/>
  <c r="C6" i="5"/>
  <c r="C4" i="5"/>
  <c r="C8" i="5"/>
  <c r="C3" i="5"/>
  <c r="J14" i="5"/>
  <c r="G14" i="5"/>
  <c r="J11" i="5"/>
  <c r="G11" i="5"/>
  <c r="J13" i="5"/>
  <c r="G13" i="5"/>
  <c r="J10" i="5"/>
  <c r="G10" i="5"/>
  <c r="J9" i="5"/>
  <c r="G9" i="5"/>
  <c r="J12" i="5"/>
  <c r="G12" i="5"/>
  <c r="J7" i="5"/>
  <c r="G7" i="5"/>
  <c r="J5" i="5"/>
  <c r="G5" i="5"/>
  <c r="J6" i="5"/>
  <c r="G6" i="5"/>
  <c r="J4" i="5"/>
  <c r="G4" i="5"/>
  <c r="J8" i="5"/>
  <c r="G8" i="5"/>
  <c r="J3" i="5"/>
  <c r="G3" i="5"/>
  <c r="C15" i="4"/>
  <c r="C16" i="4"/>
  <c r="C17" i="4"/>
  <c r="C18" i="4"/>
  <c r="C14" i="4"/>
  <c r="C13" i="4"/>
  <c r="C12" i="4"/>
  <c r="C11" i="4"/>
  <c r="C10" i="4"/>
  <c r="C9" i="4"/>
  <c r="C8" i="4"/>
  <c r="C7" i="4"/>
  <c r="C6" i="4"/>
  <c r="C5" i="4"/>
  <c r="C4" i="4"/>
  <c r="C3" i="4"/>
  <c r="J18" i="4"/>
  <c r="G18" i="4"/>
  <c r="J17" i="4"/>
  <c r="G17" i="4"/>
  <c r="J16" i="4"/>
  <c r="G16" i="4"/>
  <c r="J15" i="4"/>
  <c r="G15" i="4"/>
  <c r="J14" i="4"/>
  <c r="G14" i="4"/>
  <c r="J13" i="4"/>
  <c r="G13" i="4"/>
  <c r="J12" i="4"/>
  <c r="G12" i="4"/>
  <c r="J11" i="4"/>
  <c r="G11" i="4"/>
  <c r="J10" i="4"/>
  <c r="G10" i="4"/>
  <c r="J9" i="4"/>
  <c r="G9" i="4"/>
  <c r="J8" i="4"/>
  <c r="G8" i="4"/>
  <c r="J7" i="4"/>
  <c r="G7" i="4"/>
  <c r="J6" i="4"/>
  <c r="G6" i="4"/>
  <c r="J5" i="4"/>
  <c r="G5" i="4"/>
  <c r="J4" i="4"/>
  <c r="G4" i="4"/>
  <c r="J3" i="4"/>
  <c r="G3" i="4"/>
  <c r="J14" i="3"/>
  <c r="G14" i="3"/>
  <c r="C14" i="3"/>
  <c r="J13" i="3"/>
  <c r="G13" i="3"/>
  <c r="C13" i="3"/>
  <c r="J12" i="3"/>
  <c r="G12" i="3"/>
  <c r="C12" i="3"/>
  <c r="J11" i="3"/>
  <c r="G11" i="3"/>
  <c r="C11" i="3"/>
  <c r="J10" i="3"/>
  <c r="G10" i="3"/>
  <c r="C10" i="3"/>
  <c r="J9" i="3"/>
  <c r="G9" i="3"/>
  <c r="C9" i="3"/>
  <c r="J8" i="3"/>
  <c r="G8" i="3"/>
  <c r="C8" i="3"/>
  <c r="J7" i="3"/>
  <c r="G7" i="3"/>
  <c r="C7" i="3"/>
  <c r="J6" i="3"/>
  <c r="G6" i="3"/>
  <c r="C6" i="3"/>
  <c r="J5" i="3"/>
  <c r="G5" i="3"/>
  <c r="C5" i="3"/>
  <c r="J4" i="3"/>
  <c r="G4" i="3"/>
  <c r="C4" i="3"/>
  <c r="J3" i="3"/>
  <c r="G3" i="3"/>
  <c r="C3" i="3"/>
  <c r="E22" i="2"/>
  <c r="C22" i="2"/>
  <c r="E21" i="2"/>
  <c r="C21" i="2"/>
  <c r="C18" i="2"/>
  <c r="A18" i="2"/>
  <c r="C17" i="2"/>
  <c r="A17" i="2"/>
  <c r="J14" i="2"/>
  <c r="G14" i="2"/>
  <c r="C14" i="2"/>
  <c r="J11" i="2"/>
  <c r="G11" i="2"/>
  <c r="C11" i="2"/>
  <c r="J12" i="2"/>
  <c r="G12" i="2"/>
  <c r="C12" i="2"/>
  <c r="J13" i="2"/>
  <c r="G13" i="2"/>
  <c r="C13" i="2"/>
  <c r="J8" i="2"/>
  <c r="G8" i="2"/>
  <c r="C8" i="2"/>
  <c r="J5" i="2"/>
  <c r="G5" i="2"/>
  <c r="C5" i="2"/>
  <c r="J10" i="2"/>
  <c r="G10" i="2"/>
  <c r="C10" i="2"/>
  <c r="J9" i="2"/>
  <c r="G9" i="2"/>
  <c r="C9" i="2"/>
  <c r="J7" i="2"/>
  <c r="G7" i="2"/>
  <c r="C7" i="2"/>
  <c r="J4" i="2"/>
  <c r="G4" i="2"/>
  <c r="C4" i="2"/>
  <c r="J3" i="2"/>
  <c r="G3" i="2"/>
  <c r="C3" i="2"/>
  <c r="J6" i="2"/>
  <c r="G6" i="2"/>
  <c r="C6" i="2"/>
  <c r="J20" i="1"/>
  <c r="G20" i="1"/>
  <c r="C20" i="1"/>
  <c r="J19" i="1"/>
  <c r="G19" i="1"/>
  <c r="C19" i="1"/>
  <c r="J18" i="1"/>
  <c r="G18" i="1"/>
  <c r="C18" i="1"/>
  <c r="J17" i="1"/>
  <c r="G17" i="1"/>
  <c r="C17" i="1"/>
  <c r="J16" i="1"/>
  <c r="G16" i="1"/>
  <c r="C16" i="1"/>
  <c r="J15" i="1"/>
  <c r="G15" i="1"/>
  <c r="C15" i="1"/>
  <c r="J14" i="1"/>
  <c r="G14" i="1"/>
  <c r="C14" i="1"/>
  <c r="J13" i="1"/>
  <c r="G13" i="1"/>
  <c r="C13" i="1"/>
  <c r="J12" i="1"/>
  <c r="G12" i="1"/>
  <c r="C12" i="1"/>
  <c r="J11" i="1"/>
  <c r="G11" i="1"/>
  <c r="C11" i="1"/>
  <c r="J10" i="1"/>
  <c r="G10" i="1"/>
  <c r="C10" i="1"/>
  <c r="J9" i="1"/>
  <c r="G9" i="1"/>
  <c r="C9" i="1"/>
  <c r="J8" i="1"/>
  <c r="G8" i="1"/>
  <c r="C8" i="1"/>
  <c r="J7" i="1"/>
  <c r="G7" i="1"/>
  <c r="C7" i="1"/>
  <c r="J6" i="1"/>
  <c r="G6" i="1"/>
  <c r="C6" i="1"/>
  <c r="J5" i="1"/>
  <c r="G5" i="1"/>
  <c r="C5" i="1"/>
  <c r="J4" i="1"/>
  <c r="G4" i="1"/>
  <c r="C4" i="1"/>
  <c r="J3" i="1"/>
  <c r="G3" i="1"/>
  <c r="C3" i="1"/>
</calcChain>
</file>

<file path=xl/sharedStrings.xml><?xml version="1.0" encoding="utf-8"?>
<sst xmlns="http://schemas.openxmlformats.org/spreadsheetml/2006/main" count="2138" uniqueCount="464">
  <si>
    <t>Saudi Pro League</t>
  </si>
  <si>
    <t>King's Cup</t>
  </si>
  <si>
    <t>#</t>
  </si>
  <si>
    <t>Time</t>
  </si>
  <si>
    <t>PTS</t>
  </si>
  <si>
    <t>PJ</t>
  </si>
  <si>
    <t>VIT</t>
  </si>
  <si>
    <t>E</t>
  </si>
  <si>
    <t>DER</t>
  </si>
  <si>
    <t>GP</t>
  </si>
  <si>
    <t>GC</t>
  </si>
  <si>
    <t>SG</t>
  </si>
  <si>
    <t>Semifinal</t>
  </si>
  <si>
    <t>1.</t>
  </si>
  <si>
    <t>Al Hilal</t>
  </si>
  <si>
    <t>Al Kholood</t>
  </si>
  <si>
    <t>2.</t>
  </si>
  <si>
    <t>Al Taawoun</t>
  </si>
  <si>
    <t>Al Ahli</t>
  </si>
  <si>
    <t>3.</t>
  </si>
  <si>
    <t>Neom</t>
  </si>
  <si>
    <t>4.</t>
  </si>
  <si>
    <t>Al Nassr</t>
  </si>
  <si>
    <t>Final</t>
  </si>
  <si>
    <t>5.</t>
  </si>
  <si>
    <t>6.</t>
  </si>
  <si>
    <t>Al Ittihad</t>
  </si>
  <si>
    <t>7.</t>
  </si>
  <si>
    <t>Al Ettifaq</t>
  </si>
  <si>
    <t>8.</t>
  </si>
  <si>
    <t>Al Qadisiya</t>
  </si>
  <si>
    <t>9.</t>
  </si>
  <si>
    <t>Al Hazem</t>
  </si>
  <si>
    <t>10.</t>
  </si>
  <si>
    <t>Damac</t>
  </si>
  <si>
    <t>11.</t>
  </si>
  <si>
    <t>12.</t>
  </si>
  <si>
    <t>Al Fateh</t>
  </si>
  <si>
    <t>13.</t>
  </si>
  <si>
    <t>Al Shabab</t>
  </si>
  <si>
    <t>14.</t>
  </si>
  <si>
    <t>Al Riyadh</t>
  </si>
  <si>
    <t>15.</t>
  </si>
  <si>
    <t>Al Khaleej</t>
  </si>
  <si>
    <t>16.</t>
  </si>
  <si>
    <t>Al Fayha</t>
  </si>
  <si>
    <t>17.</t>
  </si>
  <si>
    <t>Al Okhdood</t>
  </si>
  <si>
    <t>18.</t>
  </si>
  <si>
    <t>Al Najma</t>
  </si>
  <si>
    <t>Oitavas de final</t>
  </si>
  <si>
    <t>Fase preliminar</t>
  </si>
  <si>
    <t>1x0</t>
  </si>
  <si>
    <t>Quartas de final</t>
  </si>
  <si>
    <t>2x3</t>
  </si>
  <si>
    <t>2x1</t>
  </si>
  <si>
    <t>2x0</t>
  </si>
  <si>
    <t>2x2 (5x6)</t>
  </si>
  <si>
    <t>0x1</t>
  </si>
  <si>
    <t>1x1 (4x3)</t>
  </si>
  <si>
    <t>3x1</t>
  </si>
  <si>
    <t>0x3</t>
  </si>
  <si>
    <t>1x2</t>
  </si>
  <si>
    <t>3x0</t>
  </si>
  <si>
    <t>4x2</t>
  </si>
  <si>
    <t>Campeões</t>
  </si>
  <si>
    <t>A-League</t>
  </si>
  <si>
    <t>Australia Cup</t>
  </si>
  <si>
    <t>Macarthur</t>
  </si>
  <si>
    <t>Brisbane Roar</t>
  </si>
  <si>
    <t>Auckland FC</t>
  </si>
  <si>
    <t>Wellington Phoenix</t>
  </si>
  <si>
    <t>Melbourne City</t>
  </si>
  <si>
    <t>Perth Glory</t>
  </si>
  <si>
    <t>Newcastle Jets</t>
  </si>
  <si>
    <t>Adelaide United</t>
  </si>
  <si>
    <t>Western Sydney Wanderers</t>
  </si>
  <si>
    <t>Central Coast Mariners</t>
  </si>
  <si>
    <t>Melbourne Victory</t>
  </si>
  <si>
    <t>Sydney FC</t>
  </si>
  <si>
    <t>1x3</t>
  </si>
  <si>
    <t>0x0 (5x3)</t>
  </si>
  <si>
    <t>0x0</t>
  </si>
  <si>
    <t>1x1 (3x1)</t>
  </si>
  <si>
    <t>1x1</t>
  </si>
  <si>
    <t>Qatar Stars League</t>
  </si>
  <si>
    <t>Amir Cup</t>
  </si>
  <si>
    <t>Al Rayyan</t>
  </si>
  <si>
    <t>Al Wakrah</t>
  </si>
  <si>
    <t>Al Sadd</t>
  </si>
  <si>
    <t>Al Shahaniya</t>
  </si>
  <si>
    <t>Al Gharafa</t>
  </si>
  <si>
    <t>Al Shamal</t>
  </si>
  <si>
    <t>Qatar SC</t>
  </si>
  <si>
    <t>Al Arabi</t>
  </si>
  <si>
    <t>Al Duhail</t>
  </si>
  <si>
    <t>Umm Salal</t>
  </si>
  <si>
    <t>Al Sailiya</t>
  </si>
  <si>
    <t>0x0 (5x4)</t>
  </si>
  <si>
    <t>0x2</t>
  </si>
  <si>
    <t>Chinese Super League</t>
  </si>
  <si>
    <t>CFA Cup</t>
  </si>
  <si>
    <t>Zhejiang</t>
  </si>
  <si>
    <t>Chengdu Rongcheng</t>
  </si>
  <si>
    <t>Qingdao Hainiu</t>
  </si>
  <si>
    <t>Beijing Guoan</t>
  </si>
  <si>
    <t>Shenzhen Peng City</t>
  </si>
  <si>
    <t>Yunnan Yukun</t>
  </si>
  <si>
    <t>Tianjin Jinmen Tiger</t>
  </si>
  <si>
    <t>Shanghai Shenhua</t>
  </si>
  <si>
    <t>Liaoning Tieren</t>
  </si>
  <si>
    <t>Tongliang Long</t>
  </si>
  <si>
    <t>Shanghai Port</t>
  </si>
  <si>
    <t>Wuhan Three Towns</t>
  </si>
  <si>
    <t>Henan FC</t>
  </si>
  <si>
    <t>Dalian Yingbo</t>
  </si>
  <si>
    <t>Shandong Taishan</t>
  </si>
  <si>
    <t>Qingdao West Coast</t>
  </si>
  <si>
    <t>3x2</t>
  </si>
  <si>
    <t>K League 1</t>
  </si>
  <si>
    <t>K League 2</t>
  </si>
  <si>
    <t>Jeonbuk Hyundai</t>
  </si>
  <si>
    <t>Gwangju</t>
  </si>
  <si>
    <t>Bucheon 1995</t>
  </si>
  <si>
    <t>Incheon United</t>
  </si>
  <si>
    <t>Gangwon</t>
  </si>
  <si>
    <t>Ulsan HD</t>
  </si>
  <si>
    <t>FC Anyang</t>
  </si>
  <si>
    <t>Jeju SK</t>
  </si>
  <si>
    <t>Pohang Steelers</t>
  </si>
  <si>
    <t>Gimcheon Sangmu</t>
  </si>
  <si>
    <t>FC Seoul</t>
  </si>
  <si>
    <t>Daejeon Hana Citizen</t>
  </si>
  <si>
    <t>Championship round</t>
  </si>
  <si>
    <t>Relegation round</t>
  </si>
  <si>
    <t>Duelo do rebaixamento</t>
  </si>
  <si>
    <t>Busan Ipark</t>
  </si>
  <si>
    <t>Seoul E-Land</t>
  </si>
  <si>
    <t>Gimpo FC</t>
  </si>
  <si>
    <t>Gyeongnam</t>
  </si>
  <si>
    <t>Gimhae FC</t>
  </si>
  <si>
    <t>Cheonan City</t>
  </si>
  <si>
    <t>Chungbuk Gheongju</t>
  </si>
  <si>
    <t>Hwaseong FC</t>
  </si>
  <si>
    <t>Suwon FC</t>
  </si>
  <si>
    <t>Daegu</t>
  </si>
  <si>
    <t>Seongnam</t>
  </si>
  <si>
    <t>Ansan Greeners</t>
  </si>
  <si>
    <t>Paju Citizen</t>
  </si>
  <si>
    <t>Jeonnam Dragons</t>
  </si>
  <si>
    <t>Chungnam Asan</t>
  </si>
  <si>
    <t>Yongin FC</t>
  </si>
  <si>
    <t>Suwon Bluewings</t>
  </si>
  <si>
    <t>Playoff do acesso</t>
  </si>
  <si>
    <t>Korean Cup</t>
  </si>
  <si>
    <t>1x1 (4x5)</t>
  </si>
  <si>
    <t>3x3 (2x4)</t>
  </si>
  <si>
    <t>1x1 (2x4)</t>
  </si>
  <si>
    <t>1x1 (5x3)</t>
  </si>
  <si>
    <t>2x2 (2x4)</t>
  </si>
  <si>
    <t>UAE Pro League</t>
  </si>
  <si>
    <t>Presidents Cup</t>
  </si>
  <si>
    <t>Al Ain</t>
  </si>
  <si>
    <t>Al Fujairah</t>
  </si>
  <si>
    <t>Shabab Al Ahli</t>
  </si>
  <si>
    <t>Al Jazira</t>
  </si>
  <si>
    <t>Baniyas</t>
  </si>
  <si>
    <t>Al Nasr</t>
  </si>
  <si>
    <t>Al Wahda</t>
  </si>
  <si>
    <t>Al Sharjah</t>
  </si>
  <si>
    <t>Al Wasl</t>
  </si>
  <si>
    <t>Al Dhafra</t>
  </si>
  <si>
    <t>Ajman</t>
  </si>
  <si>
    <t>Al Ittihad Kalba</t>
  </si>
  <si>
    <t>Khor Fakkan</t>
  </si>
  <si>
    <t>Al Bataeh</t>
  </si>
  <si>
    <t>1x4</t>
  </si>
  <si>
    <t>Philippines Football League</t>
  </si>
  <si>
    <t>One Taguig</t>
  </si>
  <si>
    <t>Manila Digger</t>
  </si>
  <si>
    <t>Cebu FC</t>
  </si>
  <si>
    <t>Stallion Laguna</t>
  </si>
  <si>
    <t>Maharlika</t>
  </si>
  <si>
    <t>Kaya-Iloilo</t>
  </si>
  <si>
    <t>Aguilas-Umak</t>
  </si>
  <si>
    <t>Valenzuela</t>
  </si>
  <si>
    <t>Tuloy</t>
  </si>
  <si>
    <t>Philippine Army</t>
  </si>
  <si>
    <t>Don Bosco</t>
  </si>
  <si>
    <t>Campeão</t>
  </si>
  <si>
    <t>Hong Kong Premier League</t>
  </si>
  <si>
    <t>Lee Man</t>
  </si>
  <si>
    <t>Kitchee</t>
  </si>
  <si>
    <t>North District</t>
  </si>
  <si>
    <t>Tai Po</t>
  </si>
  <si>
    <t>Rangers</t>
  </si>
  <si>
    <t>Kowloon City</t>
  </si>
  <si>
    <t>Southern</t>
  </si>
  <si>
    <t>Eastern District</t>
  </si>
  <si>
    <t>Eastern</t>
  </si>
  <si>
    <t>Hong Kong FC</t>
  </si>
  <si>
    <t>Hong Kong FA Cup</t>
  </si>
  <si>
    <t>0x5</t>
  </si>
  <si>
    <t>Indian Super League</t>
  </si>
  <si>
    <t>Punjab</t>
  </si>
  <si>
    <t>Jamshedpur</t>
  </si>
  <si>
    <t>SC Delhi</t>
  </si>
  <si>
    <t>Bengaluru</t>
  </si>
  <si>
    <t>Chennaiyin</t>
  </si>
  <si>
    <t>Mohun Bagan</t>
  </si>
  <si>
    <t>Mumbai City</t>
  </si>
  <si>
    <t>Mohammedan</t>
  </si>
  <si>
    <t>Odisha</t>
  </si>
  <si>
    <t>Northeast United</t>
  </si>
  <si>
    <t>Kerala Blasters</t>
  </si>
  <si>
    <t>FC Goa</t>
  </si>
  <si>
    <t>Inter Kashi</t>
  </si>
  <si>
    <t>East Bengal</t>
  </si>
  <si>
    <t>AIFF Super Cup</t>
  </si>
  <si>
    <t>Grupo A</t>
  </si>
  <si>
    <t>Grupo B</t>
  </si>
  <si>
    <t>0x0 (4x5)</t>
  </si>
  <si>
    <t>5x1</t>
  </si>
  <si>
    <t>Indonesia Super League</t>
  </si>
  <si>
    <t>Bali United</t>
  </si>
  <si>
    <t>PSIM Yogyakarta</t>
  </si>
  <si>
    <t>Persija Jakarta</t>
  </si>
  <si>
    <t>Persib Bandung</t>
  </si>
  <si>
    <t>Borneo Samarinda</t>
  </si>
  <si>
    <t>Malut United</t>
  </si>
  <si>
    <t>Persik Kediri</t>
  </si>
  <si>
    <t>Persita Tangerang</t>
  </si>
  <si>
    <t>PSM Makassar</t>
  </si>
  <si>
    <t>Arema FC</t>
  </si>
  <si>
    <t>Dewa United</t>
  </si>
  <si>
    <t>Bhayangkara</t>
  </si>
  <si>
    <t>Madura United</t>
  </si>
  <si>
    <t>PSBS Biak</t>
  </si>
  <si>
    <t>Semen Padang</t>
  </si>
  <si>
    <t>Persis Solo</t>
  </si>
  <si>
    <t>Persijap Jepara</t>
  </si>
  <si>
    <t>Persebaya Surubaya</t>
  </si>
  <si>
    <t>Persian Gulf Pro League</t>
  </si>
  <si>
    <t>Hazfi Cup</t>
  </si>
  <si>
    <t>Tractor</t>
  </si>
  <si>
    <t>Foolad</t>
  </si>
  <si>
    <t>Persepolis</t>
  </si>
  <si>
    <t>Gol Gohar</t>
  </si>
  <si>
    <t>Malavan</t>
  </si>
  <si>
    <t>Sepahan</t>
  </si>
  <si>
    <t>Esteghlal</t>
  </si>
  <si>
    <t>Aluminium Arak</t>
  </si>
  <si>
    <t>Chador Malu</t>
  </si>
  <si>
    <t>Kheybar Khorrambad</t>
  </si>
  <si>
    <t>Shams Azar</t>
  </si>
  <si>
    <t>Fajr Sepasi</t>
  </si>
  <si>
    <t>Paykan</t>
  </si>
  <si>
    <t>Esteghlal KH</t>
  </si>
  <si>
    <t>Zob Ahan</t>
  </si>
  <si>
    <t>Mes Rafsanjan</t>
  </si>
  <si>
    <t>2x2 (3x4)</t>
  </si>
  <si>
    <t>Iraq Stars League</t>
  </si>
  <si>
    <t>Iraqi FA Cup</t>
  </si>
  <si>
    <t>Al Karkh</t>
  </si>
  <si>
    <t>Erbil</t>
  </si>
  <si>
    <t>Al Mina'a</t>
  </si>
  <si>
    <t>Al Karma</t>
  </si>
  <si>
    <t>Al Qasim</t>
  </si>
  <si>
    <t>Al Quwa Al Jawiya</t>
  </si>
  <si>
    <t>Al Naft</t>
  </si>
  <si>
    <t>Duhok</t>
  </si>
  <si>
    <t>Al Talaba</t>
  </si>
  <si>
    <t>Al Mosul</t>
  </si>
  <si>
    <t>Al Shorta</t>
  </si>
  <si>
    <t>Al Zawraa</t>
  </si>
  <si>
    <t>Diyala</t>
  </si>
  <si>
    <t>Al Najaf</t>
  </si>
  <si>
    <t>Zakho</t>
  </si>
  <si>
    <t>Amanat Baghdad</t>
  </si>
  <si>
    <t>Naft Missan</t>
  </si>
  <si>
    <t>Al Gharraf</t>
  </si>
  <si>
    <t>Al Kahraba'a</t>
  </si>
  <si>
    <t>19.</t>
  </si>
  <si>
    <t>Newroz</t>
  </si>
  <si>
    <t>20.</t>
  </si>
  <si>
    <t>0x4</t>
  </si>
  <si>
    <t>1x1 (1x3)</t>
  </si>
  <si>
    <t>2x2 (1x4)</t>
  </si>
  <si>
    <t>J1 League</t>
  </si>
  <si>
    <t>J2 League</t>
  </si>
  <si>
    <t>Playoff de acesso</t>
  </si>
  <si>
    <t>Emperor Cup</t>
  </si>
  <si>
    <t>Fagiano Okayama</t>
  </si>
  <si>
    <t>Tokyo Verdy</t>
  </si>
  <si>
    <t>Machida Zelvia</t>
  </si>
  <si>
    <t>Jef United Chiba</t>
  </si>
  <si>
    <t>Vissel Kobe</t>
  </si>
  <si>
    <t>Sanfrecce Hiroshima</t>
  </si>
  <si>
    <t>Shimizu S-Pulse</t>
  </si>
  <si>
    <t>Avispa Fukuoka</t>
  </si>
  <si>
    <t>Mito Hollyhock</t>
  </si>
  <si>
    <t>Cerezo Osaka</t>
  </si>
  <si>
    <t>Kashiwa Reysol</t>
  </si>
  <si>
    <t>FC Tokyo</t>
  </si>
  <si>
    <t>V-Varen Nagasaki</t>
  </si>
  <si>
    <t>Kashima Antlers</t>
  </si>
  <si>
    <t>Kyoto Sanga</t>
  </si>
  <si>
    <t>Urawa Reds</t>
  </si>
  <si>
    <t>Kawasaki Frontale</t>
  </si>
  <si>
    <t>Gamba Osaka</t>
  </si>
  <si>
    <t>Nagoya Grampus</t>
  </si>
  <si>
    <t>Yokohama Marinos</t>
  </si>
  <si>
    <t>Montedio Yamagata</t>
  </si>
  <si>
    <t>Blaublitz Akita</t>
  </si>
  <si>
    <t>Iwaki FC</t>
  </si>
  <si>
    <t>Fujieda MYFC</t>
  </si>
  <si>
    <t>RB Omiya Ardija</t>
  </si>
  <si>
    <t>FC Imabari</t>
  </si>
  <si>
    <t>Tokushima Vortis</t>
  </si>
  <si>
    <t>Vanraure Hachinohe</t>
  </si>
  <si>
    <t>Oita Trinita</t>
  </si>
  <si>
    <t>Ventforet Kofu</t>
  </si>
  <si>
    <t>Albirex Niigata</t>
  </si>
  <si>
    <t>Tochigi City</t>
  </si>
  <si>
    <t>Shonan Bellmare</t>
  </si>
  <si>
    <t>Hokkaido Consadole Sapporo</t>
  </si>
  <si>
    <t>Tegevajaro Miyazaki</t>
  </si>
  <si>
    <t>Sagan Tosu</t>
  </si>
  <si>
    <t>Yokohama FC</t>
  </si>
  <si>
    <t>Kataller Toyama</t>
  </si>
  <si>
    <t>Vegalta Sendai</t>
  </si>
  <si>
    <t>Júbilo Iwata</t>
  </si>
  <si>
    <t>16-avos-de-final</t>
  </si>
  <si>
    <t>1x1 (5x4)</t>
  </si>
  <si>
    <t>4x1</t>
  </si>
  <si>
    <t>1x1 (5x6)</t>
  </si>
  <si>
    <t>4x0</t>
  </si>
  <si>
    <t>2x2 (3x2)</t>
  </si>
  <si>
    <t>Jordan Pro League</t>
  </si>
  <si>
    <t>Jordan Cup</t>
  </si>
  <si>
    <t>Al Hussein</t>
  </si>
  <si>
    <t>Al Faisaly</t>
  </si>
  <si>
    <t>Al Salt</t>
  </si>
  <si>
    <t>Al Ramtha</t>
  </si>
  <si>
    <t>Al Wehdat</t>
  </si>
  <si>
    <t>Shabab Al Baqa'a</t>
  </si>
  <si>
    <t>Al Jazeera</t>
  </si>
  <si>
    <t>Shabab Al Ordon</t>
  </si>
  <si>
    <t>Sama Al Sarhan</t>
  </si>
  <si>
    <t xml:space="preserve"> Al Salt</t>
  </si>
  <si>
    <t>0x0 (2x4)</t>
  </si>
  <si>
    <t>Zain Premier League</t>
  </si>
  <si>
    <t>Al Salmiya</t>
  </si>
  <si>
    <t>Kuwait SC</t>
  </si>
  <si>
    <t>Al Fahaheel</t>
  </si>
  <si>
    <t>Qadsia SC</t>
  </si>
  <si>
    <t>Kazma SC</t>
  </si>
  <si>
    <t>Al Jahra</t>
  </si>
  <si>
    <t>Al Tadhamon</t>
  </si>
  <si>
    <t>Emir Cup</t>
  </si>
  <si>
    <t>Malaysia Super League</t>
  </si>
  <si>
    <t>JDT</t>
  </si>
  <si>
    <t>Kuching City</t>
  </si>
  <si>
    <t>Terengganu</t>
  </si>
  <si>
    <t>KLC</t>
  </si>
  <si>
    <t>Selangor</t>
  </si>
  <si>
    <t>Negeri Sembilan</t>
  </si>
  <si>
    <t>Sabah FC</t>
  </si>
  <si>
    <t>DPMM</t>
  </si>
  <si>
    <t>Penang</t>
  </si>
  <si>
    <t>Melaka</t>
  </si>
  <si>
    <t>Immigration</t>
  </si>
  <si>
    <t>Kelantan TRW</t>
  </si>
  <si>
    <t>PDRM</t>
  </si>
  <si>
    <t>Malaysia FA Cup</t>
  </si>
  <si>
    <t>3x3</t>
  </si>
  <si>
    <t>1x0 (2x3)</t>
  </si>
  <si>
    <t>2x0 (5x6)</t>
  </si>
  <si>
    <t>Singapore Premier League</t>
  </si>
  <si>
    <t>FC Jurong</t>
  </si>
  <si>
    <t>Lion City Sailors</t>
  </si>
  <si>
    <t>Geylang International</t>
  </si>
  <si>
    <t>Tanjong Pagar</t>
  </si>
  <si>
    <t>Balestier</t>
  </si>
  <si>
    <t>Tampines Rovers</t>
  </si>
  <si>
    <t>Hougang United</t>
  </si>
  <si>
    <t>Young Lions</t>
  </si>
  <si>
    <t>Singapore Cup</t>
  </si>
  <si>
    <t>Fase de grupos</t>
  </si>
  <si>
    <t>Thai League 1</t>
  </si>
  <si>
    <t>Buriram United</t>
  </si>
  <si>
    <t>Ratchaburi</t>
  </si>
  <si>
    <t>BG Pathum United</t>
  </si>
  <si>
    <t>Chiangrai United</t>
  </si>
  <si>
    <t>Port FC</t>
  </si>
  <si>
    <t>Bangkok United</t>
  </si>
  <si>
    <t>Uthai Thani</t>
  </si>
  <si>
    <t>Chonburi</t>
  </si>
  <si>
    <t>Ayutthaya United</t>
  </si>
  <si>
    <t>Kanchanaburi Power</t>
  </si>
  <si>
    <t>Muangthong United</t>
  </si>
  <si>
    <t>PT Prachuap</t>
  </si>
  <si>
    <t>Rayong</t>
  </si>
  <si>
    <t>Sukhothai</t>
  </si>
  <si>
    <t>Nakhon Ratchasima</t>
  </si>
  <si>
    <t>Lamphun Warriors</t>
  </si>
  <si>
    <t>Thai FA Cup</t>
  </si>
  <si>
    <t>3x3 (7x6)</t>
  </si>
  <si>
    <t>Tajikistan Higher League</t>
  </si>
  <si>
    <t>Sardor Tursunzoda</t>
  </si>
  <si>
    <t>CSKA Pamir Dushanbe</t>
  </si>
  <si>
    <t>Parvoz</t>
  </si>
  <si>
    <t>FC Khujand</t>
  </si>
  <si>
    <t>Regar-Tadaz Tursunzoda</t>
  </si>
  <si>
    <t>Vakhsh</t>
  </si>
  <si>
    <t>FC Istaravshan</t>
  </si>
  <si>
    <t>Khosilot Parkhar</t>
  </si>
  <si>
    <t>FC Barqchi</t>
  </si>
  <si>
    <t>Eskhata</t>
  </si>
  <si>
    <t>FC Ravshan Kulob</t>
  </si>
  <si>
    <t>FC Istiklol</t>
  </si>
  <si>
    <t>Tajikistan Cup</t>
  </si>
  <si>
    <t>2x2 (5x4)</t>
  </si>
  <si>
    <t>2x2</t>
  </si>
  <si>
    <t>0x0 (4x2)</t>
  </si>
  <si>
    <t>3x0 (4x2)</t>
  </si>
  <si>
    <t>Uzbekistan Super League</t>
  </si>
  <si>
    <t>Mash'al Mubarek</t>
  </si>
  <si>
    <t>Surkhon Termez</t>
  </si>
  <si>
    <t>Navbahor Namangan</t>
  </si>
  <si>
    <t>PFK Xorazm</t>
  </si>
  <si>
    <t>Bunyodkor</t>
  </si>
  <si>
    <t>FK Buxoro</t>
  </si>
  <si>
    <t>Sogdiana Jizzakh</t>
  </si>
  <si>
    <t>Lokomotiv Tashkent</t>
  </si>
  <si>
    <t>Nasaf</t>
  </si>
  <si>
    <t>Pakhtakor Tashkent</t>
  </si>
  <si>
    <t>Qizilqum Zarafshon</t>
  </si>
  <si>
    <t>Dinamo Samarqand</t>
  </si>
  <si>
    <t>Neftchi</t>
  </si>
  <si>
    <t>Andijan</t>
  </si>
  <si>
    <t>Kokand 1912</t>
  </si>
  <si>
    <t>OKMK</t>
  </si>
  <si>
    <t>Uzbekistan Cup</t>
  </si>
  <si>
    <t>Grupo C</t>
  </si>
  <si>
    <t>Grupo D</t>
  </si>
  <si>
    <t>1x1 (3x4)</t>
  </si>
  <si>
    <t>V-League 1</t>
  </si>
  <si>
    <t>Viettel</t>
  </si>
  <si>
    <t>Ninh Bình</t>
  </si>
  <si>
    <t>Haiphong</t>
  </si>
  <si>
    <t>Hong Linh Ha Tinh</t>
  </si>
  <si>
    <t>Cong An Ha Noi</t>
  </si>
  <si>
    <t>Công An HCMC</t>
  </si>
  <si>
    <t>Song Lam Nghe An</t>
  </si>
  <si>
    <t>Hanoi</t>
  </si>
  <si>
    <t>Hoàng Anh Gia Lai</t>
  </si>
  <si>
    <t>PVF-Công An Nhân Dân</t>
  </si>
  <si>
    <t>Nam Dinh</t>
  </si>
  <si>
    <t>Becamex Binh Duong</t>
  </si>
  <si>
    <t>SHB Da Nang</t>
  </si>
  <si>
    <t>Thanh Hóa</t>
  </si>
  <si>
    <t>Vietnam Cup</t>
  </si>
  <si>
    <t>1x1 (6x5)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</si>
</sst>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FB885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88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4" borderId="0" xfId="0" applyFont="1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3" borderId="0" xfId="0" applyFont="1" applyFill="1"/>
    <xf numFmtId="0" fontId="3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4" borderId="0" xfId="0" applyFont="1" applyFill="1"/>
    <xf numFmtId="0" fontId="5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88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9429-53BD-4A9F-879F-40A1ADC160F6}">
  <dimension ref="A1:Q27"/>
  <sheetViews>
    <sheetView workbookViewId="0">
      <selection activeCell="Q3" sqref="Q3"/>
    </sheetView>
  </sheetViews>
  <sheetFormatPr defaultRowHeight="14.4" x14ac:dyDescent="0.3"/>
  <cols>
    <col min="1" max="1" width="15.6640625" customWidth="1"/>
    <col min="2" max="2" width="11.6640625" customWidth="1"/>
    <col min="12" max="12" width="14.109375" customWidth="1"/>
    <col min="14" max="14" width="10.77734375" customWidth="1"/>
    <col min="16" max="16" width="10.5546875" customWidth="1"/>
  </cols>
  <sheetData>
    <row r="1" spans="1:17" x14ac:dyDescent="0.3">
      <c r="A1" t="s">
        <v>0</v>
      </c>
      <c r="L1" t="s">
        <v>1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P2" t="s">
        <v>30</v>
      </c>
      <c r="Q2">
        <v>1</v>
      </c>
    </row>
    <row r="3" spans="1:17" x14ac:dyDescent="0.3">
      <c r="A3" s="1" t="s">
        <v>13</v>
      </c>
      <c r="B3" t="s">
        <v>30</v>
      </c>
      <c r="C3" s="2">
        <f t="shared" ref="C3:C20" si="0">E3*3+F3</f>
        <v>60</v>
      </c>
      <c r="D3">
        <v>34</v>
      </c>
      <c r="E3">
        <v>17</v>
      </c>
      <c r="F3">
        <v>9</v>
      </c>
      <c r="G3">
        <f>D3-E3-F3</f>
        <v>8</v>
      </c>
      <c r="H3">
        <v>62</v>
      </c>
      <c r="I3">
        <v>41</v>
      </c>
      <c r="J3">
        <f>H3-I3</f>
        <v>21</v>
      </c>
      <c r="L3" t="s">
        <v>47</v>
      </c>
      <c r="M3" t="s">
        <v>52</v>
      </c>
      <c r="N3" t="s">
        <v>49</v>
      </c>
      <c r="P3" t="s">
        <v>26</v>
      </c>
      <c r="Q3">
        <v>11</v>
      </c>
    </row>
    <row r="4" spans="1:17" x14ac:dyDescent="0.3">
      <c r="A4" s="1" t="s">
        <v>16</v>
      </c>
      <c r="B4" t="s">
        <v>28</v>
      </c>
      <c r="C4" s="2">
        <f t="shared" si="0"/>
        <v>57</v>
      </c>
      <c r="D4">
        <v>34</v>
      </c>
      <c r="E4">
        <v>17</v>
      </c>
      <c r="F4">
        <v>6</v>
      </c>
      <c r="G4">
        <f t="shared" ref="G4:G20" si="1">D4-E4-F4</f>
        <v>11</v>
      </c>
      <c r="H4">
        <v>49</v>
      </c>
      <c r="I4">
        <v>44</v>
      </c>
      <c r="J4">
        <f t="shared" ref="J4:J20" si="2">H4-I4</f>
        <v>5</v>
      </c>
      <c r="L4" t="s">
        <v>43</v>
      </c>
      <c r="M4" t="s">
        <v>52</v>
      </c>
      <c r="N4" t="s">
        <v>45</v>
      </c>
    </row>
    <row r="5" spans="1:17" x14ac:dyDescent="0.3">
      <c r="A5" s="1" t="s">
        <v>19</v>
      </c>
      <c r="B5" t="s">
        <v>20</v>
      </c>
      <c r="C5" s="2">
        <f t="shared" si="0"/>
        <v>54</v>
      </c>
      <c r="D5">
        <v>34</v>
      </c>
      <c r="E5">
        <v>15</v>
      </c>
      <c r="F5">
        <v>9</v>
      </c>
      <c r="G5">
        <f t="shared" si="1"/>
        <v>10</v>
      </c>
      <c r="H5">
        <v>56</v>
      </c>
      <c r="I5">
        <v>43</v>
      </c>
      <c r="J5">
        <f t="shared" si="2"/>
        <v>13</v>
      </c>
    </row>
    <row r="6" spans="1:17" x14ac:dyDescent="0.3">
      <c r="A6" s="4" t="s">
        <v>21</v>
      </c>
      <c r="B6" t="s">
        <v>41</v>
      </c>
      <c r="C6" s="2">
        <f t="shared" si="0"/>
        <v>52</v>
      </c>
      <c r="D6">
        <v>34</v>
      </c>
      <c r="E6">
        <v>15</v>
      </c>
      <c r="F6">
        <v>7</v>
      </c>
      <c r="G6">
        <f t="shared" si="1"/>
        <v>12</v>
      </c>
      <c r="H6">
        <v>46</v>
      </c>
      <c r="I6">
        <v>48</v>
      </c>
      <c r="J6">
        <f t="shared" si="2"/>
        <v>-2</v>
      </c>
      <c r="L6" t="s">
        <v>50</v>
      </c>
    </row>
    <row r="7" spans="1:17" x14ac:dyDescent="0.3">
      <c r="A7" s="4" t="s">
        <v>24</v>
      </c>
      <c r="B7" t="s">
        <v>45</v>
      </c>
      <c r="C7" s="2">
        <f t="shared" si="0"/>
        <v>51</v>
      </c>
      <c r="D7">
        <v>34</v>
      </c>
      <c r="E7">
        <v>14</v>
      </c>
      <c r="F7">
        <v>9</v>
      </c>
      <c r="G7">
        <f t="shared" si="1"/>
        <v>11</v>
      </c>
      <c r="H7">
        <v>58</v>
      </c>
      <c r="I7">
        <v>49</v>
      </c>
      <c r="J7">
        <f t="shared" si="2"/>
        <v>9</v>
      </c>
      <c r="L7" t="s">
        <v>47</v>
      </c>
      <c r="M7" t="s">
        <v>54</v>
      </c>
      <c r="N7" t="s">
        <v>17</v>
      </c>
    </row>
    <row r="8" spans="1:17" x14ac:dyDescent="0.3">
      <c r="A8" s="5" t="s">
        <v>25</v>
      </c>
      <c r="B8" t="s">
        <v>14</v>
      </c>
      <c r="C8" s="2">
        <f t="shared" si="0"/>
        <v>51</v>
      </c>
      <c r="D8">
        <v>34</v>
      </c>
      <c r="E8">
        <v>14</v>
      </c>
      <c r="F8">
        <v>9</v>
      </c>
      <c r="G8">
        <f t="shared" si="1"/>
        <v>11</v>
      </c>
      <c r="H8">
        <v>52</v>
      </c>
      <c r="I8">
        <v>46</v>
      </c>
      <c r="J8">
        <f t="shared" si="2"/>
        <v>6</v>
      </c>
      <c r="L8" t="s">
        <v>26</v>
      </c>
      <c r="M8" t="s">
        <v>55</v>
      </c>
      <c r="N8" t="s">
        <v>14</v>
      </c>
    </row>
    <row r="9" spans="1:17" x14ac:dyDescent="0.3">
      <c r="A9" t="s">
        <v>27</v>
      </c>
      <c r="B9" t="s">
        <v>22</v>
      </c>
      <c r="C9" s="2">
        <f t="shared" si="0"/>
        <v>50</v>
      </c>
      <c r="D9">
        <v>34</v>
      </c>
      <c r="E9">
        <v>14</v>
      </c>
      <c r="F9">
        <v>8</v>
      </c>
      <c r="G9">
        <f t="shared" si="1"/>
        <v>12</v>
      </c>
      <c r="H9">
        <v>50</v>
      </c>
      <c r="I9">
        <v>45</v>
      </c>
      <c r="J9">
        <f t="shared" si="2"/>
        <v>5</v>
      </c>
      <c r="L9" t="s">
        <v>20</v>
      </c>
      <c r="M9" t="s">
        <v>56</v>
      </c>
      <c r="N9" t="s">
        <v>28</v>
      </c>
    </row>
    <row r="10" spans="1:17" x14ac:dyDescent="0.3">
      <c r="A10" t="s">
        <v>29</v>
      </c>
      <c r="B10" t="s">
        <v>39</v>
      </c>
      <c r="C10" s="2">
        <f t="shared" si="0"/>
        <v>48</v>
      </c>
      <c r="D10">
        <v>34</v>
      </c>
      <c r="E10">
        <v>14</v>
      </c>
      <c r="F10">
        <v>6</v>
      </c>
      <c r="G10">
        <f t="shared" si="1"/>
        <v>14</v>
      </c>
      <c r="H10">
        <v>48</v>
      </c>
      <c r="I10">
        <v>50</v>
      </c>
      <c r="J10">
        <f t="shared" si="2"/>
        <v>-2</v>
      </c>
      <c r="L10" t="s">
        <v>18</v>
      </c>
      <c r="M10" t="s">
        <v>57</v>
      </c>
      <c r="N10" t="s">
        <v>15</v>
      </c>
    </row>
    <row r="11" spans="1:17" x14ac:dyDescent="0.3">
      <c r="A11" t="s">
        <v>31</v>
      </c>
      <c r="B11" t="s">
        <v>47</v>
      </c>
      <c r="C11" s="2">
        <f t="shared" si="0"/>
        <v>47</v>
      </c>
      <c r="D11">
        <v>34</v>
      </c>
      <c r="E11">
        <v>12</v>
      </c>
      <c r="F11">
        <v>11</v>
      </c>
      <c r="G11">
        <f t="shared" si="1"/>
        <v>11</v>
      </c>
      <c r="H11">
        <v>62</v>
      </c>
      <c r="I11">
        <v>53</v>
      </c>
      <c r="J11">
        <f t="shared" si="2"/>
        <v>9</v>
      </c>
      <c r="L11" t="s">
        <v>32</v>
      </c>
      <c r="M11" t="s">
        <v>58</v>
      </c>
      <c r="N11" t="s">
        <v>39</v>
      </c>
    </row>
    <row r="12" spans="1:17" x14ac:dyDescent="0.3">
      <c r="A12" t="s">
        <v>33</v>
      </c>
      <c r="B12" t="s">
        <v>49</v>
      </c>
      <c r="C12" s="2">
        <f t="shared" si="0"/>
        <v>46</v>
      </c>
      <c r="D12">
        <v>34</v>
      </c>
      <c r="E12">
        <v>12</v>
      </c>
      <c r="F12">
        <v>10</v>
      </c>
      <c r="G12">
        <f t="shared" si="1"/>
        <v>12</v>
      </c>
      <c r="H12">
        <v>40</v>
      </c>
      <c r="I12">
        <v>44</v>
      </c>
      <c r="J12">
        <f t="shared" si="2"/>
        <v>-4</v>
      </c>
      <c r="L12" t="s">
        <v>43</v>
      </c>
      <c r="M12" t="s">
        <v>58</v>
      </c>
      <c r="N12" t="s">
        <v>41</v>
      </c>
    </row>
    <row r="13" spans="1:17" x14ac:dyDescent="0.3">
      <c r="A13" t="s">
        <v>35</v>
      </c>
      <c r="B13" t="s">
        <v>37</v>
      </c>
      <c r="C13" s="2">
        <f t="shared" si="0"/>
        <v>46</v>
      </c>
      <c r="D13">
        <v>34</v>
      </c>
      <c r="E13">
        <v>13</v>
      </c>
      <c r="F13">
        <v>7</v>
      </c>
      <c r="G13">
        <f t="shared" si="1"/>
        <v>14</v>
      </c>
      <c r="H13">
        <v>46</v>
      </c>
      <c r="I13">
        <v>50</v>
      </c>
      <c r="J13">
        <f t="shared" si="2"/>
        <v>-4</v>
      </c>
      <c r="L13" t="s">
        <v>34</v>
      </c>
      <c r="M13" t="s">
        <v>58</v>
      </c>
      <c r="N13" t="s">
        <v>30</v>
      </c>
    </row>
    <row r="14" spans="1:17" x14ac:dyDescent="0.3">
      <c r="A14" s="3" t="s">
        <v>36</v>
      </c>
      <c r="B14" t="s">
        <v>26</v>
      </c>
      <c r="C14" s="2">
        <f t="shared" si="0"/>
        <v>46</v>
      </c>
      <c r="D14">
        <v>34</v>
      </c>
      <c r="E14">
        <v>11</v>
      </c>
      <c r="F14">
        <v>13</v>
      </c>
      <c r="G14">
        <f t="shared" si="1"/>
        <v>10</v>
      </c>
      <c r="H14">
        <v>49</v>
      </c>
      <c r="I14">
        <v>52</v>
      </c>
      <c r="J14">
        <f t="shared" si="2"/>
        <v>-3</v>
      </c>
      <c r="L14" t="s">
        <v>22</v>
      </c>
      <c r="M14" t="s">
        <v>59</v>
      </c>
      <c r="N14" t="s">
        <v>37</v>
      </c>
    </row>
    <row r="15" spans="1:17" x14ac:dyDescent="0.3">
      <c r="A15" t="s">
        <v>38</v>
      </c>
      <c r="B15" t="s">
        <v>17</v>
      </c>
      <c r="C15" s="2">
        <f t="shared" si="0"/>
        <v>44</v>
      </c>
      <c r="D15">
        <v>34</v>
      </c>
      <c r="E15">
        <v>13</v>
      </c>
      <c r="F15">
        <v>5</v>
      </c>
      <c r="G15">
        <f t="shared" si="1"/>
        <v>16</v>
      </c>
      <c r="H15">
        <v>52</v>
      </c>
      <c r="I15">
        <v>55</v>
      </c>
      <c r="J15">
        <f t="shared" si="2"/>
        <v>-3</v>
      </c>
    </row>
    <row r="16" spans="1:17" x14ac:dyDescent="0.3">
      <c r="A16" t="s">
        <v>40</v>
      </c>
      <c r="B16" t="s">
        <v>15</v>
      </c>
      <c r="C16" s="2">
        <f t="shared" si="0"/>
        <v>42</v>
      </c>
      <c r="D16">
        <v>34</v>
      </c>
      <c r="E16">
        <v>10</v>
      </c>
      <c r="F16">
        <v>12</v>
      </c>
      <c r="G16">
        <f t="shared" si="1"/>
        <v>12</v>
      </c>
      <c r="H16">
        <v>52</v>
      </c>
      <c r="I16">
        <v>53</v>
      </c>
      <c r="J16">
        <f t="shared" si="2"/>
        <v>-1</v>
      </c>
      <c r="L16" t="s">
        <v>53</v>
      </c>
    </row>
    <row r="17" spans="1:14" x14ac:dyDescent="0.3">
      <c r="A17" t="s">
        <v>42</v>
      </c>
      <c r="B17" t="s">
        <v>34</v>
      </c>
      <c r="C17" s="2">
        <f t="shared" si="0"/>
        <v>42</v>
      </c>
      <c r="D17">
        <v>34</v>
      </c>
      <c r="E17">
        <v>12</v>
      </c>
      <c r="F17">
        <v>6</v>
      </c>
      <c r="G17">
        <f t="shared" si="1"/>
        <v>16</v>
      </c>
      <c r="H17">
        <v>48</v>
      </c>
      <c r="I17">
        <v>61</v>
      </c>
      <c r="J17">
        <f t="shared" si="2"/>
        <v>-13</v>
      </c>
      <c r="L17" t="s">
        <v>41</v>
      </c>
      <c r="M17" t="s">
        <v>52</v>
      </c>
      <c r="N17" t="s">
        <v>39</v>
      </c>
    </row>
    <row r="18" spans="1:14" x14ac:dyDescent="0.3">
      <c r="A18" t="s">
        <v>44</v>
      </c>
      <c r="B18" t="s">
        <v>43</v>
      </c>
      <c r="C18" s="2">
        <f t="shared" si="0"/>
        <v>40</v>
      </c>
      <c r="D18">
        <v>34</v>
      </c>
      <c r="E18">
        <v>11</v>
      </c>
      <c r="F18">
        <v>7</v>
      </c>
      <c r="G18">
        <f t="shared" si="1"/>
        <v>16</v>
      </c>
      <c r="H18">
        <v>47</v>
      </c>
      <c r="I18">
        <v>59</v>
      </c>
      <c r="J18">
        <f t="shared" si="2"/>
        <v>-12</v>
      </c>
      <c r="L18" t="s">
        <v>26</v>
      </c>
      <c r="M18" t="s">
        <v>60</v>
      </c>
      <c r="N18" t="s">
        <v>17</v>
      </c>
    </row>
    <row r="19" spans="1:14" x14ac:dyDescent="0.3">
      <c r="A19" t="s">
        <v>46</v>
      </c>
      <c r="B19" t="s">
        <v>18</v>
      </c>
      <c r="C19" s="2">
        <f t="shared" si="0"/>
        <v>33</v>
      </c>
      <c r="D19">
        <v>34</v>
      </c>
      <c r="E19">
        <v>8</v>
      </c>
      <c r="F19">
        <v>9</v>
      </c>
      <c r="G19">
        <f t="shared" si="1"/>
        <v>17</v>
      </c>
      <c r="H19">
        <v>41</v>
      </c>
      <c r="I19">
        <v>49</v>
      </c>
      <c r="J19">
        <f t="shared" si="2"/>
        <v>-8</v>
      </c>
      <c r="L19" t="s">
        <v>20</v>
      </c>
      <c r="M19" t="s">
        <v>61</v>
      </c>
      <c r="N19" t="s">
        <v>22</v>
      </c>
    </row>
    <row r="20" spans="1:14" x14ac:dyDescent="0.3">
      <c r="A20" t="s">
        <v>48</v>
      </c>
      <c r="B20" t="s">
        <v>32</v>
      </c>
      <c r="C20" s="2">
        <f t="shared" si="0"/>
        <v>33</v>
      </c>
      <c r="D20">
        <v>34</v>
      </c>
      <c r="E20">
        <v>8</v>
      </c>
      <c r="F20">
        <v>9</v>
      </c>
      <c r="G20">
        <f t="shared" si="1"/>
        <v>17</v>
      </c>
      <c r="H20">
        <v>44</v>
      </c>
      <c r="I20">
        <v>60</v>
      </c>
      <c r="J20">
        <f t="shared" si="2"/>
        <v>-16</v>
      </c>
      <c r="L20" t="s">
        <v>30</v>
      </c>
      <c r="M20" t="s">
        <v>62</v>
      </c>
      <c r="N20" t="s">
        <v>15</v>
      </c>
    </row>
    <row r="22" spans="1:14" x14ac:dyDescent="0.3">
      <c r="L22" t="s">
        <v>12</v>
      </c>
    </row>
    <row r="23" spans="1:14" x14ac:dyDescent="0.3">
      <c r="L23" t="s">
        <v>26</v>
      </c>
      <c r="M23" t="s">
        <v>63</v>
      </c>
      <c r="N23" t="s">
        <v>41</v>
      </c>
    </row>
    <row r="24" spans="1:14" x14ac:dyDescent="0.3">
      <c r="L24" t="s">
        <v>22</v>
      </c>
      <c r="M24" t="s">
        <v>64</v>
      </c>
      <c r="N24" t="s">
        <v>15</v>
      </c>
    </row>
    <row r="26" spans="1:14" x14ac:dyDescent="0.3">
      <c r="L26" t="s">
        <v>23</v>
      </c>
    </row>
    <row r="27" spans="1:14" x14ac:dyDescent="0.3">
      <c r="L27" t="s">
        <v>26</v>
      </c>
      <c r="M27" t="s">
        <v>52</v>
      </c>
      <c r="N2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3ABC-D7E3-4504-A6E5-343E2893E510}">
  <dimension ref="A1:Q25"/>
  <sheetViews>
    <sheetView workbookViewId="0">
      <selection activeCell="B7" sqref="B7"/>
    </sheetView>
  </sheetViews>
  <sheetFormatPr defaultRowHeight="14.4" x14ac:dyDescent="0.3"/>
  <cols>
    <col min="1" max="1" width="14.33203125" customWidth="1"/>
    <col min="2" max="2" width="24.21875" customWidth="1"/>
    <col min="3" max="3" width="23.5546875" customWidth="1"/>
    <col min="5" max="5" width="13.6640625" customWidth="1"/>
    <col min="7" max="7" width="9.33203125" customWidth="1"/>
    <col min="12" max="12" width="24" customWidth="1"/>
    <col min="14" max="14" width="23.77734375" customWidth="1"/>
    <col min="16" max="16" width="11.33203125" customWidth="1"/>
  </cols>
  <sheetData>
    <row r="1" spans="1:17" x14ac:dyDescent="0.3">
      <c r="A1" t="s">
        <v>66</v>
      </c>
      <c r="L1" t="s">
        <v>67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P2" t="s">
        <v>73</v>
      </c>
      <c r="Q2">
        <v>1</v>
      </c>
    </row>
    <row r="3" spans="1:17" x14ac:dyDescent="0.3">
      <c r="A3" s="1" t="s">
        <v>13</v>
      </c>
      <c r="B3" t="s">
        <v>73</v>
      </c>
      <c r="C3" s="2">
        <f>E3*3+F3</f>
        <v>44</v>
      </c>
      <c r="D3">
        <v>26</v>
      </c>
      <c r="E3">
        <v>13</v>
      </c>
      <c r="F3">
        <v>5</v>
      </c>
      <c r="G3">
        <f>D3-E3-F3</f>
        <v>8</v>
      </c>
      <c r="H3">
        <v>34</v>
      </c>
      <c r="I3">
        <v>29</v>
      </c>
      <c r="J3">
        <f>H3-I3</f>
        <v>5</v>
      </c>
      <c r="L3" t="s">
        <v>75</v>
      </c>
      <c r="M3" t="s">
        <v>62</v>
      </c>
      <c r="N3" t="s">
        <v>79</v>
      </c>
      <c r="P3" t="s">
        <v>68</v>
      </c>
      <c r="Q3">
        <v>3</v>
      </c>
    </row>
    <row r="4" spans="1:17" x14ac:dyDescent="0.3">
      <c r="A4" s="4" t="s">
        <v>16</v>
      </c>
      <c r="B4" t="s">
        <v>72</v>
      </c>
      <c r="C4" s="2">
        <f>E4*3+F4</f>
        <v>42</v>
      </c>
      <c r="D4">
        <v>26</v>
      </c>
      <c r="E4">
        <v>13</v>
      </c>
      <c r="F4">
        <v>3</v>
      </c>
      <c r="G4">
        <f>D4-E4-F4</f>
        <v>10</v>
      </c>
      <c r="H4">
        <v>37</v>
      </c>
      <c r="I4">
        <v>30</v>
      </c>
      <c r="J4">
        <f>H4-I4</f>
        <v>7</v>
      </c>
      <c r="L4" t="s">
        <v>69</v>
      </c>
      <c r="M4" t="s">
        <v>52</v>
      </c>
      <c r="N4" t="s">
        <v>73</v>
      </c>
    </row>
    <row r="5" spans="1:17" x14ac:dyDescent="0.3">
      <c r="A5" s="7" t="s">
        <v>19</v>
      </c>
      <c r="B5" t="s">
        <v>79</v>
      </c>
      <c r="C5" s="2">
        <f>E5*3+F5</f>
        <v>42</v>
      </c>
      <c r="D5">
        <v>26</v>
      </c>
      <c r="E5">
        <v>12</v>
      </c>
      <c r="F5">
        <v>6</v>
      </c>
      <c r="G5">
        <f>D5-E5-F5</f>
        <v>8</v>
      </c>
      <c r="H5">
        <v>40</v>
      </c>
      <c r="I5">
        <v>34</v>
      </c>
      <c r="J5">
        <f>H5-I5</f>
        <v>6</v>
      </c>
    </row>
    <row r="6" spans="1:17" x14ac:dyDescent="0.3">
      <c r="A6" s="3" t="s">
        <v>21</v>
      </c>
      <c r="B6" t="s">
        <v>68</v>
      </c>
      <c r="C6" s="2">
        <f>E6*3+F6</f>
        <v>42</v>
      </c>
      <c r="D6">
        <v>26</v>
      </c>
      <c r="E6">
        <v>13</v>
      </c>
      <c r="F6">
        <v>3</v>
      </c>
      <c r="G6">
        <f>D6-E6-F6</f>
        <v>10</v>
      </c>
      <c r="H6">
        <v>34</v>
      </c>
      <c r="I6">
        <v>30</v>
      </c>
      <c r="J6">
        <f>H6-I6</f>
        <v>4</v>
      </c>
      <c r="L6" t="s">
        <v>53</v>
      </c>
    </row>
    <row r="7" spans="1:17" x14ac:dyDescent="0.3">
      <c r="A7" s="7" t="s">
        <v>24</v>
      </c>
      <c r="B7" t="s">
        <v>76</v>
      </c>
      <c r="C7" s="2">
        <f>E7*3+F7</f>
        <v>37</v>
      </c>
      <c r="D7">
        <v>26</v>
      </c>
      <c r="E7">
        <v>11</v>
      </c>
      <c r="F7">
        <v>4</v>
      </c>
      <c r="G7">
        <f>D7-E7-F7</f>
        <v>11</v>
      </c>
      <c r="H7">
        <v>37</v>
      </c>
      <c r="I7">
        <v>41</v>
      </c>
      <c r="J7">
        <f>H7-I7</f>
        <v>-4</v>
      </c>
      <c r="L7" t="s">
        <v>79</v>
      </c>
      <c r="M7" t="s">
        <v>58</v>
      </c>
      <c r="N7" t="s">
        <v>76</v>
      </c>
    </row>
    <row r="8" spans="1:17" x14ac:dyDescent="0.3">
      <c r="A8" s="7" t="s">
        <v>25</v>
      </c>
      <c r="B8" t="s">
        <v>69</v>
      </c>
      <c r="C8" s="2">
        <f>E8*3+F8</f>
        <v>36</v>
      </c>
      <c r="D8">
        <v>26</v>
      </c>
      <c r="E8">
        <v>9</v>
      </c>
      <c r="F8">
        <v>9</v>
      </c>
      <c r="G8">
        <f>D8-E8-F8</f>
        <v>8</v>
      </c>
      <c r="H8">
        <v>33</v>
      </c>
      <c r="I8">
        <v>27</v>
      </c>
      <c r="J8">
        <f>H8-I8</f>
        <v>6</v>
      </c>
      <c r="L8" t="s">
        <v>77</v>
      </c>
      <c r="M8" t="s">
        <v>58</v>
      </c>
      <c r="N8" t="s">
        <v>68</v>
      </c>
    </row>
    <row r="9" spans="1:17" x14ac:dyDescent="0.3">
      <c r="A9" t="s">
        <v>27</v>
      </c>
      <c r="B9" t="s">
        <v>70</v>
      </c>
      <c r="C9" s="2">
        <f>E9*3+F9</f>
        <v>36</v>
      </c>
      <c r="D9">
        <v>26</v>
      </c>
      <c r="E9">
        <v>9</v>
      </c>
      <c r="F9">
        <v>9</v>
      </c>
      <c r="G9">
        <f>D9-E9-F9</f>
        <v>8</v>
      </c>
      <c r="H9">
        <v>31</v>
      </c>
      <c r="I9">
        <v>29</v>
      </c>
      <c r="J9">
        <f>H9-I9</f>
        <v>2</v>
      </c>
      <c r="L9" t="s">
        <v>78</v>
      </c>
      <c r="M9" t="s">
        <v>52</v>
      </c>
      <c r="N9" t="s">
        <v>74</v>
      </c>
    </row>
    <row r="10" spans="1:17" x14ac:dyDescent="0.3">
      <c r="A10" t="s">
        <v>29</v>
      </c>
      <c r="B10" t="s">
        <v>74</v>
      </c>
      <c r="C10" s="2">
        <f>E10*3+F10</f>
        <v>36</v>
      </c>
      <c r="D10">
        <v>26</v>
      </c>
      <c r="E10">
        <v>11</v>
      </c>
      <c r="F10">
        <v>3</v>
      </c>
      <c r="G10">
        <f>D10-E10-F10</f>
        <v>12</v>
      </c>
      <c r="H10">
        <v>35</v>
      </c>
      <c r="I10">
        <v>36</v>
      </c>
      <c r="J10">
        <f>H10-I10</f>
        <v>-1</v>
      </c>
      <c r="L10" t="s">
        <v>72</v>
      </c>
      <c r="M10" t="s">
        <v>62</v>
      </c>
      <c r="N10" t="s">
        <v>69</v>
      </c>
    </row>
    <row r="11" spans="1:17" x14ac:dyDescent="0.3">
      <c r="A11" t="s">
        <v>31</v>
      </c>
      <c r="B11" t="s">
        <v>75</v>
      </c>
      <c r="C11" s="2">
        <f>E11*3+F11</f>
        <v>33</v>
      </c>
      <c r="D11">
        <v>26</v>
      </c>
      <c r="E11">
        <v>10</v>
      </c>
      <c r="F11">
        <v>3</v>
      </c>
      <c r="G11">
        <f>D11-E11-F11</f>
        <v>13</v>
      </c>
      <c r="H11">
        <v>28</v>
      </c>
      <c r="I11">
        <v>41</v>
      </c>
      <c r="J11">
        <f>H11-I11</f>
        <v>-13</v>
      </c>
    </row>
    <row r="12" spans="1:17" x14ac:dyDescent="0.3">
      <c r="A12" t="s">
        <v>33</v>
      </c>
      <c r="B12" t="s">
        <v>71</v>
      </c>
      <c r="C12" s="2">
        <f>E12*3+F12</f>
        <v>31</v>
      </c>
      <c r="D12">
        <v>26</v>
      </c>
      <c r="E12">
        <v>8</v>
      </c>
      <c r="F12">
        <v>7</v>
      </c>
      <c r="G12">
        <f>D12-E12-F12</f>
        <v>11</v>
      </c>
      <c r="H12">
        <v>35</v>
      </c>
      <c r="I12">
        <v>37</v>
      </c>
      <c r="J12">
        <f>H12-I12</f>
        <v>-2</v>
      </c>
      <c r="L12" t="s">
        <v>12</v>
      </c>
    </row>
    <row r="13" spans="1:17" x14ac:dyDescent="0.3">
      <c r="A13" t="s">
        <v>35</v>
      </c>
      <c r="B13" t="s">
        <v>77</v>
      </c>
      <c r="C13" s="2">
        <f>E13*3+F13</f>
        <v>30</v>
      </c>
      <c r="D13">
        <v>26</v>
      </c>
      <c r="E13">
        <v>7</v>
      </c>
      <c r="F13">
        <v>9</v>
      </c>
      <c r="G13">
        <f>D13-E13-F13</f>
        <v>10</v>
      </c>
      <c r="H13">
        <v>36</v>
      </c>
      <c r="I13">
        <v>38</v>
      </c>
      <c r="J13">
        <f>H13-I13</f>
        <v>-2</v>
      </c>
      <c r="L13" t="s">
        <v>76</v>
      </c>
      <c r="M13" t="s">
        <v>62</v>
      </c>
      <c r="N13" t="s">
        <v>68</v>
      </c>
    </row>
    <row r="14" spans="1:17" x14ac:dyDescent="0.3">
      <c r="A14" t="s">
        <v>36</v>
      </c>
      <c r="B14" t="s">
        <v>78</v>
      </c>
      <c r="C14" s="2">
        <f>E14*3+F14</f>
        <v>25</v>
      </c>
      <c r="D14">
        <v>26</v>
      </c>
      <c r="E14">
        <v>6</v>
      </c>
      <c r="F14">
        <v>7</v>
      </c>
      <c r="G14">
        <f>D14-E14-F14</f>
        <v>13</v>
      </c>
      <c r="H14">
        <v>40</v>
      </c>
      <c r="I14">
        <v>48</v>
      </c>
      <c r="J14">
        <f>H14-I14</f>
        <v>-8</v>
      </c>
      <c r="L14" t="s">
        <v>78</v>
      </c>
      <c r="M14" t="s">
        <v>54</v>
      </c>
      <c r="N14" t="s">
        <v>69</v>
      </c>
    </row>
    <row r="16" spans="1:17" x14ac:dyDescent="0.3">
      <c r="A16" t="s">
        <v>51</v>
      </c>
      <c r="L16" t="s">
        <v>23</v>
      </c>
    </row>
    <row r="17" spans="1:14" x14ac:dyDescent="0.3">
      <c r="A17" t="str">
        <f>B6</f>
        <v>Macarthur</v>
      </c>
      <c r="B17" t="s">
        <v>52</v>
      </c>
      <c r="C17" t="str">
        <f>B7</f>
        <v>Western Sydney Wanderers</v>
      </c>
      <c r="L17" t="s">
        <v>68</v>
      </c>
      <c r="M17" t="s">
        <v>52</v>
      </c>
      <c r="N17" t="s">
        <v>69</v>
      </c>
    </row>
    <row r="18" spans="1:14" x14ac:dyDescent="0.3">
      <c r="A18" t="str">
        <f>B5</f>
        <v>Sydney FC</v>
      </c>
      <c r="B18" t="s">
        <v>83</v>
      </c>
      <c r="C18" t="str">
        <f>B8</f>
        <v>Brisbane Roar</v>
      </c>
    </row>
    <row r="20" spans="1:14" x14ac:dyDescent="0.3">
      <c r="A20" t="s">
        <v>12</v>
      </c>
    </row>
    <row r="21" spans="1:14" x14ac:dyDescent="0.3">
      <c r="A21" t="s">
        <v>68</v>
      </c>
      <c r="B21" t="s">
        <v>84</v>
      </c>
      <c r="C21" t="str">
        <f>B3</f>
        <v>Perth Glory</v>
      </c>
      <c r="E21" t="str">
        <f>B3</f>
        <v>Perth Glory</v>
      </c>
      <c r="F21" t="s">
        <v>52</v>
      </c>
      <c r="G21" t="s">
        <v>68</v>
      </c>
    </row>
    <row r="22" spans="1:14" x14ac:dyDescent="0.3">
      <c r="A22" t="s">
        <v>79</v>
      </c>
      <c r="B22" t="s">
        <v>56</v>
      </c>
      <c r="C22" t="str">
        <f>B4</f>
        <v>Melbourne City</v>
      </c>
      <c r="E22" t="str">
        <f>B4</f>
        <v>Melbourne City</v>
      </c>
      <c r="F22" t="s">
        <v>82</v>
      </c>
      <c r="G22" t="s">
        <v>79</v>
      </c>
    </row>
    <row r="24" spans="1:14" x14ac:dyDescent="0.3">
      <c r="A24" t="s">
        <v>23</v>
      </c>
    </row>
    <row r="25" spans="1:14" x14ac:dyDescent="0.3">
      <c r="A25" t="s">
        <v>73</v>
      </c>
      <c r="B25" t="s">
        <v>55</v>
      </c>
      <c r="C25" t="s">
        <v>79</v>
      </c>
    </row>
  </sheetData>
  <sortState xmlns:xlrd2="http://schemas.microsoft.com/office/spreadsheetml/2017/richdata2" ref="B3:J14">
    <sortCondition descending="1" ref="C3:C14"/>
    <sortCondition descending="1" ref="J3:J14"/>
    <sortCondition descending="1" ref="H3:H14"/>
    <sortCondition descending="1" ref="E3:E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43FE-CFD6-45AA-AE5B-50FAF24054D8}">
  <dimension ref="A1:Q19"/>
  <sheetViews>
    <sheetView workbookViewId="0">
      <selection activeCell="E20" sqref="E20"/>
    </sheetView>
  </sheetViews>
  <sheetFormatPr defaultRowHeight="14.4" x14ac:dyDescent="0.3"/>
  <cols>
    <col min="1" max="1" width="16.88671875" customWidth="1"/>
    <col min="2" max="2" width="11.44140625" customWidth="1"/>
    <col min="12" max="12" width="15.21875" customWidth="1"/>
    <col min="14" max="14" width="11.88671875" customWidth="1"/>
    <col min="16" max="16" width="9.88671875" customWidth="1"/>
  </cols>
  <sheetData>
    <row r="1" spans="1:17" x14ac:dyDescent="0.3">
      <c r="A1" t="s">
        <v>85</v>
      </c>
      <c r="L1" t="s">
        <v>86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P2" t="s">
        <v>87</v>
      </c>
      <c r="Q2">
        <v>10</v>
      </c>
    </row>
    <row r="3" spans="1:17" x14ac:dyDescent="0.3">
      <c r="A3" s="1" t="s">
        <v>13</v>
      </c>
      <c r="B3" t="s">
        <v>87</v>
      </c>
      <c r="C3" s="2">
        <f t="shared" ref="C3:C14" si="0">E3*3+F3</f>
        <v>38</v>
      </c>
      <c r="D3">
        <v>22</v>
      </c>
      <c r="E3">
        <v>11</v>
      </c>
      <c r="F3">
        <v>5</v>
      </c>
      <c r="G3">
        <f>D3-E3-F3</f>
        <v>6</v>
      </c>
      <c r="H3">
        <v>46</v>
      </c>
      <c r="I3">
        <v>38</v>
      </c>
      <c r="J3">
        <f>H3-I3</f>
        <v>8</v>
      </c>
      <c r="L3" t="s">
        <v>93</v>
      </c>
      <c r="M3" t="s">
        <v>56</v>
      </c>
      <c r="N3" t="s">
        <v>97</v>
      </c>
      <c r="P3" t="s">
        <v>87</v>
      </c>
      <c r="Q3">
        <v>7</v>
      </c>
    </row>
    <row r="4" spans="1:17" x14ac:dyDescent="0.3">
      <c r="A4" s="1" t="s">
        <v>16</v>
      </c>
      <c r="B4" t="s">
        <v>92</v>
      </c>
      <c r="C4" s="2">
        <f t="shared" si="0"/>
        <v>37</v>
      </c>
      <c r="D4">
        <v>22</v>
      </c>
      <c r="E4">
        <v>11</v>
      </c>
      <c r="F4">
        <v>4</v>
      </c>
      <c r="G4">
        <f t="shared" ref="G4:G14" si="1">D4-E4-F4</f>
        <v>7</v>
      </c>
      <c r="H4">
        <v>45</v>
      </c>
      <c r="I4">
        <v>38</v>
      </c>
      <c r="J4">
        <f t="shared" ref="J4:J14" si="2">H4-I4</f>
        <v>7</v>
      </c>
      <c r="L4" t="s">
        <v>94</v>
      </c>
      <c r="M4" t="s">
        <v>56</v>
      </c>
      <c r="N4" t="s">
        <v>96</v>
      </c>
    </row>
    <row r="5" spans="1:17" x14ac:dyDescent="0.3">
      <c r="A5" s="1" t="s">
        <v>19</v>
      </c>
      <c r="B5" t="s">
        <v>18</v>
      </c>
      <c r="C5" s="2">
        <f t="shared" si="0"/>
        <v>34</v>
      </c>
      <c r="D5">
        <v>22</v>
      </c>
      <c r="E5">
        <v>9</v>
      </c>
      <c r="F5">
        <v>7</v>
      </c>
      <c r="G5">
        <f t="shared" si="1"/>
        <v>6</v>
      </c>
      <c r="H5">
        <v>41</v>
      </c>
      <c r="I5">
        <v>34</v>
      </c>
      <c r="J5">
        <f t="shared" si="2"/>
        <v>7</v>
      </c>
      <c r="L5" t="s">
        <v>18</v>
      </c>
      <c r="M5" t="s">
        <v>63</v>
      </c>
      <c r="N5" t="s">
        <v>90</v>
      </c>
    </row>
    <row r="6" spans="1:17" x14ac:dyDescent="0.3">
      <c r="A6" s="3" t="s">
        <v>21</v>
      </c>
      <c r="B6" t="s">
        <v>89</v>
      </c>
      <c r="C6" s="2">
        <f t="shared" si="0"/>
        <v>34</v>
      </c>
      <c r="D6">
        <v>22</v>
      </c>
      <c r="E6">
        <v>10</v>
      </c>
      <c r="F6">
        <v>4</v>
      </c>
      <c r="G6">
        <f t="shared" si="1"/>
        <v>8</v>
      </c>
      <c r="H6">
        <v>39</v>
      </c>
      <c r="I6">
        <v>34</v>
      </c>
      <c r="J6">
        <f t="shared" si="2"/>
        <v>5</v>
      </c>
      <c r="L6" t="s">
        <v>95</v>
      </c>
      <c r="M6" t="s">
        <v>52</v>
      </c>
      <c r="N6" t="s">
        <v>88</v>
      </c>
    </row>
    <row r="7" spans="1:17" x14ac:dyDescent="0.3">
      <c r="A7" s="5" t="s">
        <v>24</v>
      </c>
      <c r="B7" t="s">
        <v>91</v>
      </c>
      <c r="C7" s="2">
        <f t="shared" si="0"/>
        <v>34</v>
      </c>
      <c r="D7">
        <v>22</v>
      </c>
      <c r="E7">
        <v>10</v>
      </c>
      <c r="F7">
        <v>4</v>
      </c>
      <c r="G7">
        <f t="shared" si="1"/>
        <v>8</v>
      </c>
      <c r="H7">
        <v>42</v>
      </c>
      <c r="I7">
        <v>38</v>
      </c>
      <c r="J7">
        <f t="shared" si="2"/>
        <v>4</v>
      </c>
    </row>
    <row r="8" spans="1:17" x14ac:dyDescent="0.3">
      <c r="A8" t="s">
        <v>25</v>
      </c>
      <c r="B8" t="s">
        <v>95</v>
      </c>
      <c r="C8" s="2">
        <f t="shared" si="0"/>
        <v>31</v>
      </c>
      <c r="D8">
        <v>22</v>
      </c>
      <c r="E8">
        <v>8</v>
      </c>
      <c r="F8">
        <v>7</v>
      </c>
      <c r="G8">
        <f t="shared" si="1"/>
        <v>7</v>
      </c>
      <c r="H8">
        <v>43</v>
      </c>
      <c r="I8">
        <v>39</v>
      </c>
      <c r="J8">
        <f t="shared" si="2"/>
        <v>4</v>
      </c>
      <c r="L8" t="s">
        <v>53</v>
      </c>
    </row>
    <row r="9" spans="1:17" x14ac:dyDescent="0.3">
      <c r="A9" t="s">
        <v>27</v>
      </c>
      <c r="B9" t="s">
        <v>88</v>
      </c>
      <c r="C9" s="2">
        <f t="shared" si="0"/>
        <v>29</v>
      </c>
      <c r="D9">
        <v>22</v>
      </c>
      <c r="E9">
        <v>8</v>
      </c>
      <c r="F9">
        <v>5</v>
      </c>
      <c r="G9">
        <f t="shared" si="1"/>
        <v>9</v>
      </c>
      <c r="H9">
        <v>33</v>
      </c>
      <c r="I9">
        <v>35</v>
      </c>
      <c r="J9">
        <f t="shared" si="2"/>
        <v>-2</v>
      </c>
      <c r="L9" t="s">
        <v>92</v>
      </c>
      <c r="M9" t="s">
        <v>98</v>
      </c>
      <c r="N9" t="s">
        <v>93</v>
      </c>
    </row>
    <row r="10" spans="1:17" x14ac:dyDescent="0.3">
      <c r="A10" t="s">
        <v>29</v>
      </c>
      <c r="B10" t="s">
        <v>96</v>
      </c>
      <c r="C10" s="2">
        <f t="shared" si="0"/>
        <v>27</v>
      </c>
      <c r="D10">
        <v>22</v>
      </c>
      <c r="E10">
        <v>6</v>
      </c>
      <c r="F10">
        <v>9</v>
      </c>
      <c r="G10">
        <f t="shared" si="1"/>
        <v>7</v>
      </c>
      <c r="H10">
        <v>43</v>
      </c>
      <c r="I10">
        <v>44</v>
      </c>
      <c r="J10">
        <f t="shared" si="2"/>
        <v>-1</v>
      </c>
      <c r="L10" t="s">
        <v>89</v>
      </c>
      <c r="M10" t="s">
        <v>63</v>
      </c>
      <c r="N10" t="s">
        <v>18</v>
      </c>
    </row>
    <row r="11" spans="1:17" x14ac:dyDescent="0.3">
      <c r="A11" t="s">
        <v>31</v>
      </c>
      <c r="B11" t="s">
        <v>97</v>
      </c>
      <c r="C11" s="2">
        <f t="shared" si="0"/>
        <v>25</v>
      </c>
      <c r="D11">
        <v>22</v>
      </c>
      <c r="E11">
        <v>6</v>
      </c>
      <c r="F11">
        <v>7</v>
      </c>
      <c r="G11">
        <f t="shared" si="1"/>
        <v>9</v>
      </c>
      <c r="H11">
        <v>39</v>
      </c>
      <c r="I11">
        <v>42</v>
      </c>
      <c r="J11">
        <f t="shared" si="2"/>
        <v>-3</v>
      </c>
      <c r="L11" t="s">
        <v>87</v>
      </c>
      <c r="M11" t="s">
        <v>98</v>
      </c>
      <c r="N11" t="s">
        <v>95</v>
      </c>
    </row>
    <row r="12" spans="1:17" x14ac:dyDescent="0.3">
      <c r="A12" t="s">
        <v>33</v>
      </c>
      <c r="B12" t="s">
        <v>94</v>
      </c>
      <c r="C12" s="2">
        <f t="shared" si="0"/>
        <v>25</v>
      </c>
      <c r="D12">
        <v>22</v>
      </c>
      <c r="E12">
        <v>5</v>
      </c>
      <c r="F12">
        <v>10</v>
      </c>
      <c r="G12">
        <f t="shared" si="1"/>
        <v>7</v>
      </c>
      <c r="H12">
        <v>35</v>
      </c>
      <c r="I12">
        <v>40</v>
      </c>
      <c r="J12">
        <f t="shared" si="2"/>
        <v>-5</v>
      </c>
      <c r="L12" t="s">
        <v>91</v>
      </c>
      <c r="M12" t="s">
        <v>98</v>
      </c>
      <c r="N12" t="s">
        <v>94</v>
      </c>
    </row>
    <row r="13" spans="1:17" x14ac:dyDescent="0.3">
      <c r="A13" t="s">
        <v>35</v>
      </c>
      <c r="B13" t="s">
        <v>90</v>
      </c>
      <c r="C13" s="2">
        <f t="shared" si="0"/>
        <v>24</v>
      </c>
      <c r="D13">
        <v>22</v>
      </c>
      <c r="E13">
        <v>7</v>
      </c>
      <c r="F13">
        <v>3</v>
      </c>
      <c r="G13">
        <f t="shared" si="1"/>
        <v>12</v>
      </c>
      <c r="H13">
        <v>35</v>
      </c>
      <c r="I13">
        <v>49</v>
      </c>
      <c r="J13">
        <f t="shared" si="2"/>
        <v>-14</v>
      </c>
    </row>
    <row r="14" spans="1:17" x14ac:dyDescent="0.3">
      <c r="A14" t="s">
        <v>36</v>
      </c>
      <c r="B14" t="s">
        <v>93</v>
      </c>
      <c r="C14" s="2">
        <f t="shared" si="0"/>
        <v>23</v>
      </c>
      <c r="D14">
        <v>22</v>
      </c>
      <c r="E14">
        <v>6</v>
      </c>
      <c r="F14">
        <v>5</v>
      </c>
      <c r="G14">
        <f t="shared" si="1"/>
        <v>11</v>
      </c>
      <c r="H14">
        <v>32</v>
      </c>
      <c r="I14">
        <v>42</v>
      </c>
      <c r="J14">
        <f t="shared" si="2"/>
        <v>-10</v>
      </c>
      <c r="L14" t="s">
        <v>12</v>
      </c>
    </row>
    <row r="15" spans="1:17" x14ac:dyDescent="0.3">
      <c r="L15" t="s">
        <v>92</v>
      </c>
      <c r="M15" t="s">
        <v>58</v>
      </c>
      <c r="N15" t="s">
        <v>89</v>
      </c>
    </row>
    <row r="16" spans="1:17" x14ac:dyDescent="0.3">
      <c r="L16" t="s">
        <v>87</v>
      </c>
      <c r="M16" t="s">
        <v>55</v>
      </c>
      <c r="N16" t="s">
        <v>91</v>
      </c>
    </row>
    <row r="18" spans="12:14" x14ac:dyDescent="0.3">
      <c r="L18" t="s">
        <v>23</v>
      </c>
    </row>
    <row r="19" spans="12:14" x14ac:dyDescent="0.3">
      <c r="L19" t="s">
        <v>89</v>
      </c>
      <c r="M19" t="s">
        <v>99</v>
      </c>
      <c r="N19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50CC-0AC7-4356-9823-7231B7FD7F58}">
  <dimension ref="A1:Q23"/>
  <sheetViews>
    <sheetView workbookViewId="0">
      <selection activeCell="A8" sqref="A8"/>
    </sheetView>
  </sheetViews>
  <sheetFormatPr defaultRowHeight="14.4" x14ac:dyDescent="0.3"/>
  <cols>
    <col min="1" max="1" width="19.77734375" customWidth="1"/>
    <col min="2" max="2" width="17.77734375" customWidth="1"/>
    <col min="12" max="12" width="18.6640625" customWidth="1"/>
    <col min="14" max="14" width="18.109375" customWidth="1"/>
    <col min="16" max="16" width="14.44140625" customWidth="1"/>
  </cols>
  <sheetData>
    <row r="1" spans="1:17" x14ac:dyDescent="0.3">
      <c r="A1" t="s">
        <v>100</v>
      </c>
      <c r="L1" t="s">
        <v>101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50</v>
      </c>
      <c r="P2" t="s">
        <v>110</v>
      </c>
      <c r="Q2">
        <v>1</v>
      </c>
    </row>
    <row r="3" spans="1:17" x14ac:dyDescent="0.3">
      <c r="A3" s="1" t="s">
        <v>13</v>
      </c>
      <c r="B3" t="s">
        <v>110</v>
      </c>
      <c r="C3" s="2">
        <f t="shared" ref="C3:C18" si="0">E3*3+F3</f>
        <v>53</v>
      </c>
      <c r="D3">
        <v>30</v>
      </c>
      <c r="E3">
        <v>16</v>
      </c>
      <c r="F3">
        <v>5</v>
      </c>
      <c r="G3">
        <f>D3-E3-F3</f>
        <v>9</v>
      </c>
      <c r="H3">
        <v>42</v>
      </c>
      <c r="I3">
        <v>35</v>
      </c>
      <c r="J3">
        <f>H3-I3</f>
        <v>7</v>
      </c>
      <c r="L3" t="s">
        <v>104</v>
      </c>
      <c r="M3" t="s">
        <v>118</v>
      </c>
      <c r="N3" t="s">
        <v>102</v>
      </c>
      <c r="P3" t="s">
        <v>114</v>
      </c>
      <c r="Q3">
        <v>1</v>
      </c>
    </row>
    <row r="4" spans="1:17" x14ac:dyDescent="0.3">
      <c r="A4" s="3" t="s">
        <v>16</v>
      </c>
      <c r="B4" t="s">
        <v>111</v>
      </c>
      <c r="C4" s="2">
        <f t="shared" si="0"/>
        <v>52</v>
      </c>
      <c r="D4">
        <v>30</v>
      </c>
      <c r="E4">
        <v>16</v>
      </c>
      <c r="F4">
        <v>4</v>
      </c>
      <c r="G4">
        <f t="shared" ref="G4:G18" si="1">D4-E4-F4</f>
        <v>10</v>
      </c>
      <c r="H4">
        <v>47</v>
      </c>
      <c r="I4">
        <v>38</v>
      </c>
      <c r="J4">
        <f t="shared" ref="J4:J18" si="2">H4-I4</f>
        <v>9</v>
      </c>
      <c r="L4" t="s">
        <v>103</v>
      </c>
      <c r="M4" t="s">
        <v>60</v>
      </c>
      <c r="N4" t="s">
        <v>108</v>
      </c>
    </row>
    <row r="5" spans="1:17" x14ac:dyDescent="0.3">
      <c r="A5" t="s">
        <v>19</v>
      </c>
      <c r="B5" t="s">
        <v>108</v>
      </c>
      <c r="C5" s="2">
        <f t="shared" si="0"/>
        <v>50</v>
      </c>
      <c r="D5">
        <v>30</v>
      </c>
      <c r="E5">
        <v>16</v>
      </c>
      <c r="F5">
        <v>2</v>
      </c>
      <c r="G5">
        <f t="shared" si="1"/>
        <v>12</v>
      </c>
      <c r="H5">
        <v>53</v>
      </c>
      <c r="I5">
        <v>47</v>
      </c>
      <c r="J5">
        <f t="shared" si="2"/>
        <v>6</v>
      </c>
      <c r="L5" t="s">
        <v>107</v>
      </c>
      <c r="M5" t="s">
        <v>55</v>
      </c>
      <c r="N5" t="s">
        <v>105</v>
      </c>
    </row>
    <row r="6" spans="1:17" x14ac:dyDescent="0.3">
      <c r="A6" t="s">
        <v>21</v>
      </c>
      <c r="B6" t="s">
        <v>107</v>
      </c>
      <c r="C6" s="2">
        <f t="shared" si="0"/>
        <v>46</v>
      </c>
      <c r="D6">
        <v>30</v>
      </c>
      <c r="E6">
        <v>14</v>
      </c>
      <c r="F6">
        <v>4</v>
      </c>
      <c r="G6">
        <f t="shared" si="1"/>
        <v>12</v>
      </c>
      <c r="H6">
        <v>49</v>
      </c>
      <c r="I6">
        <v>45</v>
      </c>
      <c r="J6">
        <f t="shared" si="2"/>
        <v>4</v>
      </c>
      <c r="L6" t="s">
        <v>115</v>
      </c>
      <c r="M6" t="s">
        <v>54</v>
      </c>
      <c r="N6" t="s">
        <v>117</v>
      </c>
    </row>
    <row r="7" spans="1:17" x14ac:dyDescent="0.3">
      <c r="A7" t="s">
        <v>24</v>
      </c>
      <c r="B7" t="s">
        <v>104</v>
      </c>
      <c r="C7" s="2">
        <f t="shared" si="0"/>
        <v>45</v>
      </c>
      <c r="D7">
        <v>30</v>
      </c>
      <c r="E7">
        <v>13</v>
      </c>
      <c r="F7">
        <v>6</v>
      </c>
      <c r="G7">
        <f t="shared" si="1"/>
        <v>11</v>
      </c>
      <c r="H7">
        <v>44</v>
      </c>
      <c r="I7">
        <v>36</v>
      </c>
      <c r="J7">
        <f t="shared" si="2"/>
        <v>8</v>
      </c>
      <c r="L7" t="s">
        <v>112</v>
      </c>
      <c r="M7" t="s">
        <v>62</v>
      </c>
      <c r="N7" t="s">
        <v>114</v>
      </c>
    </row>
    <row r="8" spans="1:17" x14ac:dyDescent="0.3">
      <c r="A8" s="12" t="s">
        <v>25</v>
      </c>
      <c r="B8" t="s">
        <v>114</v>
      </c>
      <c r="C8" s="2">
        <f t="shared" si="0"/>
        <v>44</v>
      </c>
      <c r="D8">
        <v>30</v>
      </c>
      <c r="E8">
        <v>13</v>
      </c>
      <c r="F8">
        <v>5</v>
      </c>
      <c r="G8">
        <f t="shared" si="1"/>
        <v>12</v>
      </c>
      <c r="H8">
        <v>43</v>
      </c>
      <c r="I8">
        <v>36</v>
      </c>
      <c r="J8">
        <f t="shared" si="2"/>
        <v>7</v>
      </c>
      <c r="L8" t="s">
        <v>116</v>
      </c>
      <c r="M8" t="s">
        <v>52</v>
      </c>
      <c r="N8" t="s">
        <v>106</v>
      </c>
    </row>
    <row r="9" spans="1:17" x14ac:dyDescent="0.3">
      <c r="A9" t="s">
        <v>27</v>
      </c>
      <c r="B9" t="s">
        <v>115</v>
      </c>
      <c r="C9" s="2">
        <f t="shared" si="0"/>
        <v>43</v>
      </c>
      <c r="D9">
        <v>30</v>
      </c>
      <c r="E9">
        <v>13</v>
      </c>
      <c r="F9">
        <v>4</v>
      </c>
      <c r="G9">
        <f t="shared" si="1"/>
        <v>13</v>
      </c>
      <c r="H9">
        <v>48</v>
      </c>
      <c r="I9">
        <v>48</v>
      </c>
      <c r="J9">
        <f t="shared" si="2"/>
        <v>0</v>
      </c>
      <c r="L9" t="s">
        <v>111</v>
      </c>
      <c r="M9" t="s">
        <v>58</v>
      </c>
      <c r="N9" t="s">
        <v>109</v>
      </c>
    </row>
    <row r="10" spans="1:17" x14ac:dyDescent="0.3">
      <c r="A10" s="5" t="s">
        <v>29</v>
      </c>
      <c r="B10" t="s">
        <v>113</v>
      </c>
      <c r="C10" s="2">
        <f t="shared" si="0"/>
        <v>42</v>
      </c>
      <c r="D10">
        <v>30</v>
      </c>
      <c r="E10">
        <v>12</v>
      </c>
      <c r="F10">
        <v>6</v>
      </c>
      <c r="G10">
        <f t="shared" si="1"/>
        <v>12</v>
      </c>
      <c r="H10">
        <v>36</v>
      </c>
      <c r="I10">
        <v>40</v>
      </c>
      <c r="J10">
        <f t="shared" si="2"/>
        <v>-4</v>
      </c>
      <c r="L10" t="s">
        <v>113</v>
      </c>
      <c r="M10" t="s">
        <v>58</v>
      </c>
      <c r="N10" t="s">
        <v>110</v>
      </c>
    </row>
    <row r="11" spans="1:17" x14ac:dyDescent="0.3">
      <c r="A11" t="s">
        <v>31</v>
      </c>
      <c r="B11" t="s">
        <v>103</v>
      </c>
      <c r="C11" s="2">
        <f t="shared" si="0"/>
        <v>41</v>
      </c>
      <c r="D11">
        <v>30</v>
      </c>
      <c r="E11">
        <v>12</v>
      </c>
      <c r="F11">
        <v>5</v>
      </c>
      <c r="G11">
        <f t="shared" si="1"/>
        <v>13</v>
      </c>
      <c r="H11">
        <v>43</v>
      </c>
      <c r="I11">
        <v>38</v>
      </c>
      <c r="J11">
        <f t="shared" si="2"/>
        <v>5</v>
      </c>
    </row>
    <row r="12" spans="1:17" x14ac:dyDescent="0.3">
      <c r="A12" t="s">
        <v>33</v>
      </c>
      <c r="B12" t="s">
        <v>106</v>
      </c>
      <c r="C12" s="2">
        <f t="shared" si="0"/>
        <v>41</v>
      </c>
      <c r="D12">
        <v>30</v>
      </c>
      <c r="E12">
        <v>12</v>
      </c>
      <c r="F12">
        <v>5</v>
      </c>
      <c r="G12">
        <f t="shared" si="1"/>
        <v>13</v>
      </c>
      <c r="H12">
        <v>45</v>
      </c>
      <c r="I12">
        <v>50</v>
      </c>
      <c r="J12">
        <f t="shared" si="2"/>
        <v>-5</v>
      </c>
      <c r="L12" t="s">
        <v>53</v>
      </c>
    </row>
    <row r="13" spans="1:17" x14ac:dyDescent="0.3">
      <c r="A13" t="s">
        <v>35</v>
      </c>
      <c r="B13" t="s">
        <v>109</v>
      </c>
      <c r="C13" s="2">
        <f t="shared" si="0"/>
        <v>41</v>
      </c>
      <c r="D13">
        <v>30</v>
      </c>
      <c r="E13">
        <v>12</v>
      </c>
      <c r="F13">
        <v>5</v>
      </c>
      <c r="G13">
        <f t="shared" si="1"/>
        <v>13</v>
      </c>
      <c r="H13">
        <v>46</v>
      </c>
      <c r="I13">
        <v>51</v>
      </c>
      <c r="J13">
        <f t="shared" si="2"/>
        <v>-5</v>
      </c>
      <c r="L13" t="s">
        <v>104</v>
      </c>
      <c r="M13" t="s">
        <v>55</v>
      </c>
      <c r="N13" t="s">
        <v>103</v>
      </c>
    </row>
    <row r="14" spans="1:17" x14ac:dyDescent="0.3">
      <c r="A14" t="s">
        <v>36</v>
      </c>
      <c r="B14" t="s">
        <v>116</v>
      </c>
      <c r="C14" s="2">
        <f t="shared" si="0"/>
        <v>40</v>
      </c>
      <c r="D14">
        <v>30</v>
      </c>
      <c r="E14">
        <v>12</v>
      </c>
      <c r="F14">
        <v>4</v>
      </c>
      <c r="G14">
        <f t="shared" si="1"/>
        <v>14</v>
      </c>
      <c r="H14">
        <v>42</v>
      </c>
      <c r="I14">
        <v>43</v>
      </c>
      <c r="J14">
        <f t="shared" si="2"/>
        <v>-1</v>
      </c>
      <c r="L14" t="s">
        <v>107</v>
      </c>
      <c r="M14" t="s">
        <v>52</v>
      </c>
      <c r="N14" t="s">
        <v>117</v>
      </c>
    </row>
    <row r="15" spans="1:17" x14ac:dyDescent="0.3">
      <c r="A15" t="s">
        <v>38</v>
      </c>
      <c r="B15" t="s">
        <v>112</v>
      </c>
      <c r="C15" s="2">
        <f t="shared" si="0"/>
        <v>40</v>
      </c>
      <c r="D15">
        <v>30</v>
      </c>
      <c r="E15">
        <v>13</v>
      </c>
      <c r="F15">
        <v>1</v>
      </c>
      <c r="G15">
        <f t="shared" si="1"/>
        <v>16</v>
      </c>
      <c r="H15">
        <v>40</v>
      </c>
      <c r="I15">
        <v>43</v>
      </c>
      <c r="J15">
        <f t="shared" si="2"/>
        <v>-3</v>
      </c>
      <c r="L15" t="s">
        <v>114</v>
      </c>
      <c r="M15" t="s">
        <v>118</v>
      </c>
      <c r="N15" t="s">
        <v>116</v>
      </c>
    </row>
    <row r="16" spans="1:17" x14ac:dyDescent="0.3">
      <c r="A16" t="s">
        <v>40</v>
      </c>
      <c r="B16" t="s">
        <v>102</v>
      </c>
      <c r="C16" s="2">
        <f t="shared" si="0"/>
        <v>36</v>
      </c>
      <c r="D16">
        <v>30</v>
      </c>
      <c r="E16">
        <v>9</v>
      </c>
      <c r="F16">
        <v>9</v>
      </c>
      <c r="G16">
        <f t="shared" si="1"/>
        <v>12</v>
      </c>
      <c r="H16">
        <v>35</v>
      </c>
      <c r="I16">
        <v>42</v>
      </c>
      <c r="J16">
        <f t="shared" si="2"/>
        <v>-7</v>
      </c>
      <c r="L16" t="s">
        <v>109</v>
      </c>
      <c r="M16" t="s">
        <v>55</v>
      </c>
      <c r="N16" t="s">
        <v>110</v>
      </c>
    </row>
    <row r="17" spans="1:14" x14ac:dyDescent="0.3">
      <c r="A17" t="s">
        <v>42</v>
      </c>
      <c r="B17" t="s">
        <v>117</v>
      </c>
      <c r="C17" s="2">
        <f t="shared" si="0"/>
        <v>34</v>
      </c>
      <c r="D17">
        <v>30</v>
      </c>
      <c r="E17">
        <v>9</v>
      </c>
      <c r="F17">
        <v>7</v>
      </c>
      <c r="G17">
        <f t="shared" si="1"/>
        <v>14</v>
      </c>
      <c r="H17">
        <v>47</v>
      </c>
      <c r="I17">
        <v>50</v>
      </c>
      <c r="J17">
        <f t="shared" si="2"/>
        <v>-3</v>
      </c>
    </row>
    <row r="18" spans="1:14" x14ac:dyDescent="0.3">
      <c r="A18" t="s">
        <v>44</v>
      </c>
      <c r="B18" t="s">
        <v>105</v>
      </c>
      <c r="C18" s="2">
        <f t="shared" si="0"/>
        <v>33</v>
      </c>
      <c r="D18">
        <v>30</v>
      </c>
      <c r="E18">
        <v>9</v>
      </c>
      <c r="F18">
        <v>6</v>
      </c>
      <c r="G18">
        <f t="shared" si="1"/>
        <v>15</v>
      </c>
      <c r="H18">
        <v>36</v>
      </c>
      <c r="I18">
        <v>54</v>
      </c>
      <c r="J18">
        <f t="shared" si="2"/>
        <v>-18</v>
      </c>
      <c r="L18" t="s">
        <v>12</v>
      </c>
    </row>
    <row r="19" spans="1:14" x14ac:dyDescent="0.3">
      <c r="L19" t="s">
        <v>104</v>
      </c>
      <c r="M19" t="s">
        <v>60</v>
      </c>
      <c r="N19" t="s">
        <v>107</v>
      </c>
    </row>
    <row r="20" spans="1:14" x14ac:dyDescent="0.3">
      <c r="L20" t="s">
        <v>114</v>
      </c>
      <c r="M20" t="s">
        <v>56</v>
      </c>
      <c r="N20" t="s">
        <v>109</v>
      </c>
    </row>
    <row r="22" spans="1:14" x14ac:dyDescent="0.3">
      <c r="L22" t="s">
        <v>23</v>
      </c>
    </row>
    <row r="23" spans="1:14" x14ac:dyDescent="0.3">
      <c r="L23" t="s">
        <v>104</v>
      </c>
      <c r="M23" t="s">
        <v>62</v>
      </c>
      <c r="N2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8CCE-4C92-4AF3-92EF-D9E526561153}">
  <dimension ref="A1:AB38"/>
  <sheetViews>
    <sheetView workbookViewId="0">
      <selection activeCell="A17" sqref="A17:J22"/>
    </sheetView>
  </sheetViews>
  <sheetFormatPr defaultRowHeight="14.4" x14ac:dyDescent="0.3"/>
  <cols>
    <col min="1" max="1" width="20.109375" customWidth="1"/>
    <col min="2" max="2" width="15.33203125" customWidth="1"/>
    <col min="3" max="3" width="11.6640625" customWidth="1"/>
    <col min="5" max="5" width="11.21875" customWidth="1"/>
    <col min="7" max="7" width="12.33203125" customWidth="1"/>
    <col min="12" max="12" width="15.77734375" customWidth="1"/>
    <col min="13" max="13" width="18.6640625" customWidth="1"/>
    <col min="14" max="14" width="16.21875" customWidth="1"/>
    <col min="23" max="23" width="17.5546875" customWidth="1"/>
    <col min="25" max="25" width="18.6640625" customWidth="1"/>
    <col min="27" max="27" width="14.44140625" customWidth="1"/>
  </cols>
  <sheetData>
    <row r="1" spans="1:28" x14ac:dyDescent="0.3">
      <c r="A1" t="s">
        <v>119</v>
      </c>
      <c r="L1" t="s">
        <v>120</v>
      </c>
      <c r="W1" t="s">
        <v>154</v>
      </c>
      <c r="AA1" t="s">
        <v>65</v>
      </c>
    </row>
    <row r="2" spans="1:2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W2" t="s">
        <v>51</v>
      </c>
      <c r="AA2" t="s">
        <v>124</v>
      </c>
      <c r="AB2">
        <v>2</v>
      </c>
    </row>
    <row r="3" spans="1:28" x14ac:dyDescent="0.3">
      <c r="A3" s="6" t="s">
        <v>13</v>
      </c>
      <c r="B3" t="s">
        <v>122</v>
      </c>
      <c r="C3" s="2">
        <f>E3*3+F3</f>
        <v>59</v>
      </c>
      <c r="D3">
        <v>33</v>
      </c>
      <c r="E3">
        <v>18</v>
      </c>
      <c r="F3">
        <v>5</v>
      </c>
      <c r="G3">
        <f>D3-E3-F3</f>
        <v>10</v>
      </c>
      <c r="H3">
        <v>62</v>
      </c>
      <c r="I3">
        <v>42</v>
      </c>
      <c r="J3">
        <f>H3-I3</f>
        <v>20</v>
      </c>
      <c r="L3" s="6" t="s">
        <v>13</v>
      </c>
      <c r="M3" t="s">
        <v>143</v>
      </c>
      <c r="N3" s="2">
        <f t="shared" ref="N3:N19" si="0">P3*3+Q3</f>
        <v>60</v>
      </c>
      <c r="O3">
        <v>32</v>
      </c>
      <c r="P3">
        <v>19</v>
      </c>
      <c r="Q3">
        <v>3</v>
      </c>
      <c r="R3">
        <f t="shared" ref="R3:R19" si="1">O3-P3-Q3</f>
        <v>10</v>
      </c>
      <c r="S3">
        <v>53</v>
      </c>
      <c r="T3">
        <v>25</v>
      </c>
      <c r="U3">
        <f t="shared" ref="U3:U19" si="2">S3-T3</f>
        <v>28</v>
      </c>
      <c r="W3" t="s">
        <v>128</v>
      </c>
      <c r="X3" t="s">
        <v>55</v>
      </c>
      <c r="Y3" t="s">
        <v>140</v>
      </c>
      <c r="AA3" t="s">
        <v>143</v>
      </c>
      <c r="AB3">
        <v>1</v>
      </c>
    </row>
    <row r="4" spans="1:28" x14ac:dyDescent="0.3">
      <c r="A4" s="6" t="s">
        <v>16</v>
      </c>
      <c r="B4" t="s">
        <v>124</v>
      </c>
      <c r="C4" s="2">
        <f>E4*3+F4</f>
        <v>58</v>
      </c>
      <c r="D4">
        <v>33</v>
      </c>
      <c r="E4">
        <v>16</v>
      </c>
      <c r="F4">
        <v>10</v>
      </c>
      <c r="G4">
        <f>D4-E4-F4</f>
        <v>7</v>
      </c>
      <c r="H4">
        <v>63</v>
      </c>
      <c r="I4">
        <v>44</v>
      </c>
      <c r="J4">
        <f>H4-I4</f>
        <v>19</v>
      </c>
      <c r="L4" s="6" t="s">
        <v>16</v>
      </c>
      <c r="M4" t="s">
        <v>145</v>
      </c>
      <c r="N4" s="2">
        <f t="shared" si="0"/>
        <v>55</v>
      </c>
      <c r="O4">
        <v>32</v>
      </c>
      <c r="P4">
        <v>16</v>
      </c>
      <c r="Q4">
        <v>7</v>
      </c>
      <c r="R4">
        <f t="shared" si="1"/>
        <v>9</v>
      </c>
      <c r="S4">
        <v>54</v>
      </c>
      <c r="T4">
        <v>42</v>
      </c>
      <c r="U4">
        <f t="shared" si="2"/>
        <v>12</v>
      </c>
      <c r="W4" t="s">
        <v>148</v>
      </c>
      <c r="X4" t="s">
        <v>52</v>
      </c>
      <c r="Y4" t="s">
        <v>145</v>
      </c>
      <c r="AA4" t="s">
        <v>151</v>
      </c>
      <c r="AB4">
        <v>1</v>
      </c>
    </row>
    <row r="5" spans="1:28" x14ac:dyDescent="0.3">
      <c r="A5" s="6" t="s">
        <v>19</v>
      </c>
      <c r="B5" t="s">
        <v>127</v>
      </c>
      <c r="C5" s="2">
        <f>E5*3+F5</f>
        <v>56</v>
      </c>
      <c r="D5">
        <v>33</v>
      </c>
      <c r="E5">
        <v>16</v>
      </c>
      <c r="F5">
        <v>8</v>
      </c>
      <c r="G5">
        <f>D5-E5-F5</f>
        <v>9</v>
      </c>
      <c r="H5">
        <v>61</v>
      </c>
      <c r="I5">
        <v>45</v>
      </c>
      <c r="J5">
        <f>H5-I5</f>
        <v>16</v>
      </c>
      <c r="L5" s="7" t="s">
        <v>19</v>
      </c>
      <c r="M5" t="s">
        <v>146</v>
      </c>
      <c r="N5" s="2">
        <f t="shared" si="0"/>
        <v>50</v>
      </c>
      <c r="O5">
        <v>32</v>
      </c>
      <c r="P5">
        <v>15</v>
      </c>
      <c r="Q5">
        <v>5</v>
      </c>
      <c r="R5">
        <f t="shared" si="1"/>
        <v>12</v>
      </c>
      <c r="S5">
        <v>52</v>
      </c>
      <c r="T5">
        <v>48</v>
      </c>
      <c r="U5">
        <f t="shared" si="2"/>
        <v>4</v>
      </c>
      <c r="W5" t="s">
        <v>144</v>
      </c>
      <c r="X5" t="s">
        <v>62</v>
      </c>
      <c r="Y5" t="s">
        <v>121</v>
      </c>
    </row>
    <row r="6" spans="1:28" x14ac:dyDescent="0.3">
      <c r="A6" s="6" t="s">
        <v>21</v>
      </c>
      <c r="B6" t="s">
        <v>129</v>
      </c>
      <c r="C6" s="2">
        <f>E6*3+F6</f>
        <v>51</v>
      </c>
      <c r="D6">
        <v>33</v>
      </c>
      <c r="E6">
        <v>16</v>
      </c>
      <c r="F6">
        <v>3</v>
      </c>
      <c r="G6">
        <f>D6-E6-F6</f>
        <v>14</v>
      </c>
      <c r="H6">
        <v>47</v>
      </c>
      <c r="I6">
        <v>45</v>
      </c>
      <c r="J6">
        <f>H6-I6</f>
        <v>2</v>
      </c>
      <c r="L6" s="7" t="s">
        <v>21</v>
      </c>
      <c r="M6" t="s">
        <v>141</v>
      </c>
      <c r="N6" s="2">
        <f t="shared" si="0"/>
        <v>47</v>
      </c>
      <c r="O6">
        <v>32</v>
      </c>
      <c r="P6">
        <v>14</v>
      </c>
      <c r="Q6">
        <v>5</v>
      </c>
      <c r="R6">
        <f t="shared" si="1"/>
        <v>13</v>
      </c>
      <c r="S6">
        <v>50</v>
      </c>
      <c r="T6">
        <v>47</v>
      </c>
      <c r="U6">
        <f t="shared" si="2"/>
        <v>3</v>
      </c>
      <c r="W6" t="s">
        <v>127</v>
      </c>
      <c r="X6" t="s">
        <v>155</v>
      </c>
      <c r="Y6" t="s">
        <v>138</v>
      </c>
    </row>
    <row r="7" spans="1:28" x14ac:dyDescent="0.3">
      <c r="A7" s="6" t="s">
        <v>24</v>
      </c>
      <c r="B7" t="s">
        <v>128</v>
      </c>
      <c r="C7" s="2">
        <f>E7*3+F7</f>
        <v>48</v>
      </c>
      <c r="D7">
        <v>33</v>
      </c>
      <c r="E7">
        <v>13</v>
      </c>
      <c r="F7">
        <v>9</v>
      </c>
      <c r="G7">
        <f>D7-E7-F7</f>
        <v>11</v>
      </c>
      <c r="H7">
        <v>44</v>
      </c>
      <c r="I7">
        <v>41</v>
      </c>
      <c r="J7">
        <f>H7-I7</f>
        <v>3</v>
      </c>
      <c r="L7" s="7" t="s">
        <v>24</v>
      </c>
      <c r="M7" t="s">
        <v>149</v>
      </c>
      <c r="N7" s="2">
        <f t="shared" si="0"/>
        <v>46</v>
      </c>
      <c r="O7">
        <v>32</v>
      </c>
      <c r="P7">
        <v>13</v>
      </c>
      <c r="Q7">
        <v>7</v>
      </c>
      <c r="R7">
        <f t="shared" si="1"/>
        <v>12</v>
      </c>
      <c r="S7">
        <v>51</v>
      </c>
      <c r="T7">
        <v>51</v>
      </c>
      <c r="U7">
        <f t="shared" si="2"/>
        <v>0</v>
      </c>
      <c r="W7" t="s">
        <v>152</v>
      </c>
      <c r="X7" t="s">
        <v>156</v>
      </c>
      <c r="Y7" t="s">
        <v>131</v>
      </c>
    </row>
    <row r="8" spans="1:28" x14ac:dyDescent="0.3">
      <c r="A8" s="6" t="s">
        <v>25</v>
      </c>
      <c r="B8" t="s">
        <v>125</v>
      </c>
      <c r="C8" s="2">
        <f>E8*3+F8</f>
        <v>46</v>
      </c>
      <c r="D8">
        <v>33</v>
      </c>
      <c r="E8">
        <v>12</v>
      </c>
      <c r="F8">
        <v>10</v>
      </c>
      <c r="G8">
        <f>D8-E8-F8</f>
        <v>11</v>
      </c>
      <c r="H8">
        <v>54</v>
      </c>
      <c r="I8">
        <v>52</v>
      </c>
      <c r="J8">
        <f>H8-I8</f>
        <v>2</v>
      </c>
      <c r="L8" s="7" t="s">
        <v>25</v>
      </c>
      <c r="M8" t="s">
        <v>144</v>
      </c>
      <c r="N8" s="2">
        <f t="shared" si="0"/>
        <v>46</v>
      </c>
      <c r="O8">
        <v>32</v>
      </c>
      <c r="P8">
        <v>13</v>
      </c>
      <c r="Q8">
        <v>7</v>
      </c>
      <c r="R8">
        <f t="shared" si="1"/>
        <v>12</v>
      </c>
      <c r="S8">
        <v>46</v>
      </c>
      <c r="T8">
        <v>43</v>
      </c>
      <c r="U8">
        <f t="shared" si="2"/>
        <v>3</v>
      </c>
      <c r="W8" t="s">
        <v>125</v>
      </c>
      <c r="X8" t="s">
        <v>99</v>
      </c>
      <c r="Y8" t="s">
        <v>142</v>
      </c>
    </row>
    <row r="9" spans="1:28" x14ac:dyDescent="0.3">
      <c r="A9" s="7" t="s">
        <v>27</v>
      </c>
      <c r="B9" t="s">
        <v>131</v>
      </c>
      <c r="C9" s="2">
        <f>E9*3+F9</f>
        <v>45</v>
      </c>
      <c r="D9">
        <v>33</v>
      </c>
      <c r="E9">
        <v>13</v>
      </c>
      <c r="F9">
        <v>6</v>
      </c>
      <c r="G9">
        <f>D9-E9-F9</f>
        <v>14</v>
      </c>
      <c r="H9">
        <v>47</v>
      </c>
      <c r="I9">
        <v>46</v>
      </c>
      <c r="J9">
        <f>H9-I9</f>
        <v>1</v>
      </c>
      <c r="L9" t="s">
        <v>27</v>
      </c>
      <c r="M9" t="s">
        <v>147</v>
      </c>
      <c r="N9" s="2">
        <f t="shared" si="0"/>
        <v>45</v>
      </c>
      <c r="O9">
        <v>32</v>
      </c>
      <c r="P9">
        <v>14</v>
      </c>
      <c r="Q9">
        <v>3</v>
      </c>
      <c r="R9">
        <f t="shared" si="1"/>
        <v>15</v>
      </c>
      <c r="S9">
        <v>43</v>
      </c>
      <c r="T9">
        <v>44</v>
      </c>
      <c r="U9">
        <f t="shared" si="2"/>
        <v>-1</v>
      </c>
      <c r="W9" t="s">
        <v>126</v>
      </c>
      <c r="X9" t="s">
        <v>157</v>
      </c>
      <c r="Y9" t="s">
        <v>141</v>
      </c>
    </row>
    <row r="10" spans="1:28" x14ac:dyDescent="0.3">
      <c r="A10" s="7" t="s">
        <v>29</v>
      </c>
      <c r="B10" t="s">
        <v>123</v>
      </c>
      <c r="C10" s="2">
        <f>E10*3+F10</f>
        <v>45</v>
      </c>
      <c r="D10">
        <v>33</v>
      </c>
      <c r="E10">
        <v>13</v>
      </c>
      <c r="F10">
        <v>6</v>
      </c>
      <c r="G10">
        <f>D10-E10-F10</f>
        <v>14</v>
      </c>
      <c r="H10">
        <v>46</v>
      </c>
      <c r="I10">
        <v>50</v>
      </c>
      <c r="J10">
        <f>H10-I10</f>
        <v>-4</v>
      </c>
      <c r="L10" t="s">
        <v>29</v>
      </c>
      <c r="M10" t="s">
        <v>142</v>
      </c>
      <c r="N10" s="2">
        <f t="shared" si="0"/>
        <v>45</v>
      </c>
      <c r="O10">
        <v>32</v>
      </c>
      <c r="P10">
        <v>14</v>
      </c>
      <c r="Q10">
        <v>3</v>
      </c>
      <c r="R10">
        <f t="shared" si="1"/>
        <v>15</v>
      </c>
      <c r="S10">
        <v>36</v>
      </c>
      <c r="T10">
        <v>50</v>
      </c>
      <c r="U10">
        <f t="shared" si="2"/>
        <v>-14</v>
      </c>
      <c r="W10" t="s">
        <v>146</v>
      </c>
      <c r="X10" t="s">
        <v>158</v>
      </c>
      <c r="Y10" t="s">
        <v>147</v>
      </c>
    </row>
    <row r="11" spans="1:28" x14ac:dyDescent="0.3">
      <c r="A11" s="7" t="s">
        <v>31</v>
      </c>
      <c r="B11" t="s">
        <v>136</v>
      </c>
      <c r="C11" s="2">
        <f>E11*3+F11</f>
        <v>37</v>
      </c>
      <c r="D11">
        <v>33</v>
      </c>
      <c r="E11">
        <v>10</v>
      </c>
      <c r="F11">
        <v>7</v>
      </c>
      <c r="G11">
        <f>D11-E11-F11</f>
        <v>16</v>
      </c>
      <c r="H11">
        <v>39</v>
      </c>
      <c r="I11">
        <v>53</v>
      </c>
      <c r="J11">
        <f>H11-I11</f>
        <v>-14</v>
      </c>
      <c r="L11" t="s">
        <v>31</v>
      </c>
      <c r="M11" t="s">
        <v>150</v>
      </c>
      <c r="N11" s="2">
        <f t="shared" si="0"/>
        <v>44</v>
      </c>
      <c r="O11">
        <v>32</v>
      </c>
      <c r="P11">
        <v>12</v>
      </c>
      <c r="Q11">
        <v>8</v>
      </c>
      <c r="R11">
        <f t="shared" si="1"/>
        <v>12</v>
      </c>
      <c r="S11">
        <v>54</v>
      </c>
      <c r="T11">
        <v>55</v>
      </c>
      <c r="U11">
        <f t="shared" si="2"/>
        <v>-1</v>
      </c>
      <c r="W11" t="s">
        <v>151</v>
      </c>
      <c r="X11" t="s">
        <v>55</v>
      </c>
      <c r="Y11" t="s">
        <v>132</v>
      </c>
    </row>
    <row r="12" spans="1:28" x14ac:dyDescent="0.3">
      <c r="A12" s="7" t="s">
        <v>33</v>
      </c>
      <c r="B12" t="s">
        <v>126</v>
      </c>
      <c r="C12" s="2">
        <f>E12*3+F12</f>
        <v>36</v>
      </c>
      <c r="D12">
        <v>33</v>
      </c>
      <c r="E12">
        <v>10</v>
      </c>
      <c r="F12">
        <v>6</v>
      </c>
      <c r="G12">
        <f>D12-E12-F12</f>
        <v>17</v>
      </c>
      <c r="H12">
        <v>48</v>
      </c>
      <c r="I12">
        <v>55</v>
      </c>
      <c r="J12">
        <f>H12-I12</f>
        <v>-7</v>
      </c>
      <c r="L12" t="s">
        <v>33</v>
      </c>
      <c r="M12" t="s">
        <v>139</v>
      </c>
      <c r="N12" s="2">
        <f t="shared" si="0"/>
        <v>44</v>
      </c>
      <c r="O12">
        <v>32</v>
      </c>
      <c r="P12">
        <v>12</v>
      </c>
      <c r="Q12">
        <v>8</v>
      </c>
      <c r="R12">
        <f t="shared" si="1"/>
        <v>12</v>
      </c>
      <c r="S12">
        <v>43</v>
      </c>
      <c r="T12">
        <v>44</v>
      </c>
      <c r="U12">
        <f t="shared" si="2"/>
        <v>-1</v>
      </c>
      <c r="W12" t="s">
        <v>130</v>
      </c>
      <c r="X12" t="s">
        <v>56</v>
      </c>
      <c r="Y12" t="s">
        <v>149</v>
      </c>
    </row>
    <row r="13" spans="1:28" x14ac:dyDescent="0.3">
      <c r="A13" s="7" t="s">
        <v>35</v>
      </c>
      <c r="B13" t="s">
        <v>138</v>
      </c>
      <c r="C13" s="2">
        <f>E13*3+F13</f>
        <v>36</v>
      </c>
      <c r="D13">
        <v>33</v>
      </c>
      <c r="E13">
        <v>9</v>
      </c>
      <c r="F13">
        <v>9</v>
      </c>
      <c r="G13">
        <f>D13-E13-F13</f>
        <v>15</v>
      </c>
      <c r="H13">
        <v>35</v>
      </c>
      <c r="I13">
        <v>52</v>
      </c>
      <c r="J13">
        <f>H13-I13</f>
        <v>-17</v>
      </c>
      <c r="L13" t="s">
        <v>35</v>
      </c>
      <c r="M13" t="s">
        <v>148</v>
      </c>
      <c r="N13" s="2">
        <f t="shared" si="0"/>
        <v>44</v>
      </c>
      <c r="O13">
        <v>32</v>
      </c>
      <c r="P13">
        <v>12</v>
      </c>
      <c r="Q13">
        <v>8</v>
      </c>
      <c r="R13">
        <f t="shared" si="1"/>
        <v>12</v>
      </c>
      <c r="S13">
        <v>42</v>
      </c>
      <c r="T13">
        <v>41</v>
      </c>
      <c r="U13">
        <f t="shared" si="2"/>
        <v>1</v>
      </c>
      <c r="W13" t="s">
        <v>139</v>
      </c>
      <c r="X13" t="s">
        <v>58</v>
      </c>
      <c r="Y13" t="s">
        <v>150</v>
      </c>
    </row>
    <row r="14" spans="1:28" x14ac:dyDescent="0.3">
      <c r="A14" s="7" t="s">
        <v>36</v>
      </c>
      <c r="B14" t="s">
        <v>121</v>
      </c>
      <c r="C14" s="2">
        <f>E14*3+F14</f>
        <v>34</v>
      </c>
      <c r="D14">
        <v>33</v>
      </c>
      <c r="E14">
        <v>9</v>
      </c>
      <c r="F14">
        <v>7</v>
      </c>
      <c r="G14">
        <f>D14-E14-F14</f>
        <v>17</v>
      </c>
      <c r="H14">
        <v>37</v>
      </c>
      <c r="I14">
        <v>58</v>
      </c>
      <c r="J14">
        <f>H14-I14</f>
        <v>-21</v>
      </c>
      <c r="L14" t="s">
        <v>36</v>
      </c>
      <c r="M14" t="s">
        <v>137</v>
      </c>
      <c r="N14" s="2">
        <f t="shared" si="0"/>
        <v>42</v>
      </c>
      <c r="O14">
        <v>32</v>
      </c>
      <c r="P14">
        <v>12</v>
      </c>
      <c r="Q14">
        <v>6</v>
      </c>
      <c r="R14">
        <f t="shared" si="1"/>
        <v>14</v>
      </c>
      <c r="S14">
        <v>44</v>
      </c>
      <c r="T14">
        <v>46</v>
      </c>
      <c r="U14">
        <f t="shared" si="2"/>
        <v>-2</v>
      </c>
      <c r="W14" t="s">
        <v>129</v>
      </c>
      <c r="X14" t="s">
        <v>52</v>
      </c>
      <c r="Y14" t="s">
        <v>123</v>
      </c>
    </row>
    <row r="15" spans="1:28" x14ac:dyDescent="0.3">
      <c r="L15" t="s">
        <v>38</v>
      </c>
      <c r="M15" t="s">
        <v>152</v>
      </c>
      <c r="N15" s="2">
        <f t="shared" si="0"/>
        <v>41</v>
      </c>
      <c r="O15">
        <v>32</v>
      </c>
      <c r="P15">
        <v>11</v>
      </c>
      <c r="Q15">
        <v>8</v>
      </c>
      <c r="R15">
        <f t="shared" si="1"/>
        <v>13</v>
      </c>
      <c r="S15">
        <v>36</v>
      </c>
      <c r="T15">
        <v>40</v>
      </c>
      <c r="U15">
        <f t="shared" si="2"/>
        <v>-4</v>
      </c>
      <c r="W15" t="s">
        <v>136</v>
      </c>
      <c r="X15" t="s">
        <v>60</v>
      </c>
      <c r="Y15" t="s">
        <v>143</v>
      </c>
    </row>
    <row r="16" spans="1:28" x14ac:dyDescent="0.3">
      <c r="A16" t="s">
        <v>133</v>
      </c>
      <c r="L16" t="s">
        <v>40</v>
      </c>
      <c r="M16" t="s">
        <v>132</v>
      </c>
      <c r="N16" s="2">
        <f t="shared" si="0"/>
        <v>40</v>
      </c>
      <c r="O16">
        <v>32</v>
      </c>
      <c r="P16">
        <v>11</v>
      </c>
      <c r="Q16">
        <v>7</v>
      </c>
      <c r="R16">
        <f t="shared" si="1"/>
        <v>14</v>
      </c>
      <c r="S16">
        <v>46</v>
      </c>
      <c r="T16">
        <v>49</v>
      </c>
      <c r="U16">
        <f t="shared" si="2"/>
        <v>-3</v>
      </c>
    </row>
    <row r="17" spans="1:25" x14ac:dyDescent="0.3">
      <c r="A17" s="1" t="s">
        <v>13</v>
      </c>
      <c r="B17" t="s">
        <v>124</v>
      </c>
      <c r="C17" s="2">
        <f>E17*3+F17</f>
        <v>70</v>
      </c>
      <c r="D17">
        <v>38</v>
      </c>
      <c r="E17">
        <v>20</v>
      </c>
      <c r="F17">
        <v>10</v>
      </c>
      <c r="G17">
        <f>D17-E17-F17</f>
        <v>8</v>
      </c>
      <c r="H17">
        <v>71</v>
      </c>
      <c r="I17">
        <v>48</v>
      </c>
      <c r="J17">
        <f>H17-I17</f>
        <v>23</v>
      </c>
      <c r="L17" t="s">
        <v>42</v>
      </c>
      <c r="M17" t="s">
        <v>130</v>
      </c>
      <c r="N17" s="2">
        <f t="shared" si="0"/>
        <v>40</v>
      </c>
      <c r="O17">
        <v>32</v>
      </c>
      <c r="P17">
        <v>11</v>
      </c>
      <c r="Q17">
        <v>7</v>
      </c>
      <c r="R17">
        <f t="shared" si="1"/>
        <v>14</v>
      </c>
      <c r="S17">
        <v>43</v>
      </c>
      <c r="T17">
        <v>49</v>
      </c>
      <c r="U17">
        <f t="shared" si="2"/>
        <v>-6</v>
      </c>
      <c r="W17" t="s">
        <v>50</v>
      </c>
    </row>
    <row r="18" spans="1:25" x14ac:dyDescent="0.3">
      <c r="A18" s="1" t="s">
        <v>16</v>
      </c>
      <c r="B18" t="s">
        <v>127</v>
      </c>
      <c r="C18" s="2">
        <f>E18*3+F18</f>
        <v>64</v>
      </c>
      <c r="D18">
        <v>38</v>
      </c>
      <c r="E18">
        <v>18</v>
      </c>
      <c r="F18">
        <v>10</v>
      </c>
      <c r="G18">
        <f>D18-E18-F18</f>
        <v>10</v>
      </c>
      <c r="H18">
        <v>67</v>
      </c>
      <c r="I18">
        <v>50</v>
      </c>
      <c r="J18">
        <f>H18-I18</f>
        <v>17</v>
      </c>
      <c r="L18" s="3" t="s">
        <v>44</v>
      </c>
      <c r="M18" t="s">
        <v>151</v>
      </c>
      <c r="N18" s="2">
        <f t="shared" si="0"/>
        <v>39</v>
      </c>
      <c r="O18">
        <v>32</v>
      </c>
      <c r="P18">
        <v>10</v>
      </c>
      <c r="Q18">
        <v>9</v>
      </c>
      <c r="R18">
        <f t="shared" si="1"/>
        <v>13</v>
      </c>
      <c r="S18">
        <v>42</v>
      </c>
      <c r="T18">
        <v>53</v>
      </c>
      <c r="U18">
        <f t="shared" si="2"/>
        <v>-11</v>
      </c>
      <c r="W18" t="s">
        <v>122</v>
      </c>
      <c r="X18" t="s">
        <v>58</v>
      </c>
      <c r="Y18" t="s">
        <v>131</v>
      </c>
    </row>
    <row r="19" spans="1:25" x14ac:dyDescent="0.3">
      <c r="A19" s="4" t="s">
        <v>19</v>
      </c>
      <c r="B19" t="s">
        <v>122</v>
      </c>
      <c r="C19" s="2">
        <f>E19*3+F19</f>
        <v>63</v>
      </c>
      <c r="D19">
        <v>38</v>
      </c>
      <c r="E19">
        <v>19</v>
      </c>
      <c r="F19">
        <v>6</v>
      </c>
      <c r="G19">
        <f>D19-E19-F19</f>
        <v>13</v>
      </c>
      <c r="H19">
        <v>63</v>
      </c>
      <c r="I19">
        <v>46</v>
      </c>
      <c r="J19">
        <f>H19-I19</f>
        <v>17</v>
      </c>
      <c r="L19" t="s">
        <v>46</v>
      </c>
      <c r="M19" t="s">
        <v>140</v>
      </c>
      <c r="N19" s="2">
        <f t="shared" si="0"/>
        <v>35</v>
      </c>
      <c r="O19">
        <v>32</v>
      </c>
      <c r="P19">
        <v>10</v>
      </c>
      <c r="Q19">
        <v>5</v>
      </c>
      <c r="R19">
        <f t="shared" si="1"/>
        <v>17</v>
      </c>
      <c r="S19">
        <v>40</v>
      </c>
      <c r="T19">
        <v>48</v>
      </c>
      <c r="U19">
        <f t="shared" si="2"/>
        <v>-8</v>
      </c>
      <c r="W19" t="s">
        <v>121</v>
      </c>
      <c r="X19" t="s">
        <v>52</v>
      </c>
      <c r="Y19" t="s">
        <v>150</v>
      </c>
    </row>
    <row r="20" spans="1:25" x14ac:dyDescent="0.3">
      <c r="A20" s="11" t="s">
        <v>21</v>
      </c>
      <c r="B20" t="s">
        <v>125</v>
      </c>
      <c r="C20" s="2">
        <f>E20*3+F20</f>
        <v>56</v>
      </c>
      <c r="D20">
        <v>38</v>
      </c>
      <c r="E20">
        <v>15</v>
      </c>
      <c r="F20">
        <v>11</v>
      </c>
      <c r="G20">
        <f>D20-E20-F20</f>
        <v>12</v>
      </c>
      <c r="H20">
        <v>60</v>
      </c>
      <c r="I20">
        <v>56</v>
      </c>
      <c r="J20">
        <f>H20-I20</f>
        <v>4</v>
      </c>
      <c r="W20" t="s">
        <v>148</v>
      </c>
      <c r="X20" t="s">
        <v>52</v>
      </c>
      <c r="Y20" t="s">
        <v>138</v>
      </c>
    </row>
    <row r="21" spans="1:25" x14ac:dyDescent="0.3">
      <c r="A21" t="s">
        <v>24</v>
      </c>
      <c r="B21" t="s">
        <v>128</v>
      </c>
      <c r="C21" s="2">
        <f>E21*3+F21</f>
        <v>55</v>
      </c>
      <c r="D21">
        <v>38</v>
      </c>
      <c r="E21">
        <v>15</v>
      </c>
      <c r="F21">
        <v>10</v>
      </c>
      <c r="G21">
        <f>D21-E21-F21</f>
        <v>13</v>
      </c>
      <c r="H21">
        <v>52</v>
      </c>
      <c r="I21">
        <v>48</v>
      </c>
      <c r="J21">
        <f>H21-I21</f>
        <v>4</v>
      </c>
      <c r="L21" t="s">
        <v>153</v>
      </c>
      <c r="W21" t="s">
        <v>129</v>
      </c>
      <c r="X21" t="s">
        <v>55</v>
      </c>
      <c r="Y21" t="s">
        <v>142</v>
      </c>
    </row>
    <row r="22" spans="1:25" x14ac:dyDescent="0.3">
      <c r="A22" t="s">
        <v>25</v>
      </c>
      <c r="B22" t="s">
        <v>129</v>
      </c>
      <c r="C22" s="2">
        <f>E22*3+F22</f>
        <v>52</v>
      </c>
      <c r="D22">
        <v>38</v>
      </c>
      <c r="E22">
        <v>16</v>
      </c>
      <c r="F22">
        <v>4</v>
      </c>
      <c r="G22">
        <f>D22-E22-F22</f>
        <v>18</v>
      </c>
      <c r="H22">
        <v>50</v>
      </c>
      <c r="I22">
        <v>53</v>
      </c>
      <c r="J22">
        <f>H22-I22</f>
        <v>-3</v>
      </c>
      <c r="L22" t="s">
        <v>12</v>
      </c>
      <c r="W22" t="s">
        <v>130</v>
      </c>
      <c r="X22" t="s">
        <v>60</v>
      </c>
      <c r="Y22" t="s">
        <v>137</v>
      </c>
    </row>
    <row r="23" spans="1:25" x14ac:dyDescent="0.3">
      <c r="L23" t="str">
        <f>M5</f>
        <v>Seongnam</v>
      </c>
      <c r="M23" t="s">
        <v>63</v>
      </c>
      <c r="N23" t="str">
        <f>M8</f>
        <v>Suwon FC</v>
      </c>
      <c r="W23" t="s">
        <v>151</v>
      </c>
      <c r="X23" t="s">
        <v>55</v>
      </c>
      <c r="Y23" t="s">
        <v>136</v>
      </c>
    </row>
    <row r="24" spans="1:25" x14ac:dyDescent="0.3">
      <c r="A24" t="s">
        <v>134</v>
      </c>
      <c r="L24" t="str">
        <f>M6</f>
        <v>Cheonan City</v>
      </c>
      <c r="M24" t="s">
        <v>84</v>
      </c>
      <c r="N24" t="str">
        <f>M7</f>
        <v>Jeonnam Dragons</v>
      </c>
      <c r="W24" t="s">
        <v>146</v>
      </c>
      <c r="X24" t="s">
        <v>58</v>
      </c>
      <c r="Y24" t="s">
        <v>141</v>
      </c>
    </row>
    <row r="25" spans="1:25" x14ac:dyDescent="0.3">
      <c r="A25" t="s">
        <v>13</v>
      </c>
      <c r="B25" t="s">
        <v>123</v>
      </c>
      <c r="C25" s="2">
        <f>E25*3+F25</f>
        <v>57</v>
      </c>
      <c r="D25">
        <v>38</v>
      </c>
      <c r="E25">
        <v>17</v>
      </c>
      <c r="F25">
        <v>6</v>
      </c>
      <c r="G25">
        <f>D25-E25-F25</f>
        <v>15</v>
      </c>
      <c r="H25">
        <v>57</v>
      </c>
      <c r="I25">
        <v>54</v>
      </c>
      <c r="J25">
        <f>H25-I25</f>
        <v>3</v>
      </c>
      <c r="W25" t="s">
        <v>128</v>
      </c>
      <c r="X25" t="s">
        <v>52</v>
      </c>
      <c r="Y25" t="s">
        <v>124</v>
      </c>
    </row>
    <row r="26" spans="1:25" x14ac:dyDescent="0.3">
      <c r="A26" t="s">
        <v>16</v>
      </c>
      <c r="B26" t="s">
        <v>131</v>
      </c>
      <c r="C26" s="2">
        <f>E26*3+F26</f>
        <v>54</v>
      </c>
      <c r="D26">
        <v>38</v>
      </c>
      <c r="E26">
        <v>16</v>
      </c>
      <c r="F26">
        <v>6</v>
      </c>
      <c r="G26">
        <f>D26-E26-F26</f>
        <v>16</v>
      </c>
      <c r="H26">
        <v>54</v>
      </c>
      <c r="I26">
        <v>52</v>
      </c>
      <c r="J26">
        <f>H26-I26</f>
        <v>2</v>
      </c>
      <c r="L26" t="s">
        <v>23</v>
      </c>
    </row>
    <row r="27" spans="1:25" x14ac:dyDescent="0.3">
      <c r="A27" t="s">
        <v>19</v>
      </c>
      <c r="B27" t="s">
        <v>138</v>
      </c>
      <c r="C27" s="2">
        <f>E27*3+F27</f>
        <v>43</v>
      </c>
      <c r="D27">
        <v>38</v>
      </c>
      <c r="E27">
        <v>11</v>
      </c>
      <c r="F27">
        <v>10</v>
      </c>
      <c r="G27">
        <f>D27-E27-F27</f>
        <v>17</v>
      </c>
      <c r="H27">
        <v>42</v>
      </c>
      <c r="I27">
        <v>59</v>
      </c>
      <c r="J27">
        <f>H27-I27</f>
        <v>-17</v>
      </c>
      <c r="L27" t="s">
        <v>146</v>
      </c>
      <c r="M27" t="s">
        <v>55</v>
      </c>
      <c r="N27" t="s">
        <v>141</v>
      </c>
      <c r="W27" t="s">
        <v>53</v>
      </c>
    </row>
    <row r="28" spans="1:25" x14ac:dyDescent="0.3">
      <c r="A28" s="5" t="s">
        <v>21</v>
      </c>
      <c r="B28" t="s">
        <v>126</v>
      </c>
      <c r="C28" s="2">
        <f>E28*3+F28</f>
        <v>41</v>
      </c>
      <c r="D28">
        <v>38</v>
      </c>
      <c r="E28">
        <v>11</v>
      </c>
      <c r="F28">
        <v>8</v>
      </c>
      <c r="G28">
        <f>D28-E28-F28</f>
        <v>19</v>
      </c>
      <c r="H28">
        <v>54</v>
      </c>
      <c r="I28">
        <v>62</v>
      </c>
      <c r="J28">
        <f>H28-I28</f>
        <v>-8</v>
      </c>
      <c r="W28" t="s">
        <v>128</v>
      </c>
      <c r="X28" t="s">
        <v>52</v>
      </c>
      <c r="Y28" t="s">
        <v>129</v>
      </c>
    </row>
    <row r="29" spans="1:25" x14ac:dyDescent="0.3">
      <c r="A29" s="5" t="s">
        <v>24</v>
      </c>
      <c r="B29" t="s">
        <v>121</v>
      </c>
      <c r="C29" s="2">
        <f>E29*3+F29</f>
        <v>41</v>
      </c>
      <c r="D29">
        <v>38</v>
      </c>
      <c r="E29">
        <v>11</v>
      </c>
      <c r="F29">
        <v>8</v>
      </c>
      <c r="G29">
        <f>D29-E29-F29</f>
        <v>19</v>
      </c>
      <c r="H29">
        <v>44</v>
      </c>
      <c r="I29">
        <v>65</v>
      </c>
      <c r="J29">
        <f>H29-I29</f>
        <v>-21</v>
      </c>
      <c r="W29" t="s">
        <v>148</v>
      </c>
      <c r="X29" t="s">
        <v>155</v>
      </c>
      <c r="Y29" t="s">
        <v>141</v>
      </c>
    </row>
    <row r="30" spans="1:25" x14ac:dyDescent="0.3">
      <c r="A30" s="8" t="s">
        <v>25</v>
      </c>
      <c r="B30" t="s">
        <v>136</v>
      </c>
      <c r="C30" s="2">
        <f>E30*3+F30</f>
        <v>40</v>
      </c>
      <c r="D30">
        <v>38</v>
      </c>
      <c r="E30">
        <v>11</v>
      </c>
      <c r="F30">
        <v>7</v>
      </c>
      <c r="G30">
        <f>D30-E30-F30</f>
        <v>20</v>
      </c>
      <c r="H30">
        <v>43</v>
      </c>
      <c r="I30">
        <v>64</v>
      </c>
      <c r="J30">
        <f>H30-I30</f>
        <v>-21</v>
      </c>
      <c r="W30" t="s">
        <v>151</v>
      </c>
      <c r="X30" t="s">
        <v>63</v>
      </c>
      <c r="Y30" t="s">
        <v>121</v>
      </c>
    </row>
    <row r="31" spans="1:25" x14ac:dyDescent="0.3">
      <c r="W31" t="s">
        <v>131</v>
      </c>
      <c r="X31" t="s">
        <v>56</v>
      </c>
      <c r="Y31" t="s">
        <v>130</v>
      </c>
    </row>
    <row r="32" spans="1:25" x14ac:dyDescent="0.3">
      <c r="A32" t="s">
        <v>135</v>
      </c>
    </row>
    <row r="33" spans="1:25" x14ac:dyDescent="0.3">
      <c r="A33" t="s">
        <v>146</v>
      </c>
      <c r="B33" t="s">
        <v>82</v>
      </c>
      <c r="C33" t="str">
        <f>B30</f>
        <v>Busan Ipark</v>
      </c>
      <c r="E33" t="str">
        <f>B30</f>
        <v>Busan Ipark</v>
      </c>
      <c r="F33" t="s">
        <v>55</v>
      </c>
      <c r="G33" t="s">
        <v>146</v>
      </c>
      <c r="W33" t="s">
        <v>12</v>
      </c>
    </row>
    <row r="34" spans="1:25" x14ac:dyDescent="0.3">
      <c r="W34" t="s">
        <v>128</v>
      </c>
      <c r="X34" t="s">
        <v>159</v>
      </c>
      <c r="Y34" t="s">
        <v>141</v>
      </c>
    </row>
    <row r="35" spans="1:25" x14ac:dyDescent="0.3">
      <c r="W35" t="s">
        <v>151</v>
      </c>
      <c r="X35" t="s">
        <v>60</v>
      </c>
      <c r="Y35" t="s">
        <v>131</v>
      </c>
    </row>
    <row r="37" spans="1:25" x14ac:dyDescent="0.3">
      <c r="W37" t="s">
        <v>23</v>
      </c>
    </row>
    <row r="38" spans="1:25" x14ac:dyDescent="0.3">
      <c r="W38" t="s">
        <v>141</v>
      </c>
      <c r="X38" t="s">
        <v>99</v>
      </c>
      <c r="Y38" t="s">
        <v>151</v>
      </c>
    </row>
  </sheetData>
  <sortState xmlns:xlrd2="http://schemas.microsoft.com/office/spreadsheetml/2017/richdata2" ref="B25:J30">
    <sortCondition descending="1" ref="C25:C30"/>
    <sortCondition descending="1" ref="H25:H3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6525-BDB3-44B2-AC4A-D593EA0F2E28}">
  <dimension ref="A1:Q21"/>
  <sheetViews>
    <sheetView workbookViewId="0">
      <selection activeCell="A6" sqref="A6"/>
    </sheetView>
  </sheetViews>
  <sheetFormatPr defaultRowHeight="14.4" x14ac:dyDescent="0.3"/>
  <cols>
    <col min="1" max="1" width="13.77734375" customWidth="1"/>
    <col min="2" max="2" width="13.109375" customWidth="1"/>
    <col min="12" max="12" width="14.6640625" customWidth="1"/>
    <col min="14" max="14" width="12.77734375" customWidth="1"/>
    <col min="16" max="16" width="10.109375" customWidth="1"/>
  </cols>
  <sheetData>
    <row r="1" spans="1:17" x14ac:dyDescent="0.3">
      <c r="A1" t="s">
        <v>160</v>
      </c>
      <c r="L1" t="s">
        <v>161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P2" t="s">
        <v>162</v>
      </c>
      <c r="Q2">
        <v>16</v>
      </c>
    </row>
    <row r="3" spans="1:17" x14ac:dyDescent="0.3">
      <c r="A3" s="1" t="s">
        <v>13</v>
      </c>
      <c r="B3" t="s">
        <v>162</v>
      </c>
      <c r="C3" s="2">
        <f t="shared" ref="C3:C16" si="0">E3*3+F3</f>
        <v>48</v>
      </c>
      <c r="D3">
        <v>26</v>
      </c>
      <c r="E3">
        <v>15</v>
      </c>
      <c r="F3">
        <v>3</v>
      </c>
      <c r="G3">
        <f t="shared" ref="G3:G16" si="1">D3-E3-F3</f>
        <v>8</v>
      </c>
      <c r="H3">
        <v>45</v>
      </c>
      <c r="I3">
        <v>28</v>
      </c>
      <c r="J3">
        <f t="shared" ref="J3:J16" si="2">H3-I3</f>
        <v>17</v>
      </c>
      <c r="L3" t="s">
        <v>163</v>
      </c>
      <c r="M3" t="s">
        <v>56</v>
      </c>
      <c r="N3" t="s">
        <v>167</v>
      </c>
      <c r="P3" t="s">
        <v>165</v>
      </c>
      <c r="Q3">
        <v>4</v>
      </c>
    </row>
    <row r="4" spans="1:17" x14ac:dyDescent="0.3">
      <c r="A4" s="1" t="s">
        <v>16</v>
      </c>
      <c r="B4" t="s">
        <v>173</v>
      </c>
      <c r="C4" s="2">
        <f t="shared" si="0"/>
        <v>47</v>
      </c>
      <c r="D4">
        <v>26</v>
      </c>
      <c r="E4">
        <v>15</v>
      </c>
      <c r="F4">
        <v>2</v>
      </c>
      <c r="G4">
        <f t="shared" si="1"/>
        <v>9</v>
      </c>
      <c r="H4">
        <v>45</v>
      </c>
      <c r="I4">
        <v>31</v>
      </c>
      <c r="J4">
        <f t="shared" si="2"/>
        <v>14</v>
      </c>
      <c r="L4" t="s">
        <v>174</v>
      </c>
      <c r="M4" t="s">
        <v>99</v>
      </c>
      <c r="N4" t="s">
        <v>171</v>
      </c>
    </row>
    <row r="5" spans="1:17" x14ac:dyDescent="0.3">
      <c r="A5" s="4" t="s">
        <v>19</v>
      </c>
      <c r="B5" t="s">
        <v>174</v>
      </c>
      <c r="C5" s="2">
        <f t="shared" si="0"/>
        <v>43</v>
      </c>
      <c r="D5">
        <v>26</v>
      </c>
      <c r="E5">
        <v>13</v>
      </c>
      <c r="F5">
        <v>4</v>
      </c>
      <c r="G5">
        <f t="shared" si="1"/>
        <v>9</v>
      </c>
      <c r="H5">
        <v>35</v>
      </c>
      <c r="I5">
        <v>27</v>
      </c>
      <c r="J5">
        <f t="shared" si="2"/>
        <v>8</v>
      </c>
      <c r="L5" t="s">
        <v>173</v>
      </c>
      <c r="M5" t="s">
        <v>58</v>
      </c>
      <c r="N5" t="s">
        <v>165</v>
      </c>
    </row>
    <row r="6" spans="1:17" x14ac:dyDescent="0.3">
      <c r="A6" s="3" t="s">
        <v>21</v>
      </c>
      <c r="B6" t="s">
        <v>169</v>
      </c>
      <c r="C6" s="2">
        <f t="shared" si="0"/>
        <v>42</v>
      </c>
      <c r="D6">
        <v>26</v>
      </c>
      <c r="E6">
        <v>12</v>
      </c>
      <c r="F6">
        <v>6</v>
      </c>
      <c r="G6">
        <f t="shared" si="1"/>
        <v>8</v>
      </c>
      <c r="H6">
        <v>37</v>
      </c>
      <c r="I6">
        <v>33</v>
      </c>
      <c r="J6">
        <f t="shared" si="2"/>
        <v>4</v>
      </c>
      <c r="L6" t="s">
        <v>164</v>
      </c>
      <c r="M6" t="s">
        <v>52</v>
      </c>
      <c r="N6" t="s">
        <v>170</v>
      </c>
    </row>
    <row r="7" spans="1:17" x14ac:dyDescent="0.3">
      <c r="A7" s="1" t="s">
        <v>24</v>
      </c>
      <c r="B7" t="s">
        <v>165</v>
      </c>
      <c r="C7" s="2">
        <f t="shared" si="0"/>
        <v>40</v>
      </c>
      <c r="D7">
        <v>26</v>
      </c>
      <c r="E7">
        <v>12</v>
      </c>
      <c r="F7">
        <v>4</v>
      </c>
      <c r="G7">
        <f t="shared" si="1"/>
        <v>10</v>
      </c>
      <c r="H7">
        <v>36</v>
      </c>
      <c r="I7">
        <v>29</v>
      </c>
      <c r="J7">
        <f t="shared" si="2"/>
        <v>7</v>
      </c>
      <c r="L7" t="s">
        <v>166</v>
      </c>
      <c r="M7" t="s">
        <v>52</v>
      </c>
      <c r="N7" t="s">
        <v>169</v>
      </c>
    </row>
    <row r="8" spans="1:17" x14ac:dyDescent="0.3">
      <c r="A8" t="s">
        <v>25</v>
      </c>
      <c r="B8" t="s">
        <v>166</v>
      </c>
      <c r="C8" s="2">
        <f t="shared" si="0"/>
        <v>36</v>
      </c>
      <c r="D8">
        <v>26</v>
      </c>
      <c r="E8">
        <v>11</v>
      </c>
      <c r="F8">
        <v>3</v>
      </c>
      <c r="G8">
        <f t="shared" si="1"/>
        <v>12</v>
      </c>
      <c r="H8">
        <v>37</v>
      </c>
      <c r="I8">
        <v>40</v>
      </c>
      <c r="J8">
        <f t="shared" si="2"/>
        <v>-3</v>
      </c>
      <c r="L8" t="s">
        <v>172</v>
      </c>
      <c r="M8" t="s">
        <v>55</v>
      </c>
      <c r="N8" t="s">
        <v>175</v>
      </c>
    </row>
    <row r="9" spans="1:17" x14ac:dyDescent="0.3">
      <c r="A9" t="s">
        <v>27</v>
      </c>
      <c r="B9" t="s">
        <v>168</v>
      </c>
      <c r="C9" s="2">
        <f t="shared" si="0"/>
        <v>35</v>
      </c>
      <c r="D9">
        <v>26</v>
      </c>
      <c r="E9">
        <v>10</v>
      </c>
      <c r="F9">
        <v>5</v>
      </c>
      <c r="G9">
        <f t="shared" si="1"/>
        <v>11</v>
      </c>
      <c r="H9">
        <v>41</v>
      </c>
      <c r="I9">
        <v>41</v>
      </c>
      <c r="J9">
        <f t="shared" si="2"/>
        <v>0</v>
      </c>
    </row>
    <row r="10" spans="1:17" x14ac:dyDescent="0.3">
      <c r="A10" t="s">
        <v>29</v>
      </c>
      <c r="B10" t="s">
        <v>163</v>
      </c>
      <c r="C10" s="2">
        <f t="shared" si="0"/>
        <v>35</v>
      </c>
      <c r="D10">
        <v>26</v>
      </c>
      <c r="E10">
        <v>9</v>
      </c>
      <c r="F10">
        <v>8</v>
      </c>
      <c r="G10">
        <f t="shared" si="1"/>
        <v>9</v>
      </c>
      <c r="H10">
        <v>32</v>
      </c>
      <c r="I10">
        <v>30</v>
      </c>
      <c r="J10">
        <f t="shared" si="2"/>
        <v>2</v>
      </c>
      <c r="L10" t="s">
        <v>53</v>
      </c>
    </row>
    <row r="11" spans="1:17" x14ac:dyDescent="0.3">
      <c r="A11" t="s">
        <v>31</v>
      </c>
      <c r="B11" t="s">
        <v>170</v>
      </c>
      <c r="C11" s="2">
        <f t="shared" si="0"/>
        <v>32</v>
      </c>
      <c r="D11">
        <v>26</v>
      </c>
      <c r="E11">
        <v>9</v>
      </c>
      <c r="F11">
        <v>5</v>
      </c>
      <c r="G11">
        <f t="shared" si="1"/>
        <v>12</v>
      </c>
      <c r="H11">
        <v>34</v>
      </c>
      <c r="I11">
        <v>41</v>
      </c>
      <c r="J11">
        <f t="shared" si="2"/>
        <v>-7</v>
      </c>
      <c r="L11" t="s">
        <v>172</v>
      </c>
      <c r="M11" t="s">
        <v>62</v>
      </c>
      <c r="N11" t="s">
        <v>164</v>
      </c>
    </row>
    <row r="12" spans="1:17" x14ac:dyDescent="0.3">
      <c r="A12" t="s">
        <v>33</v>
      </c>
      <c r="B12" t="s">
        <v>164</v>
      </c>
      <c r="C12" s="2">
        <f t="shared" si="0"/>
        <v>32</v>
      </c>
      <c r="D12">
        <v>26</v>
      </c>
      <c r="E12">
        <v>9</v>
      </c>
      <c r="F12">
        <v>5</v>
      </c>
      <c r="G12">
        <f t="shared" si="1"/>
        <v>12</v>
      </c>
      <c r="H12">
        <v>34</v>
      </c>
      <c r="I12">
        <v>47</v>
      </c>
      <c r="J12">
        <f t="shared" si="2"/>
        <v>-13</v>
      </c>
      <c r="L12" t="s">
        <v>168</v>
      </c>
      <c r="M12" t="s">
        <v>176</v>
      </c>
      <c r="N12" t="s">
        <v>162</v>
      </c>
    </row>
    <row r="13" spans="1:17" x14ac:dyDescent="0.3">
      <c r="A13" t="s">
        <v>35</v>
      </c>
      <c r="B13" t="s">
        <v>175</v>
      </c>
      <c r="C13" s="2">
        <f t="shared" si="0"/>
        <v>32</v>
      </c>
      <c r="D13">
        <v>26</v>
      </c>
      <c r="E13">
        <v>9</v>
      </c>
      <c r="F13">
        <v>5</v>
      </c>
      <c r="G13">
        <f t="shared" si="1"/>
        <v>12</v>
      </c>
      <c r="H13">
        <v>33</v>
      </c>
      <c r="I13">
        <v>37</v>
      </c>
      <c r="J13">
        <f t="shared" si="2"/>
        <v>-4</v>
      </c>
      <c r="L13" t="s">
        <v>165</v>
      </c>
      <c r="M13" t="s">
        <v>52</v>
      </c>
      <c r="N13" t="s">
        <v>166</v>
      </c>
    </row>
    <row r="14" spans="1:17" x14ac:dyDescent="0.3">
      <c r="A14" t="s">
        <v>36</v>
      </c>
      <c r="B14" t="s">
        <v>167</v>
      </c>
      <c r="C14" s="2">
        <f t="shared" si="0"/>
        <v>32</v>
      </c>
      <c r="D14">
        <v>26</v>
      </c>
      <c r="E14">
        <v>8</v>
      </c>
      <c r="F14">
        <v>8</v>
      </c>
      <c r="G14">
        <f t="shared" si="1"/>
        <v>10</v>
      </c>
      <c r="H14">
        <v>34</v>
      </c>
      <c r="I14">
        <v>47</v>
      </c>
      <c r="J14">
        <f t="shared" si="2"/>
        <v>-13</v>
      </c>
      <c r="L14" t="s">
        <v>171</v>
      </c>
      <c r="M14" t="s">
        <v>58</v>
      </c>
      <c r="N14" t="s">
        <v>163</v>
      </c>
    </row>
    <row r="15" spans="1:17" x14ac:dyDescent="0.3">
      <c r="A15" t="s">
        <v>38</v>
      </c>
      <c r="B15" t="s">
        <v>171</v>
      </c>
      <c r="C15" s="2">
        <f t="shared" si="0"/>
        <v>29</v>
      </c>
      <c r="D15">
        <v>26</v>
      </c>
      <c r="E15">
        <v>7</v>
      </c>
      <c r="F15">
        <v>8</v>
      </c>
      <c r="G15">
        <f t="shared" si="1"/>
        <v>11</v>
      </c>
      <c r="H15">
        <v>34</v>
      </c>
      <c r="I15">
        <v>36</v>
      </c>
      <c r="J15">
        <f t="shared" si="2"/>
        <v>-2</v>
      </c>
    </row>
    <row r="16" spans="1:17" x14ac:dyDescent="0.3">
      <c r="A16" t="s">
        <v>40</v>
      </c>
      <c r="B16" t="s">
        <v>172</v>
      </c>
      <c r="C16" s="2">
        <f t="shared" si="0"/>
        <v>27</v>
      </c>
      <c r="D16">
        <v>26</v>
      </c>
      <c r="E16">
        <v>7</v>
      </c>
      <c r="F16">
        <v>6</v>
      </c>
      <c r="G16">
        <f t="shared" si="1"/>
        <v>13</v>
      </c>
      <c r="H16">
        <v>33</v>
      </c>
      <c r="I16">
        <v>43</v>
      </c>
      <c r="J16">
        <f t="shared" si="2"/>
        <v>-10</v>
      </c>
      <c r="L16" t="s">
        <v>12</v>
      </c>
    </row>
    <row r="17" spans="12:14" x14ac:dyDescent="0.3">
      <c r="L17" t="s">
        <v>164</v>
      </c>
      <c r="M17" t="s">
        <v>52</v>
      </c>
      <c r="N17" t="s">
        <v>162</v>
      </c>
    </row>
    <row r="18" spans="12:14" x14ac:dyDescent="0.3">
      <c r="L18" t="s">
        <v>165</v>
      </c>
      <c r="M18" t="s">
        <v>52</v>
      </c>
      <c r="N18" t="s">
        <v>163</v>
      </c>
    </row>
    <row r="20" spans="12:14" x14ac:dyDescent="0.3">
      <c r="L20" t="s">
        <v>23</v>
      </c>
    </row>
    <row r="21" spans="12:14" x14ac:dyDescent="0.3">
      <c r="L21" t="s">
        <v>164</v>
      </c>
      <c r="M21" t="s">
        <v>80</v>
      </c>
      <c r="N21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21B1-78C3-471E-B482-553EBAA2F42F}">
  <dimension ref="A1:M21"/>
  <sheetViews>
    <sheetView workbookViewId="0">
      <selection activeCell="A17" sqref="A17"/>
    </sheetView>
  </sheetViews>
  <sheetFormatPr defaultRowHeight="14.4" x14ac:dyDescent="0.3"/>
  <cols>
    <col min="1" max="1" width="23.44140625" customWidth="1"/>
    <col min="2" max="2" width="14.33203125" customWidth="1"/>
    <col min="12" max="12" width="14.109375" customWidth="1"/>
  </cols>
  <sheetData>
    <row r="1" spans="1:13" x14ac:dyDescent="0.3">
      <c r="A1" t="s">
        <v>177</v>
      </c>
      <c r="L1" t="s">
        <v>189</v>
      </c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181</v>
      </c>
      <c r="M2">
        <v>2</v>
      </c>
    </row>
    <row r="3" spans="1:13" x14ac:dyDescent="0.3">
      <c r="A3" s="6" t="s">
        <v>13</v>
      </c>
      <c r="B3" t="s">
        <v>188</v>
      </c>
      <c r="C3" s="2">
        <f t="shared" ref="C3:C13" si="0">E3*3+F3</f>
        <v>32</v>
      </c>
      <c r="D3">
        <v>20</v>
      </c>
      <c r="E3">
        <v>9</v>
      </c>
      <c r="F3">
        <v>5</v>
      </c>
      <c r="G3">
        <f>D3-E3-F3</f>
        <v>6</v>
      </c>
      <c r="H3">
        <v>39</v>
      </c>
      <c r="I3">
        <v>30</v>
      </c>
      <c r="J3">
        <f>H3-I3</f>
        <v>9</v>
      </c>
    </row>
    <row r="4" spans="1:13" x14ac:dyDescent="0.3">
      <c r="A4" s="6" t="s">
        <v>16</v>
      </c>
      <c r="B4" t="s">
        <v>181</v>
      </c>
      <c r="C4" s="2">
        <f t="shared" si="0"/>
        <v>32</v>
      </c>
      <c r="D4">
        <v>20</v>
      </c>
      <c r="E4">
        <v>9</v>
      </c>
      <c r="F4">
        <v>5</v>
      </c>
      <c r="G4">
        <f t="shared" ref="G4:G13" si="1">D4-E4-F4</f>
        <v>6</v>
      </c>
      <c r="H4">
        <v>33</v>
      </c>
      <c r="I4">
        <v>25</v>
      </c>
      <c r="J4">
        <f t="shared" ref="J4:J13" si="2">H4-I4</f>
        <v>8</v>
      </c>
    </row>
    <row r="5" spans="1:13" x14ac:dyDescent="0.3">
      <c r="A5" s="6" t="s">
        <v>19</v>
      </c>
      <c r="B5" t="s">
        <v>185</v>
      </c>
      <c r="C5" s="2">
        <f>E5*3+F5</f>
        <v>32</v>
      </c>
      <c r="D5">
        <v>20</v>
      </c>
      <c r="E5">
        <v>8</v>
      </c>
      <c r="F5">
        <v>8</v>
      </c>
      <c r="G5">
        <f>D5-E5-F5</f>
        <v>4</v>
      </c>
      <c r="H5">
        <v>36</v>
      </c>
      <c r="I5">
        <v>29</v>
      </c>
      <c r="J5">
        <f t="shared" si="2"/>
        <v>7</v>
      </c>
    </row>
    <row r="6" spans="1:13" x14ac:dyDescent="0.3">
      <c r="A6" s="6" t="s">
        <v>21</v>
      </c>
      <c r="B6" t="s">
        <v>178</v>
      </c>
      <c r="C6" s="2">
        <f t="shared" si="0"/>
        <v>29</v>
      </c>
      <c r="D6">
        <v>20</v>
      </c>
      <c r="E6">
        <v>9</v>
      </c>
      <c r="F6">
        <v>2</v>
      </c>
      <c r="G6">
        <f t="shared" si="1"/>
        <v>9</v>
      </c>
      <c r="H6">
        <v>32</v>
      </c>
      <c r="I6">
        <v>35</v>
      </c>
      <c r="J6">
        <f t="shared" si="2"/>
        <v>-3</v>
      </c>
    </row>
    <row r="7" spans="1:13" x14ac:dyDescent="0.3">
      <c r="A7" s="6" t="s">
        <v>24</v>
      </c>
      <c r="B7" t="s">
        <v>180</v>
      </c>
      <c r="C7" s="2">
        <f t="shared" si="0"/>
        <v>28</v>
      </c>
      <c r="D7">
        <v>20</v>
      </c>
      <c r="E7">
        <v>7</v>
      </c>
      <c r="F7">
        <v>7</v>
      </c>
      <c r="G7">
        <f t="shared" si="1"/>
        <v>6</v>
      </c>
      <c r="H7">
        <v>34</v>
      </c>
      <c r="I7">
        <v>31</v>
      </c>
      <c r="J7">
        <f t="shared" si="2"/>
        <v>3</v>
      </c>
    </row>
    <row r="8" spans="1:13" x14ac:dyDescent="0.3">
      <c r="A8" s="6" t="s">
        <v>25</v>
      </c>
      <c r="B8" t="s">
        <v>179</v>
      </c>
      <c r="C8" s="2">
        <f t="shared" si="0"/>
        <v>28</v>
      </c>
      <c r="D8">
        <v>20</v>
      </c>
      <c r="E8">
        <v>8</v>
      </c>
      <c r="F8">
        <v>4</v>
      </c>
      <c r="G8">
        <f t="shared" si="1"/>
        <v>8</v>
      </c>
      <c r="H8">
        <v>37</v>
      </c>
      <c r="I8">
        <v>39</v>
      </c>
      <c r="J8">
        <f t="shared" si="2"/>
        <v>-2</v>
      </c>
    </row>
    <row r="9" spans="1:13" x14ac:dyDescent="0.3">
      <c r="A9" t="s">
        <v>27</v>
      </c>
      <c r="B9" t="s">
        <v>183</v>
      </c>
      <c r="C9" s="2">
        <f t="shared" si="0"/>
        <v>28</v>
      </c>
      <c r="D9">
        <v>20</v>
      </c>
      <c r="E9">
        <v>7</v>
      </c>
      <c r="F9">
        <v>7</v>
      </c>
      <c r="G9">
        <f t="shared" si="1"/>
        <v>6</v>
      </c>
      <c r="H9">
        <v>29</v>
      </c>
      <c r="I9">
        <v>32</v>
      </c>
      <c r="J9">
        <f t="shared" si="2"/>
        <v>-3</v>
      </c>
    </row>
    <row r="10" spans="1:13" x14ac:dyDescent="0.3">
      <c r="A10" t="s">
        <v>29</v>
      </c>
      <c r="B10" t="s">
        <v>184</v>
      </c>
      <c r="C10" s="2">
        <f t="shared" si="0"/>
        <v>26</v>
      </c>
      <c r="D10">
        <v>20</v>
      </c>
      <c r="E10">
        <v>6</v>
      </c>
      <c r="F10">
        <v>8</v>
      </c>
      <c r="G10">
        <f t="shared" si="1"/>
        <v>6</v>
      </c>
      <c r="H10">
        <v>29</v>
      </c>
      <c r="I10">
        <v>31</v>
      </c>
      <c r="J10">
        <f t="shared" si="2"/>
        <v>-2</v>
      </c>
    </row>
    <row r="11" spans="1:13" x14ac:dyDescent="0.3">
      <c r="A11" t="s">
        <v>31</v>
      </c>
      <c r="B11" t="s">
        <v>182</v>
      </c>
      <c r="C11" s="2">
        <f t="shared" si="0"/>
        <v>26</v>
      </c>
      <c r="D11">
        <v>20</v>
      </c>
      <c r="E11">
        <v>7</v>
      </c>
      <c r="F11">
        <v>5</v>
      </c>
      <c r="G11">
        <f t="shared" si="1"/>
        <v>8</v>
      </c>
      <c r="H11">
        <v>31</v>
      </c>
      <c r="I11">
        <v>34</v>
      </c>
      <c r="J11">
        <f t="shared" si="2"/>
        <v>-3</v>
      </c>
    </row>
    <row r="12" spans="1:13" x14ac:dyDescent="0.3">
      <c r="A12" t="s">
        <v>33</v>
      </c>
      <c r="B12" t="s">
        <v>187</v>
      </c>
      <c r="C12" s="2">
        <f t="shared" si="0"/>
        <v>23</v>
      </c>
      <c r="D12">
        <v>20</v>
      </c>
      <c r="E12">
        <v>7</v>
      </c>
      <c r="F12">
        <v>2</v>
      </c>
      <c r="G12">
        <f t="shared" si="1"/>
        <v>11</v>
      </c>
      <c r="H12">
        <v>30</v>
      </c>
      <c r="I12">
        <v>36</v>
      </c>
      <c r="J12">
        <f t="shared" si="2"/>
        <v>-6</v>
      </c>
    </row>
    <row r="13" spans="1:13" x14ac:dyDescent="0.3">
      <c r="A13" t="s">
        <v>35</v>
      </c>
      <c r="B13" t="s">
        <v>186</v>
      </c>
      <c r="C13" s="2">
        <f t="shared" si="0"/>
        <v>18</v>
      </c>
      <c r="D13">
        <v>20</v>
      </c>
      <c r="E13">
        <v>5</v>
      </c>
      <c r="F13">
        <v>3</v>
      </c>
      <c r="G13">
        <f t="shared" si="1"/>
        <v>12</v>
      </c>
      <c r="H13">
        <v>32</v>
      </c>
      <c r="I13">
        <v>40</v>
      </c>
      <c r="J13">
        <f t="shared" si="2"/>
        <v>-8</v>
      </c>
    </row>
    <row r="15" spans="1:13" x14ac:dyDescent="0.3">
      <c r="A15" t="s">
        <v>133</v>
      </c>
    </row>
    <row r="16" spans="1:13" x14ac:dyDescent="0.3">
      <c r="A16" s="15" t="s">
        <v>13</v>
      </c>
      <c r="B16" t="s">
        <v>181</v>
      </c>
      <c r="C16" s="2">
        <f>E16*3+F16</f>
        <v>45</v>
      </c>
      <c r="D16">
        <v>25</v>
      </c>
      <c r="E16">
        <v>13</v>
      </c>
      <c r="F16">
        <v>6</v>
      </c>
      <c r="G16">
        <f>D16-E16-F16</f>
        <v>6</v>
      </c>
      <c r="H16">
        <v>41</v>
      </c>
      <c r="I16">
        <v>27</v>
      </c>
      <c r="J16">
        <f>H16-I16</f>
        <v>14</v>
      </c>
    </row>
    <row r="17" spans="1:10" x14ac:dyDescent="0.3">
      <c r="A17" s="16" t="s">
        <v>16</v>
      </c>
      <c r="B17" t="s">
        <v>188</v>
      </c>
      <c r="C17" s="2">
        <f>E17*3+F17</f>
        <v>40</v>
      </c>
      <c r="D17">
        <v>25</v>
      </c>
      <c r="E17">
        <v>11</v>
      </c>
      <c r="F17">
        <v>7</v>
      </c>
      <c r="G17">
        <f>D17-E17-F17</f>
        <v>7</v>
      </c>
      <c r="H17">
        <v>47</v>
      </c>
      <c r="I17">
        <v>36</v>
      </c>
      <c r="J17">
        <f>H17-I17</f>
        <v>11</v>
      </c>
    </row>
    <row r="18" spans="1:10" x14ac:dyDescent="0.3">
      <c r="A18" s="13" t="s">
        <v>19</v>
      </c>
      <c r="B18" t="s">
        <v>179</v>
      </c>
      <c r="C18" s="2">
        <f>E18*3+F18</f>
        <v>39</v>
      </c>
      <c r="D18">
        <v>25</v>
      </c>
      <c r="E18">
        <v>11</v>
      </c>
      <c r="F18">
        <v>6</v>
      </c>
      <c r="G18">
        <f>D18-E18-F18</f>
        <v>8</v>
      </c>
      <c r="H18">
        <v>43</v>
      </c>
      <c r="I18">
        <v>41</v>
      </c>
      <c r="J18">
        <f>H18-I18</f>
        <v>2</v>
      </c>
    </row>
    <row r="19" spans="1:10" x14ac:dyDescent="0.3">
      <c r="A19" s="14" t="s">
        <v>21</v>
      </c>
      <c r="B19" t="s">
        <v>185</v>
      </c>
      <c r="C19" s="2">
        <f>E19*3+F19</f>
        <v>37</v>
      </c>
      <c r="D19">
        <v>25</v>
      </c>
      <c r="E19">
        <v>9</v>
      </c>
      <c r="F19">
        <v>10</v>
      </c>
      <c r="G19">
        <f>D19-E19-F19</f>
        <v>6</v>
      </c>
      <c r="H19">
        <v>44</v>
      </c>
      <c r="I19">
        <v>37</v>
      </c>
      <c r="J19">
        <f>H19-I19</f>
        <v>7</v>
      </c>
    </row>
    <row r="20" spans="1:10" x14ac:dyDescent="0.3">
      <c r="A20" t="s">
        <v>24</v>
      </c>
      <c r="B20" t="s">
        <v>180</v>
      </c>
      <c r="C20" s="2">
        <f>E20*3+F20</f>
        <v>32</v>
      </c>
      <c r="D20">
        <v>25</v>
      </c>
      <c r="E20">
        <v>8</v>
      </c>
      <c r="F20">
        <v>8</v>
      </c>
      <c r="G20">
        <f>D20-E20-F20</f>
        <v>9</v>
      </c>
      <c r="H20">
        <v>38</v>
      </c>
      <c r="I20">
        <v>40</v>
      </c>
      <c r="J20">
        <f>H20-I20</f>
        <v>-2</v>
      </c>
    </row>
    <row r="21" spans="1:10" x14ac:dyDescent="0.3">
      <c r="A21" t="s">
        <v>25</v>
      </c>
      <c r="B21" t="s">
        <v>178</v>
      </c>
      <c r="C21" s="2">
        <f>E21*3+F21</f>
        <v>29</v>
      </c>
      <c r="D21">
        <v>25</v>
      </c>
      <c r="E21">
        <v>9</v>
      </c>
      <c r="F21">
        <v>2</v>
      </c>
      <c r="G21">
        <f>D21-E21-F21</f>
        <v>14</v>
      </c>
      <c r="H21">
        <v>34</v>
      </c>
      <c r="I21">
        <v>44</v>
      </c>
      <c r="J21">
        <f>H21-I21</f>
        <v>-10</v>
      </c>
    </row>
  </sheetData>
  <sortState xmlns:xlrd2="http://schemas.microsoft.com/office/spreadsheetml/2017/richdata2" ref="B15:J21">
    <sortCondition descending="1" ref="C15:C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FE19-6947-49E0-86E2-A23FA48A4E66}">
  <dimension ref="A1:Q17"/>
  <sheetViews>
    <sheetView workbookViewId="0">
      <selection activeCell="Q4" sqref="Q4"/>
    </sheetView>
  </sheetViews>
  <sheetFormatPr defaultRowHeight="14.4" x14ac:dyDescent="0.3"/>
  <cols>
    <col min="1" max="1" width="23.109375" customWidth="1"/>
    <col min="2" max="2" width="14.44140625" customWidth="1"/>
    <col min="12" max="12" width="16.44140625" customWidth="1"/>
    <col min="14" max="14" width="14" customWidth="1"/>
    <col min="16" max="16" width="13" customWidth="1"/>
  </cols>
  <sheetData>
    <row r="1" spans="1:17" x14ac:dyDescent="0.3">
      <c r="A1" t="s">
        <v>190</v>
      </c>
      <c r="L1" t="s">
        <v>201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P2" t="s">
        <v>193</v>
      </c>
      <c r="Q2">
        <v>1</v>
      </c>
    </row>
    <row r="3" spans="1:17" x14ac:dyDescent="0.3">
      <c r="A3" s="3" t="s">
        <v>13</v>
      </c>
      <c r="B3" t="s">
        <v>193</v>
      </c>
      <c r="C3" s="2">
        <f t="shared" ref="C3:C12" si="0">E3*3+F3</f>
        <v>34</v>
      </c>
      <c r="D3">
        <v>18</v>
      </c>
      <c r="E3">
        <v>11</v>
      </c>
      <c r="F3">
        <v>1</v>
      </c>
      <c r="G3">
        <f>D3-E3-F3</f>
        <v>6</v>
      </c>
      <c r="H3">
        <v>33</v>
      </c>
      <c r="I3">
        <v>20</v>
      </c>
      <c r="J3">
        <f>H3-I3</f>
        <v>13</v>
      </c>
      <c r="L3" t="s">
        <v>195</v>
      </c>
      <c r="M3" t="s">
        <v>52</v>
      </c>
      <c r="N3" t="s">
        <v>196</v>
      </c>
      <c r="P3" t="s">
        <v>195</v>
      </c>
      <c r="Q3">
        <v>3</v>
      </c>
    </row>
    <row r="4" spans="1:17" x14ac:dyDescent="0.3">
      <c r="A4" s="15" t="s">
        <v>16</v>
      </c>
      <c r="B4" t="s">
        <v>195</v>
      </c>
      <c r="C4" s="2">
        <f t="shared" si="0"/>
        <v>31</v>
      </c>
      <c r="D4">
        <v>18</v>
      </c>
      <c r="E4">
        <v>10</v>
      </c>
      <c r="F4">
        <v>1</v>
      </c>
      <c r="G4">
        <f t="shared" ref="G4:G12" si="1">D4-E4-F4</f>
        <v>7</v>
      </c>
      <c r="H4">
        <v>25</v>
      </c>
      <c r="I4">
        <v>20</v>
      </c>
      <c r="J4">
        <f t="shared" ref="J4:J12" si="2">H4-I4</f>
        <v>5</v>
      </c>
      <c r="L4" t="s">
        <v>197</v>
      </c>
      <c r="M4" t="s">
        <v>63</v>
      </c>
      <c r="N4" t="s">
        <v>191</v>
      </c>
    </row>
    <row r="5" spans="1:17" x14ac:dyDescent="0.3">
      <c r="A5" s="5" t="s">
        <v>19</v>
      </c>
      <c r="B5" t="s">
        <v>191</v>
      </c>
      <c r="C5" s="2">
        <f t="shared" si="0"/>
        <v>29</v>
      </c>
      <c r="D5">
        <v>18</v>
      </c>
      <c r="E5">
        <v>8</v>
      </c>
      <c r="F5">
        <v>5</v>
      </c>
      <c r="G5">
        <f t="shared" si="1"/>
        <v>5</v>
      </c>
      <c r="H5">
        <v>30</v>
      </c>
      <c r="I5">
        <v>26</v>
      </c>
      <c r="J5">
        <f t="shared" si="2"/>
        <v>4</v>
      </c>
    </row>
    <row r="6" spans="1:17" x14ac:dyDescent="0.3">
      <c r="A6" s="5" t="s">
        <v>21</v>
      </c>
      <c r="B6" t="s">
        <v>197</v>
      </c>
      <c r="C6" s="2">
        <f t="shared" si="0"/>
        <v>28</v>
      </c>
      <c r="D6">
        <v>18</v>
      </c>
      <c r="E6">
        <v>8</v>
      </c>
      <c r="F6">
        <v>4</v>
      </c>
      <c r="G6">
        <f t="shared" si="1"/>
        <v>6</v>
      </c>
      <c r="H6">
        <v>22</v>
      </c>
      <c r="I6">
        <v>21</v>
      </c>
      <c r="J6">
        <f t="shared" si="2"/>
        <v>1</v>
      </c>
      <c r="L6" t="s">
        <v>53</v>
      </c>
    </row>
    <row r="7" spans="1:17" x14ac:dyDescent="0.3">
      <c r="A7" s="5" t="s">
        <v>24</v>
      </c>
      <c r="B7" t="s">
        <v>200</v>
      </c>
      <c r="C7" s="2">
        <f t="shared" si="0"/>
        <v>27</v>
      </c>
      <c r="D7">
        <v>18</v>
      </c>
      <c r="E7">
        <v>8</v>
      </c>
      <c r="F7">
        <v>3</v>
      </c>
      <c r="G7">
        <f t="shared" si="1"/>
        <v>7</v>
      </c>
      <c r="H7">
        <v>31</v>
      </c>
      <c r="I7">
        <v>22</v>
      </c>
      <c r="J7">
        <f t="shared" si="2"/>
        <v>9</v>
      </c>
      <c r="L7" t="s">
        <v>192</v>
      </c>
      <c r="M7" t="s">
        <v>60</v>
      </c>
      <c r="N7" t="s">
        <v>199</v>
      </c>
    </row>
    <row r="8" spans="1:17" x14ac:dyDescent="0.3">
      <c r="A8" t="s">
        <v>25</v>
      </c>
      <c r="B8" t="s">
        <v>194</v>
      </c>
      <c r="C8" s="2">
        <f t="shared" si="0"/>
        <v>23</v>
      </c>
      <c r="D8">
        <v>18</v>
      </c>
      <c r="E8">
        <v>7</v>
      </c>
      <c r="F8">
        <v>2</v>
      </c>
      <c r="G8">
        <f t="shared" si="1"/>
        <v>9</v>
      </c>
      <c r="H8">
        <v>26</v>
      </c>
      <c r="I8">
        <v>27</v>
      </c>
      <c r="J8">
        <f t="shared" si="2"/>
        <v>-1</v>
      </c>
      <c r="L8" t="s">
        <v>198</v>
      </c>
      <c r="M8" t="s">
        <v>52</v>
      </c>
      <c r="N8" t="s">
        <v>200</v>
      </c>
    </row>
    <row r="9" spans="1:17" x14ac:dyDescent="0.3">
      <c r="A9" t="s">
        <v>27</v>
      </c>
      <c r="B9" t="s">
        <v>198</v>
      </c>
      <c r="C9" s="2">
        <f t="shared" si="0"/>
        <v>23</v>
      </c>
      <c r="D9">
        <v>18</v>
      </c>
      <c r="E9">
        <v>6</v>
      </c>
      <c r="F9">
        <v>5</v>
      </c>
      <c r="G9">
        <f t="shared" si="1"/>
        <v>7</v>
      </c>
      <c r="H9">
        <v>23</v>
      </c>
      <c r="I9">
        <v>29</v>
      </c>
      <c r="J9">
        <f t="shared" si="2"/>
        <v>-6</v>
      </c>
      <c r="L9" t="s">
        <v>193</v>
      </c>
      <c r="M9" t="s">
        <v>202</v>
      </c>
      <c r="N9" t="s">
        <v>195</v>
      </c>
    </row>
    <row r="10" spans="1:17" x14ac:dyDescent="0.3">
      <c r="A10" t="s">
        <v>29</v>
      </c>
      <c r="B10" t="s">
        <v>196</v>
      </c>
      <c r="C10" s="2">
        <f t="shared" si="0"/>
        <v>22</v>
      </c>
      <c r="D10">
        <v>18</v>
      </c>
      <c r="E10">
        <v>5</v>
      </c>
      <c r="F10">
        <v>7</v>
      </c>
      <c r="G10">
        <f t="shared" si="1"/>
        <v>6</v>
      </c>
      <c r="H10">
        <v>19</v>
      </c>
      <c r="I10">
        <v>18</v>
      </c>
      <c r="J10">
        <f t="shared" si="2"/>
        <v>1</v>
      </c>
      <c r="L10" t="s">
        <v>194</v>
      </c>
      <c r="M10" t="s">
        <v>58</v>
      </c>
      <c r="N10" t="s">
        <v>197</v>
      </c>
    </row>
    <row r="11" spans="1:17" x14ac:dyDescent="0.3">
      <c r="A11" t="s">
        <v>31</v>
      </c>
      <c r="B11" t="s">
        <v>192</v>
      </c>
      <c r="C11" s="2">
        <f t="shared" si="0"/>
        <v>20</v>
      </c>
      <c r="D11">
        <v>18</v>
      </c>
      <c r="E11">
        <v>6</v>
      </c>
      <c r="F11">
        <v>2</v>
      </c>
      <c r="G11">
        <f t="shared" si="1"/>
        <v>10</v>
      </c>
      <c r="H11">
        <v>15</v>
      </c>
      <c r="I11">
        <v>27</v>
      </c>
      <c r="J11">
        <f t="shared" si="2"/>
        <v>-12</v>
      </c>
    </row>
    <row r="12" spans="1:17" x14ac:dyDescent="0.3">
      <c r="A12" t="s">
        <v>33</v>
      </c>
      <c r="B12" t="s">
        <v>199</v>
      </c>
      <c r="C12" s="2">
        <f t="shared" si="0"/>
        <v>16</v>
      </c>
      <c r="D12">
        <v>18</v>
      </c>
      <c r="E12">
        <v>4</v>
      </c>
      <c r="F12">
        <v>4</v>
      </c>
      <c r="G12">
        <f t="shared" si="1"/>
        <v>10</v>
      </c>
      <c r="H12">
        <v>14</v>
      </c>
      <c r="I12">
        <v>28</v>
      </c>
      <c r="J12">
        <f t="shared" si="2"/>
        <v>-14</v>
      </c>
      <c r="L12" t="s">
        <v>12</v>
      </c>
    </row>
    <row r="13" spans="1:17" x14ac:dyDescent="0.3">
      <c r="L13" t="s">
        <v>192</v>
      </c>
      <c r="M13" t="s">
        <v>55</v>
      </c>
      <c r="N13" t="s">
        <v>198</v>
      </c>
    </row>
    <row r="14" spans="1:17" x14ac:dyDescent="0.3">
      <c r="L14" t="s">
        <v>195</v>
      </c>
      <c r="M14" t="s">
        <v>52</v>
      </c>
      <c r="N14" t="s">
        <v>197</v>
      </c>
    </row>
    <row r="16" spans="1:17" x14ac:dyDescent="0.3">
      <c r="L16" t="s">
        <v>23</v>
      </c>
    </row>
    <row r="17" spans="12:14" x14ac:dyDescent="0.3">
      <c r="L17" t="s">
        <v>192</v>
      </c>
      <c r="M17" t="s">
        <v>62</v>
      </c>
      <c r="N17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30E0-E4E9-4C48-AE07-E7E42197074A}">
  <dimension ref="A1:X27"/>
  <sheetViews>
    <sheetView workbookViewId="0">
      <selection activeCell="X2" sqref="X2"/>
    </sheetView>
  </sheetViews>
  <sheetFormatPr defaultRowHeight="14.4" x14ac:dyDescent="0.3"/>
  <cols>
    <col min="1" max="1" width="17.6640625" customWidth="1"/>
    <col min="2" max="2" width="15.109375" customWidth="1"/>
    <col min="11" max="11" width="8.88671875" customWidth="1"/>
    <col min="12" max="12" width="13.6640625" customWidth="1"/>
    <col min="13" max="13" width="15.6640625" customWidth="1"/>
    <col min="14" max="14" width="13.5546875" customWidth="1"/>
    <col min="23" max="23" width="15.77734375" customWidth="1"/>
  </cols>
  <sheetData>
    <row r="1" spans="1:24" x14ac:dyDescent="0.3">
      <c r="A1" t="s">
        <v>203</v>
      </c>
      <c r="L1" t="s">
        <v>218</v>
      </c>
      <c r="W1" t="s">
        <v>65</v>
      </c>
    </row>
    <row r="2" spans="1:24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219</v>
      </c>
      <c r="W2" t="s">
        <v>213</v>
      </c>
      <c r="X2">
        <v>1</v>
      </c>
    </row>
    <row r="3" spans="1:24" x14ac:dyDescent="0.3">
      <c r="A3" s="3" t="s">
        <v>13</v>
      </c>
      <c r="B3" t="s">
        <v>213</v>
      </c>
      <c r="C3" s="2">
        <f t="shared" ref="C3:C16" si="0">E3*3+F3</f>
        <v>49</v>
      </c>
      <c r="D3">
        <v>26</v>
      </c>
      <c r="E3">
        <v>14</v>
      </c>
      <c r="F3">
        <v>7</v>
      </c>
      <c r="G3">
        <f t="shared" ref="G3:G16" si="1">D3-E3-F3</f>
        <v>5</v>
      </c>
      <c r="H3">
        <v>47</v>
      </c>
      <c r="I3">
        <v>35</v>
      </c>
      <c r="J3">
        <f t="shared" ref="J3:J16" si="2">H3-I3</f>
        <v>12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  <c r="W3" t="s">
        <v>205</v>
      </c>
      <c r="X3">
        <v>1</v>
      </c>
    </row>
    <row r="4" spans="1:24" x14ac:dyDescent="0.3">
      <c r="A4" t="s">
        <v>16</v>
      </c>
      <c r="B4" t="s">
        <v>215</v>
      </c>
      <c r="C4" s="2">
        <f t="shared" si="0"/>
        <v>45</v>
      </c>
      <c r="D4">
        <v>26</v>
      </c>
      <c r="E4">
        <v>14</v>
      </c>
      <c r="F4">
        <v>3</v>
      </c>
      <c r="G4">
        <f t="shared" si="1"/>
        <v>9</v>
      </c>
      <c r="H4">
        <v>45</v>
      </c>
      <c r="I4">
        <v>36</v>
      </c>
      <c r="J4">
        <f t="shared" si="2"/>
        <v>9</v>
      </c>
      <c r="L4" s="6" t="s">
        <v>13</v>
      </c>
      <c r="M4" t="s">
        <v>204</v>
      </c>
      <c r="N4" s="2">
        <f t="shared" ref="N4:N10" si="3">P4*3+Q4</f>
        <v>12</v>
      </c>
      <c r="O4">
        <v>6</v>
      </c>
      <c r="P4">
        <v>4</v>
      </c>
      <c r="Q4">
        <v>0</v>
      </c>
      <c r="R4">
        <f t="shared" ref="R4:R10" si="4">O4-P4-Q4</f>
        <v>2</v>
      </c>
      <c r="S4">
        <v>9</v>
      </c>
      <c r="T4">
        <v>6</v>
      </c>
      <c r="U4">
        <f t="shared" ref="U4:U10" si="5">S4-T4</f>
        <v>3</v>
      </c>
    </row>
    <row r="5" spans="1:24" x14ac:dyDescent="0.3">
      <c r="A5" t="s">
        <v>19</v>
      </c>
      <c r="B5" t="s">
        <v>211</v>
      </c>
      <c r="C5" s="2">
        <f t="shared" si="0"/>
        <v>43</v>
      </c>
      <c r="D5">
        <v>26</v>
      </c>
      <c r="E5">
        <v>13</v>
      </c>
      <c r="F5">
        <v>4</v>
      </c>
      <c r="G5">
        <f t="shared" si="1"/>
        <v>9</v>
      </c>
      <c r="H5">
        <v>36</v>
      </c>
      <c r="I5">
        <v>27</v>
      </c>
      <c r="J5">
        <f t="shared" si="2"/>
        <v>9</v>
      </c>
      <c r="L5" s="6" t="s">
        <v>16</v>
      </c>
      <c r="M5" t="s">
        <v>205</v>
      </c>
      <c r="N5" s="2">
        <f t="shared" si="3"/>
        <v>12</v>
      </c>
      <c r="O5">
        <v>6</v>
      </c>
      <c r="P5">
        <v>4</v>
      </c>
      <c r="Q5">
        <v>0</v>
      </c>
      <c r="R5">
        <f t="shared" si="4"/>
        <v>2</v>
      </c>
      <c r="S5">
        <v>10</v>
      </c>
      <c r="T5">
        <v>8</v>
      </c>
      <c r="U5">
        <f t="shared" si="5"/>
        <v>2</v>
      </c>
    </row>
    <row r="6" spans="1:24" x14ac:dyDescent="0.3">
      <c r="A6" s="15" t="s">
        <v>21</v>
      </c>
      <c r="B6" t="s">
        <v>205</v>
      </c>
      <c r="C6" s="2">
        <f t="shared" si="0"/>
        <v>41</v>
      </c>
      <c r="D6">
        <v>26</v>
      </c>
      <c r="E6">
        <v>12</v>
      </c>
      <c r="F6">
        <v>5</v>
      </c>
      <c r="G6">
        <f t="shared" si="1"/>
        <v>9</v>
      </c>
      <c r="H6">
        <v>42</v>
      </c>
      <c r="I6">
        <v>37</v>
      </c>
      <c r="J6">
        <f t="shared" si="2"/>
        <v>5</v>
      </c>
      <c r="L6" t="s">
        <v>19</v>
      </c>
      <c r="M6" t="s">
        <v>212</v>
      </c>
      <c r="N6" s="2">
        <f t="shared" si="3"/>
        <v>9</v>
      </c>
      <c r="O6">
        <v>6</v>
      </c>
      <c r="P6">
        <v>3</v>
      </c>
      <c r="Q6">
        <v>0</v>
      </c>
      <c r="R6">
        <f t="shared" si="4"/>
        <v>3</v>
      </c>
      <c r="S6">
        <v>12</v>
      </c>
      <c r="T6">
        <v>11</v>
      </c>
      <c r="U6">
        <f t="shared" si="5"/>
        <v>1</v>
      </c>
    </row>
    <row r="7" spans="1:24" x14ac:dyDescent="0.3">
      <c r="A7" t="s">
        <v>24</v>
      </c>
      <c r="B7" t="s">
        <v>208</v>
      </c>
      <c r="C7" s="2">
        <f t="shared" si="0"/>
        <v>40</v>
      </c>
      <c r="D7">
        <v>26</v>
      </c>
      <c r="E7">
        <v>12</v>
      </c>
      <c r="F7">
        <v>4</v>
      </c>
      <c r="G7">
        <f t="shared" si="1"/>
        <v>10</v>
      </c>
      <c r="H7">
        <v>41</v>
      </c>
      <c r="I7">
        <v>36</v>
      </c>
      <c r="J7">
        <f t="shared" si="2"/>
        <v>5</v>
      </c>
      <c r="L7" t="s">
        <v>21</v>
      </c>
      <c r="M7" t="s">
        <v>213</v>
      </c>
      <c r="N7" s="2">
        <f t="shared" si="3"/>
        <v>9</v>
      </c>
      <c r="O7">
        <v>6</v>
      </c>
      <c r="P7">
        <v>3</v>
      </c>
      <c r="Q7">
        <v>0</v>
      </c>
      <c r="R7">
        <f t="shared" si="4"/>
        <v>3</v>
      </c>
      <c r="S7">
        <v>13</v>
      </c>
      <c r="T7">
        <v>13</v>
      </c>
      <c r="U7">
        <f t="shared" si="5"/>
        <v>0</v>
      </c>
    </row>
    <row r="8" spans="1:24" x14ac:dyDescent="0.3">
      <c r="A8" t="s">
        <v>25</v>
      </c>
      <c r="B8" t="s">
        <v>209</v>
      </c>
      <c r="C8" s="2">
        <f t="shared" si="0"/>
        <v>38</v>
      </c>
      <c r="D8">
        <v>26</v>
      </c>
      <c r="E8">
        <v>11</v>
      </c>
      <c r="F8">
        <v>5</v>
      </c>
      <c r="G8">
        <f t="shared" si="1"/>
        <v>10</v>
      </c>
      <c r="H8">
        <v>41</v>
      </c>
      <c r="I8">
        <v>39</v>
      </c>
      <c r="J8">
        <f t="shared" si="2"/>
        <v>2</v>
      </c>
      <c r="L8" t="s">
        <v>24</v>
      </c>
      <c r="M8" t="s">
        <v>207</v>
      </c>
      <c r="N8" s="2">
        <f t="shared" si="3"/>
        <v>7</v>
      </c>
      <c r="O8">
        <v>6</v>
      </c>
      <c r="P8">
        <v>2</v>
      </c>
      <c r="Q8">
        <v>1</v>
      </c>
      <c r="R8">
        <f t="shared" si="4"/>
        <v>3</v>
      </c>
      <c r="S8">
        <v>10</v>
      </c>
      <c r="T8">
        <v>10</v>
      </c>
      <c r="U8">
        <f t="shared" si="5"/>
        <v>0</v>
      </c>
    </row>
    <row r="9" spans="1:24" x14ac:dyDescent="0.3">
      <c r="A9" t="s">
        <v>27</v>
      </c>
      <c r="B9" t="s">
        <v>216</v>
      </c>
      <c r="C9" s="2">
        <f t="shared" si="0"/>
        <v>37</v>
      </c>
      <c r="D9">
        <v>26</v>
      </c>
      <c r="E9">
        <v>11</v>
      </c>
      <c r="F9">
        <v>4</v>
      </c>
      <c r="G9">
        <f t="shared" si="1"/>
        <v>11</v>
      </c>
      <c r="H9">
        <v>39</v>
      </c>
      <c r="I9">
        <v>37</v>
      </c>
      <c r="J9">
        <f t="shared" si="2"/>
        <v>2</v>
      </c>
      <c r="L9" t="s">
        <v>25</v>
      </c>
      <c r="M9" t="s">
        <v>209</v>
      </c>
      <c r="N9" s="2">
        <f t="shared" si="3"/>
        <v>7</v>
      </c>
      <c r="O9">
        <v>6</v>
      </c>
      <c r="P9">
        <v>2</v>
      </c>
      <c r="Q9">
        <v>1</v>
      </c>
      <c r="R9">
        <f t="shared" si="4"/>
        <v>3</v>
      </c>
      <c r="S9">
        <v>10</v>
      </c>
      <c r="T9">
        <v>12</v>
      </c>
      <c r="U9">
        <f t="shared" si="5"/>
        <v>-2</v>
      </c>
    </row>
    <row r="10" spans="1:24" x14ac:dyDescent="0.3">
      <c r="A10" t="s">
        <v>29</v>
      </c>
      <c r="B10" t="s">
        <v>217</v>
      </c>
      <c r="C10" s="2">
        <f t="shared" si="0"/>
        <v>36</v>
      </c>
      <c r="D10">
        <v>26</v>
      </c>
      <c r="E10">
        <v>9</v>
      </c>
      <c r="F10">
        <v>9</v>
      </c>
      <c r="G10">
        <f t="shared" si="1"/>
        <v>8</v>
      </c>
      <c r="H10">
        <v>34</v>
      </c>
      <c r="I10">
        <v>36</v>
      </c>
      <c r="J10">
        <f t="shared" si="2"/>
        <v>-2</v>
      </c>
      <c r="L10" t="s">
        <v>27</v>
      </c>
      <c r="M10" t="s">
        <v>217</v>
      </c>
      <c r="N10" s="2">
        <f t="shared" si="3"/>
        <v>6</v>
      </c>
      <c r="O10">
        <v>6</v>
      </c>
      <c r="P10">
        <v>2</v>
      </c>
      <c r="Q10">
        <v>0</v>
      </c>
      <c r="R10">
        <f t="shared" si="4"/>
        <v>4</v>
      </c>
      <c r="S10">
        <v>9</v>
      </c>
      <c r="T10">
        <v>13</v>
      </c>
      <c r="U10">
        <f t="shared" si="5"/>
        <v>-4</v>
      </c>
    </row>
    <row r="11" spans="1:24" x14ac:dyDescent="0.3">
      <c r="A11" t="s">
        <v>31</v>
      </c>
      <c r="B11" t="s">
        <v>204</v>
      </c>
      <c r="C11" s="2">
        <f t="shared" si="0"/>
        <v>35</v>
      </c>
      <c r="D11">
        <v>26</v>
      </c>
      <c r="E11">
        <v>11</v>
      </c>
      <c r="F11">
        <v>2</v>
      </c>
      <c r="G11">
        <f t="shared" si="1"/>
        <v>13</v>
      </c>
      <c r="H11">
        <v>36</v>
      </c>
      <c r="I11">
        <v>35</v>
      </c>
      <c r="J11">
        <f t="shared" si="2"/>
        <v>1</v>
      </c>
    </row>
    <row r="12" spans="1:24" x14ac:dyDescent="0.3">
      <c r="A12" t="s">
        <v>33</v>
      </c>
      <c r="B12" t="s">
        <v>206</v>
      </c>
      <c r="C12" s="2">
        <f t="shared" si="0"/>
        <v>34</v>
      </c>
      <c r="D12">
        <v>26</v>
      </c>
      <c r="E12">
        <v>10</v>
      </c>
      <c r="F12">
        <v>4</v>
      </c>
      <c r="G12">
        <f t="shared" si="1"/>
        <v>12</v>
      </c>
      <c r="H12">
        <v>34</v>
      </c>
      <c r="I12">
        <v>35</v>
      </c>
      <c r="J12">
        <f t="shared" si="2"/>
        <v>-1</v>
      </c>
      <c r="L12" t="s">
        <v>220</v>
      </c>
    </row>
    <row r="13" spans="1:24" x14ac:dyDescent="0.3">
      <c r="A13" t="s">
        <v>35</v>
      </c>
      <c r="B13" t="s">
        <v>207</v>
      </c>
      <c r="C13" s="2">
        <f t="shared" si="0"/>
        <v>31</v>
      </c>
      <c r="D13">
        <v>26</v>
      </c>
      <c r="E13">
        <v>8</v>
      </c>
      <c r="F13">
        <v>7</v>
      </c>
      <c r="G13">
        <f t="shared" si="1"/>
        <v>11</v>
      </c>
      <c r="H13">
        <v>35</v>
      </c>
      <c r="I13">
        <v>38</v>
      </c>
      <c r="J13">
        <f t="shared" si="2"/>
        <v>-3</v>
      </c>
      <c r="L13" t="s">
        <v>2</v>
      </c>
      <c r="M13" t="s">
        <v>3</v>
      </c>
      <c r="N13" t="s">
        <v>4</v>
      </c>
      <c r="O13" t="s">
        <v>5</v>
      </c>
      <c r="P13" t="s">
        <v>6</v>
      </c>
      <c r="Q13" t="s">
        <v>7</v>
      </c>
      <c r="R13" t="s">
        <v>8</v>
      </c>
      <c r="S13" t="s">
        <v>9</v>
      </c>
      <c r="T13" t="s">
        <v>10</v>
      </c>
      <c r="U13" t="s">
        <v>11</v>
      </c>
    </row>
    <row r="14" spans="1:24" x14ac:dyDescent="0.3">
      <c r="A14" s="5" t="s">
        <v>36</v>
      </c>
      <c r="B14" t="s">
        <v>210</v>
      </c>
      <c r="C14" s="2">
        <f t="shared" si="0"/>
        <v>29</v>
      </c>
      <c r="D14">
        <v>26</v>
      </c>
      <c r="E14">
        <v>7</v>
      </c>
      <c r="F14">
        <v>8</v>
      </c>
      <c r="G14">
        <f t="shared" si="1"/>
        <v>11</v>
      </c>
      <c r="H14">
        <v>26</v>
      </c>
      <c r="I14">
        <v>38</v>
      </c>
      <c r="J14">
        <f t="shared" si="2"/>
        <v>-12</v>
      </c>
      <c r="L14" s="6" t="s">
        <v>13</v>
      </c>
      <c r="M14" t="s">
        <v>210</v>
      </c>
      <c r="N14" s="2">
        <f t="shared" ref="N14:N20" si="6">P14*3+Q14</f>
        <v>16</v>
      </c>
      <c r="O14">
        <v>6</v>
      </c>
      <c r="P14">
        <v>5</v>
      </c>
      <c r="Q14">
        <v>1</v>
      </c>
      <c r="R14">
        <f t="shared" ref="R14:R20" si="7">O14-P14-Q14</f>
        <v>0</v>
      </c>
      <c r="S14">
        <v>14</v>
      </c>
      <c r="T14">
        <v>5</v>
      </c>
      <c r="U14">
        <f t="shared" ref="U14:U20" si="8">S14-T14</f>
        <v>9</v>
      </c>
    </row>
    <row r="15" spans="1:24" x14ac:dyDescent="0.3">
      <c r="A15" t="s">
        <v>38</v>
      </c>
      <c r="B15" t="s">
        <v>212</v>
      </c>
      <c r="C15" s="2">
        <f t="shared" si="0"/>
        <v>25</v>
      </c>
      <c r="D15">
        <v>26</v>
      </c>
      <c r="E15">
        <v>6</v>
      </c>
      <c r="F15">
        <v>7</v>
      </c>
      <c r="G15">
        <f t="shared" si="1"/>
        <v>13</v>
      </c>
      <c r="H15">
        <v>35</v>
      </c>
      <c r="I15">
        <v>47</v>
      </c>
      <c r="J15">
        <f t="shared" si="2"/>
        <v>-12</v>
      </c>
      <c r="L15" s="6" t="s">
        <v>16</v>
      </c>
      <c r="M15" t="s">
        <v>211</v>
      </c>
      <c r="N15" s="2">
        <f t="shared" si="6"/>
        <v>10</v>
      </c>
      <c r="O15">
        <v>6</v>
      </c>
      <c r="P15">
        <v>3</v>
      </c>
      <c r="Q15">
        <v>1</v>
      </c>
      <c r="R15">
        <f t="shared" si="7"/>
        <v>2</v>
      </c>
      <c r="S15">
        <v>7</v>
      </c>
      <c r="T15">
        <v>8</v>
      </c>
      <c r="U15">
        <f t="shared" si="8"/>
        <v>-1</v>
      </c>
    </row>
    <row r="16" spans="1:24" x14ac:dyDescent="0.3">
      <c r="A16" t="s">
        <v>40</v>
      </c>
      <c r="B16" t="s">
        <v>214</v>
      </c>
      <c r="C16" s="2">
        <f t="shared" si="0"/>
        <v>25</v>
      </c>
      <c r="D16">
        <v>26</v>
      </c>
      <c r="E16">
        <v>6</v>
      </c>
      <c r="F16">
        <v>7</v>
      </c>
      <c r="G16">
        <f t="shared" si="1"/>
        <v>13</v>
      </c>
      <c r="H16">
        <v>39</v>
      </c>
      <c r="I16">
        <v>54</v>
      </c>
      <c r="J16">
        <f t="shared" si="2"/>
        <v>-15</v>
      </c>
      <c r="L16" t="s">
        <v>19</v>
      </c>
      <c r="M16" t="s">
        <v>214</v>
      </c>
      <c r="N16" s="2">
        <f t="shared" si="6"/>
        <v>9</v>
      </c>
      <c r="O16">
        <v>6</v>
      </c>
      <c r="P16">
        <v>3</v>
      </c>
      <c r="Q16">
        <v>0</v>
      </c>
      <c r="R16">
        <f t="shared" si="7"/>
        <v>3</v>
      </c>
      <c r="S16">
        <v>9</v>
      </c>
      <c r="T16">
        <v>7</v>
      </c>
      <c r="U16">
        <f t="shared" si="8"/>
        <v>2</v>
      </c>
    </row>
    <row r="17" spans="12:21" x14ac:dyDescent="0.3">
      <c r="L17" t="s">
        <v>21</v>
      </c>
      <c r="M17" t="s">
        <v>206</v>
      </c>
      <c r="N17" s="2">
        <f t="shared" si="6"/>
        <v>9</v>
      </c>
      <c r="O17">
        <v>6</v>
      </c>
      <c r="P17">
        <v>3</v>
      </c>
      <c r="Q17">
        <v>0</v>
      </c>
      <c r="R17">
        <f t="shared" si="7"/>
        <v>3</v>
      </c>
      <c r="S17">
        <v>10</v>
      </c>
      <c r="T17">
        <v>7</v>
      </c>
      <c r="U17">
        <f t="shared" si="8"/>
        <v>3</v>
      </c>
    </row>
    <row r="18" spans="12:21" x14ac:dyDescent="0.3">
      <c r="L18" t="s">
        <v>24</v>
      </c>
      <c r="M18" t="s">
        <v>215</v>
      </c>
      <c r="N18" s="2">
        <f t="shared" si="6"/>
        <v>8</v>
      </c>
      <c r="O18">
        <v>6</v>
      </c>
      <c r="P18">
        <v>2</v>
      </c>
      <c r="Q18">
        <v>2</v>
      </c>
      <c r="R18">
        <f t="shared" si="7"/>
        <v>2</v>
      </c>
      <c r="S18">
        <v>10</v>
      </c>
      <c r="T18">
        <v>11</v>
      </c>
      <c r="U18">
        <f t="shared" si="8"/>
        <v>-1</v>
      </c>
    </row>
    <row r="19" spans="12:21" x14ac:dyDescent="0.3">
      <c r="L19" t="s">
        <v>25</v>
      </c>
      <c r="M19" t="s">
        <v>208</v>
      </c>
      <c r="N19" s="2">
        <f t="shared" si="6"/>
        <v>7</v>
      </c>
      <c r="O19">
        <v>6</v>
      </c>
      <c r="P19">
        <v>2</v>
      </c>
      <c r="Q19">
        <v>1</v>
      </c>
      <c r="R19">
        <f t="shared" si="7"/>
        <v>3</v>
      </c>
      <c r="S19">
        <v>4</v>
      </c>
      <c r="T19">
        <v>8</v>
      </c>
      <c r="U19">
        <f t="shared" si="8"/>
        <v>-4</v>
      </c>
    </row>
    <row r="20" spans="12:21" x14ac:dyDescent="0.3">
      <c r="L20" t="s">
        <v>27</v>
      </c>
      <c r="M20" t="s">
        <v>216</v>
      </c>
      <c r="N20" s="2">
        <f t="shared" si="6"/>
        <v>1</v>
      </c>
      <c r="O20">
        <v>6</v>
      </c>
      <c r="P20">
        <v>0</v>
      </c>
      <c r="Q20">
        <v>1</v>
      </c>
      <c r="R20">
        <f t="shared" si="7"/>
        <v>5</v>
      </c>
      <c r="S20">
        <v>4</v>
      </c>
      <c r="T20">
        <v>12</v>
      </c>
      <c r="U20">
        <f t="shared" si="8"/>
        <v>-8</v>
      </c>
    </row>
    <row r="22" spans="12:21" x14ac:dyDescent="0.3">
      <c r="L22" t="s">
        <v>12</v>
      </c>
    </row>
    <row r="23" spans="12:21" x14ac:dyDescent="0.3">
      <c r="L23" t="str">
        <f>M4</f>
        <v>Punjab</v>
      </c>
      <c r="M23" t="s">
        <v>221</v>
      </c>
      <c r="N23" t="str">
        <f>M15</f>
        <v>Mohammedan</v>
      </c>
    </row>
    <row r="24" spans="12:21" x14ac:dyDescent="0.3">
      <c r="L24" t="str">
        <f>M14</f>
        <v>Mumbai City</v>
      </c>
      <c r="M24" t="s">
        <v>99</v>
      </c>
      <c r="N24" t="str">
        <f>M5</f>
        <v>Jamshedpur</v>
      </c>
    </row>
    <row r="26" spans="12:21" x14ac:dyDescent="0.3">
      <c r="L26" t="s">
        <v>23</v>
      </c>
    </row>
    <row r="27" spans="12:21" x14ac:dyDescent="0.3">
      <c r="L27" t="s">
        <v>205</v>
      </c>
      <c r="M27" t="s">
        <v>222</v>
      </c>
      <c r="N27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548D-0F75-4A6F-9544-40B7310246C4}">
  <dimension ref="A1:M20"/>
  <sheetViews>
    <sheetView workbookViewId="0">
      <selection activeCell="L2" sqref="L2"/>
    </sheetView>
  </sheetViews>
  <sheetFormatPr defaultRowHeight="14.4" x14ac:dyDescent="0.3"/>
  <cols>
    <col min="1" max="1" width="20.21875" customWidth="1"/>
    <col min="2" max="2" width="17.77734375" customWidth="1"/>
    <col min="12" max="12" width="14.21875" customWidth="1"/>
  </cols>
  <sheetData>
    <row r="1" spans="1:13" x14ac:dyDescent="0.3">
      <c r="A1" t="s">
        <v>223</v>
      </c>
      <c r="L1" t="s">
        <v>189</v>
      </c>
    </row>
    <row r="2" spans="1:13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227</v>
      </c>
      <c r="M2">
        <v>10</v>
      </c>
    </row>
    <row r="3" spans="1:13" x14ac:dyDescent="0.3">
      <c r="A3" s="15" t="s">
        <v>13</v>
      </c>
      <c r="B3" t="s">
        <v>227</v>
      </c>
      <c r="C3" s="2">
        <f t="shared" ref="C3:C20" si="0">E3*3+F3</f>
        <v>59</v>
      </c>
      <c r="D3">
        <v>34</v>
      </c>
      <c r="E3">
        <v>18</v>
      </c>
      <c r="F3">
        <v>5</v>
      </c>
      <c r="G3">
        <f>D3-E3-F3</f>
        <v>11</v>
      </c>
      <c r="H3">
        <v>57</v>
      </c>
      <c r="I3">
        <v>38</v>
      </c>
      <c r="J3">
        <f>H3-I3</f>
        <v>19</v>
      </c>
    </row>
    <row r="4" spans="1:13" x14ac:dyDescent="0.3">
      <c r="A4" s="16" t="s">
        <v>16</v>
      </c>
      <c r="B4" t="s">
        <v>225</v>
      </c>
      <c r="C4" s="2">
        <f t="shared" si="0"/>
        <v>56</v>
      </c>
      <c r="D4">
        <v>34</v>
      </c>
      <c r="E4">
        <v>15</v>
      </c>
      <c r="F4">
        <v>11</v>
      </c>
      <c r="G4">
        <f t="shared" ref="G4:G20" si="1">D4-E4-F4</f>
        <v>8</v>
      </c>
      <c r="H4">
        <v>65</v>
      </c>
      <c r="I4">
        <v>49</v>
      </c>
      <c r="J4">
        <f t="shared" ref="J4:J20" si="2">H4-I4</f>
        <v>16</v>
      </c>
    </row>
    <row r="5" spans="1:13" x14ac:dyDescent="0.3">
      <c r="A5" t="s">
        <v>19</v>
      </c>
      <c r="B5" t="s">
        <v>224</v>
      </c>
      <c r="C5" s="2">
        <f t="shared" si="0"/>
        <v>56</v>
      </c>
      <c r="D5">
        <v>34</v>
      </c>
      <c r="E5">
        <v>17</v>
      </c>
      <c r="F5">
        <v>5</v>
      </c>
      <c r="G5">
        <f t="shared" si="1"/>
        <v>12</v>
      </c>
      <c r="H5">
        <v>57</v>
      </c>
      <c r="I5">
        <v>56</v>
      </c>
      <c r="J5">
        <f t="shared" si="2"/>
        <v>1</v>
      </c>
    </row>
    <row r="6" spans="1:13" x14ac:dyDescent="0.3">
      <c r="A6" t="s">
        <v>21</v>
      </c>
      <c r="B6" t="s">
        <v>241</v>
      </c>
      <c r="C6" s="2">
        <f t="shared" si="0"/>
        <v>55</v>
      </c>
      <c r="D6">
        <v>34</v>
      </c>
      <c r="E6">
        <v>15</v>
      </c>
      <c r="F6">
        <v>10</v>
      </c>
      <c r="G6">
        <f t="shared" si="1"/>
        <v>9</v>
      </c>
      <c r="H6">
        <v>55</v>
      </c>
      <c r="I6">
        <v>47</v>
      </c>
      <c r="J6">
        <f t="shared" si="2"/>
        <v>8</v>
      </c>
    </row>
    <row r="7" spans="1:13" x14ac:dyDescent="0.3">
      <c r="A7" t="s">
        <v>24</v>
      </c>
      <c r="B7" t="s">
        <v>226</v>
      </c>
      <c r="C7" s="2">
        <f t="shared" si="0"/>
        <v>54</v>
      </c>
      <c r="D7">
        <v>34</v>
      </c>
      <c r="E7">
        <v>17</v>
      </c>
      <c r="F7">
        <v>3</v>
      </c>
      <c r="G7">
        <f t="shared" si="1"/>
        <v>14</v>
      </c>
      <c r="H7">
        <v>58</v>
      </c>
      <c r="I7">
        <v>53</v>
      </c>
      <c r="J7">
        <f t="shared" si="2"/>
        <v>5</v>
      </c>
    </row>
    <row r="8" spans="1:13" x14ac:dyDescent="0.3">
      <c r="A8" t="s">
        <v>25</v>
      </c>
      <c r="B8" t="s">
        <v>239</v>
      </c>
      <c r="C8" s="2">
        <f t="shared" si="0"/>
        <v>52</v>
      </c>
      <c r="D8">
        <v>34</v>
      </c>
      <c r="E8">
        <v>15</v>
      </c>
      <c r="F8">
        <v>7</v>
      </c>
      <c r="G8">
        <f t="shared" si="1"/>
        <v>12</v>
      </c>
      <c r="H8">
        <v>52</v>
      </c>
      <c r="I8">
        <v>39</v>
      </c>
      <c r="J8">
        <f t="shared" si="2"/>
        <v>13</v>
      </c>
    </row>
    <row r="9" spans="1:13" x14ac:dyDescent="0.3">
      <c r="A9" t="s">
        <v>27</v>
      </c>
      <c r="B9" t="s">
        <v>236</v>
      </c>
      <c r="C9" s="2">
        <f t="shared" si="0"/>
        <v>51</v>
      </c>
      <c r="D9">
        <v>34</v>
      </c>
      <c r="E9">
        <v>15</v>
      </c>
      <c r="F9">
        <v>6</v>
      </c>
      <c r="G9">
        <f t="shared" si="1"/>
        <v>13</v>
      </c>
      <c r="H9">
        <v>57</v>
      </c>
      <c r="I9">
        <v>49</v>
      </c>
      <c r="J9">
        <f t="shared" si="2"/>
        <v>8</v>
      </c>
    </row>
    <row r="10" spans="1:13" x14ac:dyDescent="0.3">
      <c r="A10" t="s">
        <v>29</v>
      </c>
      <c r="B10" t="s">
        <v>230</v>
      </c>
      <c r="C10" s="2">
        <f t="shared" si="0"/>
        <v>50</v>
      </c>
      <c r="D10">
        <v>34</v>
      </c>
      <c r="E10">
        <v>15</v>
      </c>
      <c r="F10">
        <v>5</v>
      </c>
      <c r="G10">
        <f t="shared" si="1"/>
        <v>14</v>
      </c>
      <c r="H10">
        <v>54</v>
      </c>
      <c r="I10">
        <v>55</v>
      </c>
      <c r="J10">
        <f t="shared" si="2"/>
        <v>-1</v>
      </c>
    </row>
    <row r="11" spans="1:13" x14ac:dyDescent="0.3">
      <c r="A11" t="s">
        <v>31</v>
      </c>
      <c r="B11" t="s">
        <v>228</v>
      </c>
      <c r="C11" s="2">
        <f t="shared" si="0"/>
        <v>49</v>
      </c>
      <c r="D11">
        <v>34</v>
      </c>
      <c r="E11">
        <v>14</v>
      </c>
      <c r="F11">
        <v>7</v>
      </c>
      <c r="G11">
        <f t="shared" si="1"/>
        <v>13</v>
      </c>
      <c r="H11">
        <v>50</v>
      </c>
      <c r="I11">
        <v>49</v>
      </c>
      <c r="J11">
        <f t="shared" si="2"/>
        <v>1</v>
      </c>
    </row>
    <row r="12" spans="1:13" x14ac:dyDescent="0.3">
      <c r="A12" t="s">
        <v>33</v>
      </c>
      <c r="B12" t="s">
        <v>231</v>
      </c>
      <c r="C12" s="2">
        <f t="shared" si="0"/>
        <v>49</v>
      </c>
      <c r="D12">
        <v>34</v>
      </c>
      <c r="E12">
        <v>13</v>
      </c>
      <c r="F12">
        <v>10</v>
      </c>
      <c r="G12">
        <f t="shared" si="1"/>
        <v>11</v>
      </c>
      <c r="H12">
        <v>46</v>
      </c>
      <c r="I12">
        <v>46</v>
      </c>
      <c r="J12">
        <f t="shared" si="2"/>
        <v>0</v>
      </c>
    </row>
    <row r="13" spans="1:13" x14ac:dyDescent="0.3">
      <c r="A13" t="s">
        <v>35</v>
      </c>
      <c r="B13" t="s">
        <v>237</v>
      </c>
      <c r="C13" s="2">
        <f t="shared" si="0"/>
        <v>46</v>
      </c>
      <c r="D13">
        <v>34</v>
      </c>
      <c r="E13">
        <v>12</v>
      </c>
      <c r="F13">
        <v>10</v>
      </c>
      <c r="G13">
        <f t="shared" si="1"/>
        <v>12</v>
      </c>
      <c r="H13">
        <v>57</v>
      </c>
      <c r="I13">
        <v>56</v>
      </c>
      <c r="J13">
        <f t="shared" si="2"/>
        <v>1</v>
      </c>
    </row>
    <row r="14" spans="1:13" x14ac:dyDescent="0.3">
      <c r="A14" t="s">
        <v>36</v>
      </c>
      <c r="B14" t="s">
        <v>238</v>
      </c>
      <c r="C14" s="2">
        <f t="shared" si="0"/>
        <v>42</v>
      </c>
      <c r="D14">
        <v>34</v>
      </c>
      <c r="E14">
        <v>12</v>
      </c>
      <c r="F14">
        <v>6</v>
      </c>
      <c r="G14">
        <f t="shared" si="1"/>
        <v>16</v>
      </c>
      <c r="H14">
        <v>43</v>
      </c>
      <c r="I14">
        <v>50</v>
      </c>
      <c r="J14">
        <f t="shared" si="2"/>
        <v>-7</v>
      </c>
    </row>
    <row r="15" spans="1:13" x14ac:dyDescent="0.3">
      <c r="A15" t="s">
        <v>38</v>
      </c>
      <c r="B15" t="s">
        <v>240</v>
      </c>
      <c r="C15" s="2">
        <f t="shared" si="0"/>
        <v>42</v>
      </c>
      <c r="D15">
        <v>34</v>
      </c>
      <c r="E15">
        <v>11</v>
      </c>
      <c r="F15">
        <v>9</v>
      </c>
      <c r="G15">
        <f t="shared" si="1"/>
        <v>14</v>
      </c>
      <c r="H15">
        <v>52</v>
      </c>
      <c r="I15">
        <v>55</v>
      </c>
      <c r="J15">
        <f t="shared" si="2"/>
        <v>-3</v>
      </c>
    </row>
    <row r="16" spans="1:13" x14ac:dyDescent="0.3">
      <c r="A16" t="s">
        <v>40</v>
      </c>
      <c r="B16" t="s">
        <v>229</v>
      </c>
      <c r="C16" s="2">
        <f t="shared" si="0"/>
        <v>41</v>
      </c>
      <c r="D16">
        <v>34</v>
      </c>
      <c r="E16">
        <v>11</v>
      </c>
      <c r="F16">
        <v>8</v>
      </c>
      <c r="G16">
        <f t="shared" si="1"/>
        <v>15</v>
      </c>
      <c r="H16">
        <v>48</v>
      </c>
      <c r="I16">
        <v>54</v>
      </c>
      <c r="J16">
        <f t="shared" si="2"/>
        <v>-6</v>
      </c>
    </row>
    <row r="17" spans="1:10" x14ac:dyDescent="0.3">
      <c r="A17" t="s">
        <v>42</v>
      </c>
      <c r="B17" t="s">
        <v>233</v>
      </c>
      <c r="C17" s="2">
        <f t="shared" si="0"/>
        <v>40</v>
      </c>
      <c r="D17">
        <v>34</v>
      </c>
      <c r="E17">
        <v>11</v>
      </c>
      <c r="F17">
        <v>7</v>
      </c>
      <c r="G17">
        <f t="shared" si="1"/>
        <v>16</v>
      </c>
      <c r="H17">
        <v>46</v>
      </c>
      <c r="I17">
        <v>58</v>
      </c>
      <c r="J17">
        <f t="shared" si="2"/>
        <v>-12</v>
      </c>
    </row>
    <row r="18" spans="1:10" x14ac:dyDescent="0.3">
      <c r="A18" t="s">
        <v>44</v>
      </c>
      <c r="B18" t="s">
        <v>234</v>
      </c>
      <c r="C18" s="2">
        <f t="shared" si="0"/>
        <v>39</v>
      </c>
      <c r="D18">
        <v>34</v>
      </c>
      <c r="E18">
        <v>10</v>
      </c>
      <c r="F18">
        <v>9</v>
      </c>
      <c r="G18">
        <f t="shared" si="1"/>
        <v>15</v>
      </c>
      <c r="H18">
        <v>39</v>
      </c>
      <c r="I18">
        <v>52</v>
      </c>
      <c r="J18">
        <f t="shared" si="2"/>
        <v>-13</v>
      </c>
    </row>
    <row r="19" spans="1:10" x14ac:dyDescent="0.3">
      <c r="A19" t="s">
        <v>46</v>
      </c>
      <c r="B19" t="s">
        <v>235</v>
      </c>
      <c r="C19" s="2">
        <f t="shared" si="0"/>
        <v>35</v>
      </c>
      <c r="D19">
        <v>34</v>
      </c>
      <c r="E19">
        <v>10</v>
      </c>
      <c r="F19">
        <v>5</v>
      </c>
      <c r="G19">
        <f t="shared" si="1"/>
        <v>19</v>
      </c>
      <c r="H19">
        <v>36</v>
      </c>
      <c r="I19">
        <v>55</v>
      </c>
      <c r="J19">
        <f t="shared" si="2"/>
        <v>-19</v>
      </c>
    </row>
    <row r="20" spans="1:10" x14ac:dyDescent="0.3">
      <c r="A20" t="s">
        <v>48</v>
      </c>
      <c r="B20" t="s">
        <v>232</v>
      </c>
      <c r="C20" s="2">
        <f t="shared" si="0"/>
        <v>35</v>
      </c>
      <c r="D20">
        <v>34</v>
      </c>
      <c r="E20">
        <v>8</v>
      </c>
      <c r="F20">
        <v>11</v>
      </c>
      <c r="G20">
        <f t="shared" si="1"/>
        <v>15</v>
      </c>
      <c r="H20">
        <v>52</v>
      </c>
      <c r="I20">
        <v>63</v>
      </c>
      <c r="J20">
        <f t="shared" si="2"/>
        <v>-11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2F85-F049-4885-AE4D-6E812A234261}">
  <dimension ref="A1:Q23"/>
  <sheetViews>
    <sheetView topLeftCell="D1" workbookViewId="0">
      <selection activeCell="Q3" sqref="Q3"/>
    </sheetView>
  </sheetViews>
  <sheetFormatPr defaultRowHeight="14.4" x14ac:dyDescent="0.3"/>
  <cols>
    <col min="1" max="1" width="20" customWidth="1"/>
    <col min="2" max="2" width="18.33203125" customWidth="1"/>
    <col min="12" max="12" width="18.21875" customWidth="1"/>
    <col min="14" max="14" width="19.109375" customWidth="1"/>
    <col min="16" max="16" width="15.109375" customWidth="1"/>
  </cols>
  <sheetData>
    <row r="1" spans="1:17" x14ac:dyDescent="0.3">
      <c r="A1" t="s">
        <v>242</v>
      </c>
      <c r="L1" t="s">
        <v>243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50</v>
      </c>
      <c r="P2" t="s">
        <v>251</v>
      </c>
      <c r="Q2">
        <v>1</v>
      </c>
    </row>
    <row r="3" spans="1:17" x14ac:dyDescent="0.3">
      <c r="A3" s="1" t="s">
        <v>13</v>
      </c>
      <c r="B3" t="s">
        <v>251</v>
      </c>
      <c r="C3" s="2">
        <f t="shared" ref="C3:C18" si="0">E3*3+F3</f>
        <v>61</v>
      </c>
      <c r="D3">
        <v>30</v>
      </c>
      <c r="E3">
        <v>19</v>
      </c>
      <c r="F3">
        <v>4</v>
      </c>
      <c r="G3">
        <f>D3-E3-F3</f>
        <v>7</v>
      </c>
      <c r="H3">
        <v>61</v>
      </c>
      <c r="I3">
        <v>32</v>
      </c>
      <c r="J3">
        <f>H3-I3</f>
        <v>29</v>
      </c>
      <c r="L3" t="s">
        <v>245</v>
      </c>
      <c r="M3" t="s">
        <v>56</v>
      </c>
      <c r="N3" t="s">
        <v>256</v>
      </c>
      <c r="P3" t="s">
        <v>248</v>
      </c>
      <c r="Q3">
        <v>4</v>
      </c>
    </row>
    <row r="4" spans="1:17" x14ac:dyDescent="0.3">
      <c r="A4" s="1" t="s">
        <v>16</v>
      </c>
      <c r="B4" t="s">
        <v>247</v>
      </c>
      <c r="C4" s="2">
        <f t="shared" si="0"/>
        <v>54</v>
      </c>
      <c r="D4">
        <v>30</v>
      </c>
      <c r="E4">
        <v>16</v>
      </c>
      <c r="F4">
        <v>6</v>
      </c>
      <c r="G4">
        <f t="shared" ref="G4:G18" si="1">D4-E4-F4</f>
        <v>8</v>
      </c>
      <c r="H4">
        <v>55</v>
      </c>
      <c r="I4">
        <v>38</v>
      </c>
      <c r="J4">
        <f t="shared" ref="J4:J18" si="2">H4-I4</f>
        <v>17</v>
      </c>
      <c r="L4" t="s">
        <v>250</v>
      </c>
      <c r="M4" t="s">
        <v>56</v>
      </c>
      <c r="N4" t="s">
        <v>259</v>
      </c>
    </row>
    <row r="5" spans="1:17" x14ac:dyDescent="0.3">
      <c r="A5" s="5" t="s">
        <v>19</v>
      </c>
      <c r="B5" t="s">
        <v>246</v>
      </c>
      <c r="C5" s="2">
        <f t="shared" si="0"/>
        <v>51</v>
      </c>
      <c r="D5">
        <v>30</v>
      </c>
      <c r="E5">
        <v>15</v>
      </c>
      <c r="F5">
        <v>6</v>
      </c>
      <c r="G5">
        <f t="shared" si="1"/>
        <v>9</v>
      </c>
      <c r="H5">
        <v>47</v>
      </c>
      <c r="I5">
        <v>38</v>
      </c>
      <c r="J5">
        <f t="shared" si="2"/>
        <v>9</v>
      </c>
      <c r="L5" t="s">
        <v>248</v>
      </c>
      <c r="M5" t="s">
        <v>52</v>
      </c>
      <c r="N5" t="s">
        <v>257</v>
      </c>
    </row>
    <row r="6" spans="1:17" x14ac:dyDescent="0.3">
      <c r="A6" t="s">
        <v>21</v>
      </c>
      <c r="B6" t="s">
        <v>250</v>
      </c>
      <c r="C6" s="2">
        <f t="shared" si="0"/>
        <v>50</v>
      </c>
      <c r="D6">
        <v>30</v>
      </c>
      <c r="E6">
        <v>15</v>
      </c>
      <c r="F6">
        <v>5</v>
      </c>
      <c r="G6">
        <f t="shared" si="1"/>
        <v>10</v>
      </c>
      <c r="H6">
        <v>50</v>
      </c>
      <c r="I6">
        <v>39</v>
      </c>
      <c r="J6">
        <f t="shared" si="2"/>
        <v>11</v>
      </c>
      <c r="L6" t="s">
        <v>251</v>
      </c>
      <c r="M6" t="s">
        <v>80</v>
      </c>
      <c r="N6" t="s">
        <v>244</v>
      </c>
    </row>
    <row r="7" spans="1:17" x14ac:dyDescent="0.3">
      <c r="A7" t="s">
        <v>24</v>
      </c>
      <c r="B7" t="s">
        <v>255</v>
      </c>
      <c r="C7" s="2">
        <f t="shared" si="0"/>
        <v>45</v>
      </c>
      <c r="D7">
        <v>30</v>
      </c>
      <c r="E7">
        <v>14</v>
      </c>
      <c r="F7">
        <v>3</v>
      </c>
      <c r="G7">
        <f t="shared" si="1"/>
        <v>13</v>
      </c>
      <c r="H7">
        <v>39</v>
      </c>
      <c r="I7">
        <v>45</v>
      </c>
      <c r="J7">
        <f t="shared" si="2"/>
        <v>-6</v>
      </c>
      <c r="L7" t="s">
        <v>253</v>
      </c>
      <c r="M7" t="s">
        <v>81</v>
      </c>
      <c r="N7" t="s">
        <v>254</v>
      </c>
    </row>
    <row r="8" spans="1:17" x14ac:dyDescent="0.3">
      <c r="A8" t="s">
        <v>25</v>
      </c>
      <c r="B8" t="s">
        <v>256</v>
      </c>
      <c r="C8" s="2">
        <f t="shared" si="0"/>
        <v>44</v>
      </c>
      <c r="D8">
        <v>30</v>
      </c>
      <c r="E8">
        <v>13</v>
      </c>
      <c r="F8">
        <v>5</v>
      </c>
      <c r="G8">
        <f t="shared" si="1"/>
        <v>12</v>
      </c>
      <c r="H8">
        <v>40</v>
      </c>
      <c r="I8">
        <v>40</v>
      </c>
      <c r="J8">
        <f t="shared" si="2"/>
        <v>0</v>
      </c>
      <c r="L8" t="s">
        <v>247</v>
      </c>
      <c r="M8" t="s">
        <v>62</v>
      </c>
      <c r="N8" t="s">
        <v>258</v>
      </c>
    </row>
    <row r="9" spans="1:17" x14ac:dyDescent="0.3">
      <c r="A9" t="s">
        <v>27</v>
      </c>
      <c r="B9" t="s">
        <v>253</v>
      </c>
      <c r="C9" s="2">
        <f t="shared" si="0"/>
        <v>43</v>
      </c>
      <c r="D9">
        <v>30</v>
      </c>
      <c r="E9">
        <v>12</v>
      </c>
      <c r="F9">
        <v>7</v>
      </c>
      <c r="G9">
        <f t="shared" si="1"/>
        <v>11</v>
      </c>
      <c r="H9">
        <v>45</v>
      </c>
      <c r="I9">
        <v>48</v>
      </c>
      <c r="J9">
        <f t="shared" si="2"/>
        <v>-3</v>
      </c>
      <c r="L9" t="s">
        <v>249</v>
      </c>
      <c r="M9" t="s">
        <v>52</v>
      </c>
      <c r="N9" t="s">
        <v>246</v>
      </c>
    </row>
    <row r="10" spans="1:17" x14ac:dyDescent="0.3">
      <c r="A10" t="s">
        <v>29</v>
      </c>
      <c r="B10" t="s">
        <v>249</v>
      </c>
      <c r="C10" s="2">
        <f t="shared" si="0"/>
        <v>42</v>
      </c>
      <c r="D10">
        <v>30</v>
      </c>
      <c r="E10">
        <v>12</v>
      </c>
      <c r="F10">
        <v>6</v>
      </c>
      <c r="G10">
        <f t="shared" si="1"/>
        <v>12</v>
      </c>
      <c r="H10">
        <v>44</v>
      </c>
      <c r="I10">
        <v>47</v>
      </c>
      <c r="J10">
        <f t="shared" si="2"/>
        <v>-3</v>
      </c>
      <c r="L10" t="s">
        <v>255</v>
      </c>
      <c r="M10" t="s">
        <v>99</v>
      </c>
      <c r="N10" t="s">
        <v>252</v>
      </c>
    </row>
    <row r="11" spans="1:17" x14ac:dyDescent="0.3">
      <c r="A11" t="s">
        <v>31</v>
      </c>
      <c r="B11" t="s">
        <v>258</v>
      </c>
      <c r="C11" s="2">
        <f t="shared" si="0"/>
        <v>40</v>
      </c>
      <c r="D11">
        <v>30</v>
      </c>
      <c r="E11">
        <v>11</v>
      </c>
      <c r="F11">
        <v>7</v>
      </c>
      <c r="G11">
        <f t="shared" si="1"/>
        <v>12</v>
      </c>
      <c r="H11">
        <v>44</v>
      </c>
      <c r="I11">
        <v>39</v>
      </c>
      <c r="J11">
        <f t="shared" si="2"/>
        <v>5</v>
      </c>
    </row>
    <row r="12" spans="1:17" x14ac:dyDescent="0.3">
      <c r="A12" t="s">
        <v>33</v>
      </c>
      <c r="B12" t="s">
        <v>244</v>
      </c>
      <c r="C12" s="2">
        <f t="shared" si="0"/>
        <v>38</v>
      </c>
      <c r="D12">
        <v>30</v>
      </c>
      <c r="E12">
        <v>10</v>
      </c>
      <c r="F12">
        <v>8</v>
      </c>
      <c r="G12">
        <f t="shared" si="1"/>
        <v>12</v>
      </c>
      <c r="H12">
        <v>47</v>
      </c>
      <c r="I12">
        <v>51</v>
      </c>
      <c r="J12">
        <f t="shared" si="2"/>
        <v>-4</v>
      </c>
      <c r="L12" t="s">
        <v>53</v>
      </c>
    </row>
    <row r="13" spans="1:17" x14ac:dyDescent="0.3">
      <c r="A13" s="3" t="s">
        <v>35</v>
      </c>
      <c r="B13" t="s">
        <v>248</v>
      </c>
      <c r="C13" s="2">
        <f t="shared" si="0"/>
        <v>38</v>
      </c>
      <c r="D13">
        <v>30</v>
      </c>
      <c r="E13">
        <v>11</v>
      </c>
      <c r="F13">
        <v>5</v>
      </c>
      <c r="G13">
        <f t="shared" si="1"/>
        <v>14</v>
      </c>
      <c r="H13">
        <v>46</v>
      </c>
      <c r="I13">
        <v>55</v>
      </c>
      <c r="J13">
        <f t="shared" si="2"/>
        <v>-9</v>
      </c>
      <c r="L13" t="s">
        <v>245</v>
      </c>
      <c r="M13" t="s">
        <v>260</v>
      </c>
      <c r="N13" t="s">
        <v>250</v>
      </c>
    </row>
    <row r="14" spans="1:17" x14ac:dyDescent="0.3">
      <c r="A14" t="s">
        <v>36</v>
      </c>
      <c r="B14" t="s">
        <v>257</v>
      </c>
      <c r="C14" s="2">
        <f t="shared" si="0"/>
        <v>36</v>
      </c>
      <c r="D14">
        <v>30</v>
      </c>
      <c r="E14">
        <v>9</v>
      </c>
      <c r="F14">
        <v>9</v>
      </c>
      <c r="G14">
        <f t="shared" si="1"/>
        <v>12</v>
      </c>
      <c r="H14">
        <v>35</v>
      </c>
      <c r="I14">
        <v>42</v>
      </c>
      <c r="J14">
        <f t="shared" si="2"/>
        <v>-7</v>
      </c>
      <c r="L14" t="s">
        <v>244</v>
      </c>
      <c r="M14" t="s">
        <v>58</v>
      </c>
      <c r="N14" t="s">
        <v>248</v>
      </c>
    </row>
    <row r="15" spans="1:17" x14ac:dyDescent="0.3">
      <c r="A15" t="s">
        <v>38</v>
      </c>
      <c r="B15" t="s">
        <v>252</v>
      </c>
      <c r="C15" s="2">
        <f t="shared" si="0"/>
        <v>35</v>
      </c>
      <c r="D15">
        <v>30</v>
      </c>
      <c r="E15">
        <v>10</v>
      </c>
      <c r="F15">
        <v>5</v>
      </c>
      <c r="G15">
        <f t="shared" si="1"/>
        <v>15</v>
      </c>
      <c r="H15">
        <v>40</v>
      </c>
      <c r="I15">
        <v>49</v>
      </c>
      <c r="J15">
        <f t="shared" si="2"/>
        <v>-9</v>
      </c>
      <c r="L15" t="s">
        <v>253</v>
      </c>
      <c r="M15" t="s">
        <v>222</v>
      </c>
      <c r="N15" t="s">
        <v>258</v>
      </c>
    </row>
    <row r="16" spans="1:17" x14ac:dyDescent="0.3">
      <c r="A16" t="s">
        <v>40</v>
      </c>
      <c r="B16" t="s">
        <v>254</v>
      </c>
      <c r="C16" s="2">
        <f t="shared" si="0"/>
        <v>34</v>
      </c>
      <c r="D16">
        <v>30</v>
      </c>
      <c r="E16">
        <v>9</v>
      </c>
      <c r="F16">
        <v>7</v>
      </c>
      <c r="G16">
        <f t="shared" si="1"/>
        <v>14</v>
      </c>
      <c r="H16">
        <v>34</v>
      </c>
      <c r="I16">
        <v>44</v>
      </c>
      <c r="J16">
        <f t="shared" si="2"/>
        <v>-10</v>
      </c>
      <c r="L16" t="s">
        <v>252</v>
      </c>
      <c r="M16" t="s">
        <v>58</v>
      </c>
      <c r="N16" t="s">
        <v>249</v>
      </c>
    </row>
    <row r="17" spans="1:14" x14ac:dyDescent="0.3">
      <c r="A17" t="s">
        <v>42</v>
      </c>
      <c r="B17" t="s">
        <v>259</v>
      </c>
      <c r="C17" s="2">
        <f t="shared" si="0"/>
        <v>33</v>
      </c>
      <c r="D17">
        <v>30</v>
      </c>
      <c r="E17">
        <v>8</v>
      </c>
      <c r="F17">
        <v>9</v>
      </c>
      <c r="G17">
        <f t="shared" si="1"/>
        <v>13</v>
      </c>
      <c r="H17">
        <v>45</v>
      </c>
      <c r="I17">
        <v>52</v>
      </c>
      <c r="J17">
        <f t="shared" si="2"/>
        <v>-7</v>
      </c>
    </row>
    <row r="18" spans="1:14" x14ac:dyDescent="0.3">
      <c r="A18" t="s">
        <v>44</v>
      </c>
      <c r="B18" t="s">
        <v>245</v>
      </c>
      <c r="C18" s="2">
        <f t="shared" si="0"/>
        <v>29</v>
      </c>
      <c r="D18">
        <v>30</v>
      </c>
      <c r="E18">
        <v>9</v>
      </c>
      <c r="F18">
        <v>2</v>
      </c>
      <c r="G18">
        <f t="shared" si="1"/>
        <v>19</v>
      </c>
      <c r="H18">
        <v>35</v>
      </c>
      <c r="I18">
        <v>48</v>
      </c>
      <c r="J18">
        <f t="shared" si="2"/>
        <v>-13</v>
      </c>
      <c r="L18" t="s">
        <v>12</v>
      </c>
    </row>
    <row r="19" spans="1:14" x14ac:dyDescent="0.3">
      <c r="L19" t="s">
        <v>250</v>
      </c>
      <c r="M19" t="s">
        <v>62</v>
      </c>
      <c r="N19" t="s">
        <v>248</v>
      </c>
    </row>
    <row r="20" spans="1:14" x14ac:dyDescent="0.3">
      <c r="L20" t="s">
        <v>249</v>
      </c>
      <c r="M20" t="s">
        <v>60</v>
      </c>
      <c r="N20" t="s">
        <v>253</v>
      </c>
    </row>
    <row r="22" spans="1:14" x14ac:dyDescent="0.3">
      <c r="L22" t="s">
        <v>23</v>
      </c>
    </row>
    <row r="23" spans="1:14" x14ac:dyDescent="0.3">
      <c r="L23" t="s">
        <v>248</v>
      </c>
      <c r="M23" t="s">
        <v>55</v>
      </c>
      <c r="N23" t="s">
        <v>249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4C1B-A3DC-4772-AB53-1B3CD614773B}">
  <dimension ref="A1:Q29"/>
  <sheetViews>
    <sheetView workbookViewId="0">
      <selection activeCell="Q4" sqref="Q4"/>
    </sheetView>
  </sheetViews>
  <sheetFormatPr defaultRowHeight="14.4" x14ac:dyDescent="0.3"/>
  <cols>
    <col min="2" max="2" width="16.33203125" customWidth="1"/>
    <col min="12" max="12" width="15.5546875" customWidth="1"/>
    <col min="14" max="14" width="16.44140625" customWidth="1"/>
    <col min="16" max="16" width="16" customWidth="1"/>
  </cols>
  <sheetData>
    <row r="1" spans="1:17" x14ac:dyDescent="0.3">
      <c r="A1" t="s">
        <v>261</v>
      </c>
      <c r="L1" t="s">
        <v>262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P2" t="s">
        <v>273</v>
      </c>
      <c r="Q2">
        <v>9</v>
      </c>
    </row>
    <row r="3" spans="1:17" x14ac:dyDescent="0.3">
      <c r="A3" s="1" t="s">
        <v>13</v>
      </c>
      <c r="B3" t="s">
        <v>273</v>
      </c>
      <c r="C3" s="2">
        <f t="shared" ref="C3:C22" si="0">E3*3+F3</f>
        <v>67</v>
      </c>
      <c r="D3">
        <v>38</v>
      </c>
      <c r="E3">
        <v>19</v>
      </c>
      <c r="F3">
        <v>10</v>
      </c>
      <c r="G3">
        <f t="shared" ref="G3:G22" si="1">D3-E3-F3</f>
        <v>9</v>
      </c>
      <c r="H3">
        <v>58</v>
      </c>
      <c r="I3">
        <v>49</v>
      </c>
      <c r="J3">
        <f t="shared" ref="J3:J22" si="2">H3-I3</f>
        <v>9</v>
      </c>
      <c r="L3" t="s">
        <v>267</v>
      </c>
      <c r="M3" t="s">
        <v>155</v>
      </c>
      <c r="N3" t="s">
        <v>280</v>
      </c>
      <c r="P3" t="s">
        <v>268</v>
      </c>
      <c r="Q3">
        <v>7</v>
      </c>
    </row>
    <row r="4" spans="1:17" x14ac:dyDescent="0.3">
      <c r="A4" t="s">
        <v>16</v>
      </c>
      <c r="B4" t="s">
        <v>269</v>
      </c>
      <c r="C4" s="2">
        <f t="shared" si="0"/>
        <v>60</v>
      </c>
      <c r="D4">
        <v>38</v>
      </c>
      <c r="E4">
        <v>17</v>
      </c>
      <c r="F4">
        <v>9</v>
      </c>
      <c r="G4">
        <f t="shared" si="1"/>
        <v>12</v>
      </c>
      <c r="H4">
        <v>64</v>
      </c>
      <c r="I4">
        <v>55</v>
      </c>
      <c r="J4">
        <f t="shared" si="2"/>
        <v>9</v>
      </c>
      <c r="L4" t="s">
        <v>277</v>
      </c>
      <c r="M4" t="s">
        <v>60</v>
      </c>
      <c r="N4" t="s">
        <v>279</v>
      </c>
    </row>
    <row r="5" spans="1:17" x14ac:dyDescent="0.3">
      <c r="A5" t="s">
        <v>19</v>
      </c>
      <c r="B5" t="s">
        <v>267</v>
      </c>
      <c r="C5" s="2">
        <f t="shared" si="0"/>
        <v>59</v>
      </c>
      <c r="D5">
        <v>38</v>
      </c>
      <c r="E5">
        <v>17</v>
      </c>
      <c r="F5">
        <v>8</v>
      </c>
      <c r="G5">
        <f t="shared" si="1"/>
        <v>13</v>
      </c>
      <c r="H5">
        <v>58</v>
      </c>
      <c r="I5">
        <v>55</v>
      </c>
      <c r="J5">
        <f t="shared" si="2"/>
        <v>3</v>
      </c>
      <c r="L5" t="s">
        <v>265</v>
      </c>
      <c r="M5" t="s">
        <v>58</v>
      </c>
      <c r="N5" t="s">
        <v>274</v>
      </c>
    </row>
    <row r="6" spans="1:17" x14ac:dyDescent="0.3">
      <c r="A6" t="s">
        <v>21</v>
      </c>
      <c r="B6" t="s">
        <v>281</v>
      </c>
      <c r="C6" s="2">
        <f t="shared" si="0"/>
        <v>58</v>
      </c>
      <c r="D6">
        <v>38</v>
      </c>
      <c r="E6">
        <v>16</v>
      </c>
      <c r="F6">
        <v>10</v>
      </c>
      <c r="G6">
        <f t="shared" si="1"/>
        <v>12</v>
      </c>
      <c r="H6">
        <v>55</v>
      </c>
      <c r="I6">
        <v>48</v>
      </c>
      <c r="J6">
        <f t="shared" si="2"/>
        <v>7</v>
      </c>
      <c r="L6" t="s">
        <v>283</v>
      </c>
      <c r="M6" t="s">
        <v>58</v>
      </c>
      <c r="N6" t="s">
        <v>281</v>
      </c>
    </row>
    <row r="7" spans="1:17" x14ac:dyDescent="0.3">
      <c r="A7" t="s">
        <v>24</v>
      </c>
      <c r="B7" t="s">
        <v>265</v>
      </c>
      <c r="C7" s="2">
        <f t="shared" si="0"/>
        <v>57</v>
      </c>
      <c r="D7">
        <v>38</v>
      </c>
      <c r="E7">
        <v>18</v>
      </c>
      <c r="F7">
        <v>3</v>
      </c>
      <c r="G7">
        <f t="shared" si="1"/>
        <v>17</v>
      </c>
      <c r="H7">
        <v>63</v>
      </c>
      <c r="I7">
        <v>47</v>
      </c>
      <c r="J7">
        <f t="shared" si="2"/>
        <v>16</v>
      </c>
    </row>
    <row r="8" spans="1:17" x14ac:dyDescent="0.3">
      <c r="A8" t="s">
        <v>25</v>
      </c>
      <c r="B8" t="s">
        <v>276</v>
      </c>
      <c r="C8" s="2">
        <f t="shared" si="0"/>
        <v>57</v>
      </c>
      <c r="D8">
        <v>38</v>
      </c>
      <c r="E8">
        <v>15</v>
      </c>
      <c r="F8">
        <v>12</v>
      </c>
      <c r="G8">
        <f t="shared" si="1"/>
        <v>11</v>
      </c>
      <c r="H8">
        <v>59</v>
      </c>
      <c r="I8">
        <v>49</v>
      </c>
      <c r="J8">
        <f t="shared" si="2"/>
        <v>10</v>
      </c>
      <c r="L8" t="s">
        <v>50</v>
      </c>
    </row>
    <row r="9" spans="1:17" x14ac:dyDescent="0.3">
      <c r="A9" s="5" t="s">
        <v>27</v>
      </c>
      <c r="B9" t="s">
        <v>263</v>
      </c>
      <c r="C9" s="2">
        <f t="shared" si="0"/>
        <v>57</v>
      </c>
      <c r="D9">
        <v>38</v>
      </c>
      <c r="E9">
        <v>16</v>
      </c>
      <c r="F9">
        <v>9</v>
      </c>
      <c r="G9">
        <f t="shared" si="1"/>
        <v>13</v>
      </c>
      <c r="H9">
        <v>55</v>
      </c>
      <c r="I9">
        <v>53</v>
      </c>
      <c r="J9">
        <f t="shared" si="2"/>
        <v>2</v>
      </c>
      <c r="L9" t="s">
        <v>281</v>
      </c>
      <c r="M9" t="s">
        <v>157</v>
      </c>
      <c r="N9" t="s">
        <v>275</v>
      </c>
    </row>
    <row r="10" spans="1:17" x14ac:dyDescent="0.3">
      <c r="A10" s="3" t="s">
        <v>29</v>
      </c>
      <c r="B10" t="s">
        <v>268</v>
      </c>
      <c r="C10" s="2">
        <f t="shared" si="0"/>
        <v>56</v>
      </c>
      <c r="D10">
        <v>38</v>
      </c>
      <c r="E10">
        <v>16</v>
      </c>
      <c r="F10">
        <v>8</v>
      </c>
      <c r="G10">
        <f t="shared" si="1"/>
        <v>14</v>
      </c>
      <c r="H10">
        <v>64</v>
      </c>
      <c r="I10">
        <v>56</v>
      </c>
      <c r="J10">
        <f t="shared" si="2"/>
        <v>8</v>
      </c>
      <c r="L10" t="s">
        <v>276</v>
      </c>
      <c r="M10" t="s">
        <v>52</v>
      </c>
      <c r="N10" t="s">
        <v>263</v>
      </c>
    </row>
    <row r="11" spans="1:17" x14ac:dyDescent="0.3">
      <c r="A11" t="s">
        <v>31</v>
      </c>
      <c r="B11" t="s">
        <v>275</v>
      </c>
      <c r="C11" s="2">
        <f t="shared" si="0"/>
        <v>56</v>
      </c>
      <c r="D11">
        <v>38</v>
      </c>
      <c r="E11">
        <v>17</v>
      </c>
      <c r="F11">
        <v>5</v>
      </c>
      <c r="G11">
        <f t="shared" si="1"/>
        <v>16</v>
      </c>
      <c r="H11">
        <v>59</v>
      </c>
      <c r="I11">
        <v>52</v>
      </c>
      <c r="J11">
        <f t="shared" si="2"/>
        <v>7</v>
      </c>
      <c r="L11" t="s">
        <v>266</v>
      </c>
      <c r="M11" t="s">
        <v>285</v>
      </c>
      <c r="N11" t="s">
        <v>268</v>
      </c>
    </row>
    <row r="12" spans="1:17" x14ac:dyDescent="0.3">
      <c r="A12" t="s">
        <v>33</v>
      </c>
      <c r="B12" t="s">
        <v>280</v>
      </c>
      <c r="C12" s="2">
        <f t="shared" si="0"/>
        <v>54</v>
      </c>
      <c r="D12">
        <v>38</v>
      </c>
      <c r="E12">
        <v>15</v>
      </c>
      <c r="F12">
        <v>9</v>
      </c>
      <c r="G12">
        <f t="shared" si="1"/>
        <v>14</v>
      </c>
      <c r="H12">
        <v>57</v>
      </c>
      <c r="I12">
        <v>52</v>
      </c>
      <c r="J12">
        <f t="shared" si="2"/>
        <v>5</v>
      </c>
      <c r="L12" t="s">
        <v>280</v>
      </c>
      <c r="M12" t="s">
        <v>59</v>
      </c>
      <c r="N12" t="s">
        <v>269</v>
      </c>
    </row>
    <row r="13" spans="1:17" x14ac:dyDescent="0.3">
      <c r="A13" t="s">
        <v>35</v>
      </c>
      <c r="B13" t="s">
        <v>264</v>
      </c>
      <c r="C13" s="2">
        <f t="shared" si="0"/>
        <v>53</v>
      </c>
      <c r="D13">
        <v>38</v>
      </c>
      <c r="E13">
        <v>14</v>
      </c>
      <c r="F13">
        <v>11</v>
      </c>
      <c r="G13">
        <f t="shared" si="1"/>
        <v>13</v>
      </c>
      <c r="H13">
        <v>58</v>
      </c>
      <c r="I13">
        <v>60</v>
      </c>
      <c r="J13">
        <f t="shared" si="2"/>
        <v>-2</v>
      </c>
      <c r="L13" t="s">
        <v>277</v>
      </c>
      <c r="M13" t="s">
        <v>52</v>
      </c>
      <c r="N13" t="s">
        <v>264</v>
      </c>
    </row>
    <row r="14" spans="1:17" x14ac:dyDescent="0.3">
      <c r="A14" t="s">
        <v>36</v>
      </c>
      <c r="B14" t="s">
        <v>271</v>
      </c>
      <c r="C14" s="2">
        <f t="shared" si="0"/>
        <v>53</v>
      </c>
      <c r="D14">
        <v>38</v>
      </c>
      <c r="E14">
        <v>15</v>
      </c>
      <c r="F14">
        <v>8</v>
      </c>
      <c r="G14">
        <f t="shared" si="1"/>
        <v>15</v>
      </c>
      <c r="H14">
        <v>57</v>
      </c>
      <c r="I14">
        <v>53</v>
      </c>
      <c r="J14">
        <f t="shared" si="2"/>
        <v>4</v>
      </c>
      <c r="L14" t="s">
        <v>274</v>
      </c>
      <c r="M14" t="s">
        <v>221</v>
      </c>
      <c r="N14" t="s">
        <v>272</v>
      </c>
    </row>
    <row r="15" spans="1:17" x14ac:dyDescent="0.3">
      <c r="A15" t="s">
        <v>38</v>
      </c>
      <c r="B15" t="s">
        <v>266</v>
      </c>
      <c r="C15" s="2">
        <f t="shared" si="0"/>
        <v>51</v>
      </c>
      <c r="D15">
        <v>38</v>
      </c>
      <c r="E15">
        <v>15</v>
      </c>
      <c r="F15">
        <v>6</v>
      </c>
      <c r="G15">
        <f t="shared" si="1"/>
        <v>17</v>
      </c>
      <c r="H15">
        <v>57</v>
      </c>
      <c r="I15">
        <v>61</v>
      </c>
      <c r="J15">
        <f t="shared" si="2"/>
        <v>-4</v>
      </c>
      <c r="L15" t="s">
        <v>270</v>
      </c>
      <c r="M15" t="s">
        <v>52</v>
      </c>
      <c r="N15" t="s">
        <v>273</v>
      </c>
    </row>
    <row r="16" spans="1:17" x14ac:dyDescent="0.3">
      <c r="A16" t="s">
        <v>40</v>
      </c>
      <c r="B16" t="s">
        <v>272</v>
      </c>
      <c r="C16" s="2">
        <f t="shared" si="0"/>
        <v>50</v>
      </c>
      <c r="D16">
        <v>38</v>
      </c>
      <c r="E16">
        <v>12</v>
      </c>
      <c r="F16">
        <v>14</v>
      </c>
      <c r="G16">
        <f t="shared" si="1"/>
        <v>12</v>
      </c>
      <c r="H16">
        <v>59</v>
      </c>
      <c r="I16">
        <v>63</v>
      </c>
      <c r="J16">
        <f t="shared" si="2"/>
        <v>-4</v>
      </c>
      <c r="L16" t="s">
        <v>278</v>
      </c>
      <c r="M16" t="s">
        <v>286</v>
      </c>
      <c r="N16" t="s">
        <v>271</v>
      </c>
    </row>
    <row r="17" spans="1:14" x14ac:dyDescent="0.3">
      <c r="A17" t="s">
        <v>42</v>
      </c>
      <c r="B17" t="s">
        <v>279</v>
      </c>
      <c r="C17" s="2">
        <f t="shared" si="0"/>
        <v>48</v>
      </c>
      <c r="D17">
        <v>38</v>
      </c>
      <c r="E17">
        <v>12</v>
      </c>
      <c r="F17">
        <v>12</v>
      </c>
      <c r="G17">
        <f t="shared" si="1"/>
        <v>14</v>
      </c>
      <c r="H17">
        <v>51</v>
      </c>
      <c r="I17">
        <v>50</v>
      </c>
      <c r="J17">
        <f t="shared" si="2"/>
        <v>1</v>
      </c>
    </row>
    <row r="18" spans="1:14" x14ac:dyDescent="0.3">
      <c r="A18" t="s">
        <v>44</v>
      </c>
      <c r="B18" t="s">
        <v>274</v>
      </c>
      <c r="C18" s="2">
        <f t="shared" si="0"/>
        <v>48</v>
      </c>
      <c r="D18">
        <v>38</v>
      </c>
      <c r="E18">
        <v>13</v>
      </c>
      <c r="F18">
        <v>9</v>
      </c>
      <c r="G18">
        <f t="shared" si="1"/>
        <v>16</v>
      </c>
      <c r="H18">
        <v>52</v>
      </c>
      <c r="I18">
        <v>58</v>
      </c>
      <c r="J18">
        <f t="shared" si="2"/>
        <v>-6</v>
      </c>
      <c r="L18" t="s">
        <v>53</v>
      </c>
    </row>
    <row r="19" spans="1:14" x14ac:dyDescent="0.3">
      <c r="A19" t="s">
        <v>46</v>
      </c>
      <c r="B19" t="s">
        <v>277</v>
      </c>
      <c r="C19" s="2">
        <f t="shared" si="0"/>
        <v>45</v>
      </c>
      <c r="D19">
        <v>38</v>
      </c>
      <c r="E19">
        <v>11</v>
      </c>
      <c r="F19">
        <v>12</v>
      </c>
      <c r="G19">
        <f t="shared" si="1"/>
        <v>15</v>
      </c>
      <c r="H19">
        <v>51</v>
      </c>
      <c r="I19">
        <v>62</v>
      </c>
      <c r="J19">
        <f t="shared" si="2"/>
        <v>-11</v>
      </c>
      <c r="L19" t="s">
        <v>275</v>
      </c>
      <c r="M19" t="s">
        <v>62</v>
      </c>
      <c r="N19" t="s">
        <v>276</v>
      </c>
    </row>
    <row r="20" spans="1:14" x14ac:dyDescent="0.3">
      <c r="A20" t="s">
        <v>48</v>
      </c>
      <c r="B20" t="s">
        <v>283</v>
      </c>
      <c r="C20" s="2">
        <f t="shared" si="0"/>
        <v>41</v>
      </c>
      <c r="D20">
        <v>38</v>
      </c>
      <c r="E20">
        <v>10</v>
      </c>
      <c r="F20">
        <v>11</v>
      </c>
      <c r="G20">
        <f t="shared" si="1"/>
        <v>17</v>
      </c>
      <c r="H20">
        <v>47</v>
      </c>
      <c r="I20">
        <v>61</v>
      </c>
      <c r="J20">
        <f t="shared" si="2"/>
        <v>-14</v>
      </c>
      <c r="L20" t="s">
        <v>280</v>
      </c>
      <c r="M20" t="s">
        <v>176</v>
      </c>
      <c r="N20" t="s">
        <v>268</v>
      </c>
    </row>
    <row r="21" spans="1:14" x14ac:dyDescent="0.3">
      <c r="A21" t="s">
        <v>282</v>
      </c>
      <c r="B21" t="s">
        <v>278</v>
      </c>
      <c r="C21" s="2">
        <f t="shared" si="0"/>
        <v>40</v>
      </c>
      <c r="D21">
        <v>38</v>
      </c>
      <c r="E21">
        <v>11</v>
      </c>
      <c r="F21">
        <v>7</v>
      </c>
      <c r="G21">
        <f t="shared" si="1"/>
        <v>20</v>
      </c>
      <c r="H21">
        <v>44</v>
      </c>
      <c r="I21">
        <v>68</v>
      </c>
      <c r="J21">
        <f t="shared" si="2"/>
        <v>-24</v>
      </c>
      <c r="L21" t="s">
        <v>277</v>
      </c>
      <c r="M21" t="s">
        <v>63</v>
      </c>
      <c r="N21" t="s">
        <v>272</v>
      </c>
    </row>
    <row r="22" spans="1:14" x14ac:dyDescent="0.3">
      <c r="A22" t="s">
        <v>284</v>
      </c>
      <c r="B22" t="s">
        <v>270</v>
      </c>
      <c r="C22" s="2">
        <f t="shared" si="0"/>
        <v>39</v>
      </c>
      <c r="D22">
        <v>38</v>
      </c>
      <c r="E22">
        <v>10</v>
      </c>
      <c r="F22">
        <v>9</v>
      </c>
      <c r="G22">
        <f t="shared" si="1"/>
        <v>19</v>
      </c>
      <c r="H22">
        <v>52</v>
      </c>
      <c r="I22">
        <v>68</v>
      </c>
      <c r="J22">
        <f t="shared" si="2"/>
        <v>-16</v>
      </c>
      <c r="L22" t="s">
        <v>271</v>
      </c>
      <c r="M22" t="s">
        <v>99</v>
      </c>
      <c r="N22" t="s">
        <v>270</v>
      </c>
    </row>
    <row r="24" spans="1:14" x14ac:dyDescent="0.3">
      <c r="L24" t="s">
        <v>12</v>
      </c>
    </row>
    <row r="25" spans="1:14" x14ac:dyDescent="0.3">
      <c r="L25" t="s">
        <v>268</v>
      </c>
      <c r="M25" t="s">
        <v>56</v>
      </c>
      <c r="N25" t="s">
        <v>276</v>
      </c>
    </row>
    <row r="26" spans="1:14" x14ac:dyDescent="0.3">
      <c r="L26" t="s">
        <v>270</v>
      </c>
      <c r="M26" t="s">
        <v>287</v>
      </c>
      <c r="N26" t="s">
        <v>277</v>
      </c>
    </row>
    <row r="28" spans="1:14" x14ac:dyDescent="0.3">
      <c r="L28" t="s">
        <v>23</v>
      </c>
    </row>
    <row r="29" spans="1:14" x14ac:dyDescent="0.3">
      <c r="L29" t="s">
        <v>268</v>
      </c>
      <c r="M29" t="s">
        <v>56</v>
      </c>
      <c r="N29" t="s">
        <v>277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E93A-57A5-402B-9B1B-04F27B0CBBF7}">
  <dimension ref="A1:AB51"/>
  <sheetViews>
    <sheetView topLeftCell="R1" workbookViewId="0">
      <selection activeCell="AB5" sqref="AB5"/>
    </sheetView>
  </sheetViews>
  <sheetFormatPr defaultRowHeight="14.4" x14ac:dyDescent="0.3"/>
  <cols>
    <col min="2" max="2" width="19.33203125" customWidth="1"/>
    <col min="12" max="12" width="15.88671875" customWidth="1"/>
    <col min="13" max="13" width="25.109375" customWidth="1"/>
    <col min="14" max="14" width="14.5546875" customWidth="1"/>
    <col min="23" max="23" width="25.21875" customWidth="1"/>
    <col min="25" max="25" width="18.77734375" customWidth="1"/>
    <col min="27" max="27" width="17.6640625" customWidth="1"/>
  </cols>
  <sheetData>
    <row r="1" spans="1:28" x14ac:dyDescent="0.3">
      <c r="A1" t="s">
        <v>288</v>
      </c>
      <c r="L1" t="s">
        <v>289</v>
      </c>
      <c r="W1" t="s">
        <v>291</v>
      </c>
      <c r="AA1" t="s">
        <v>65</v>
      </c>
    </row>
    <row r="2" spans="1:2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W2" t="s">
        <v>51</v>
      </c>
      <c r="AA2" t="s">
        <v>292</v>
      </c>
      <c r="AB2">
        <v>1</v>
      </c>
    </row>
    <row r="3" spans="1:28" x14ac:dyDescent="0.3">
      <c r="A3" s="1" t="s">
        <v>13</v>
      </c>
      <c r="B3" t="s">
        <v>292</v>
      </c>
      <c r="C3" s="2">
        <f t="shared" ref="C3:C22" si="0">E3*3+F3</f>
        <v>73</v>
      </c>
      <c r="D3">
        <v>38</v>
      </c>
      <c r="E3">
        <v>22</v>
      </c>
      <c r="F3">
        <v>7</v>
      </c>
      <c r="G3">
        <f t="shared" ref="G3:G22" si="1">D3-E3-F3</f>
        <v>9</v>
      </c>
      <c r="H3">
        <v>66</v>
      </c>
      <c r="I3">
        <v>46</v>
      </c>
      <c r="J3">
        <f t="shared" ref="J3:J22" si="2">H3-I3</f>
        <v>20</v>
      </c>
      <c r="L3" s="6" t="s">
        <v>13</v>
      </c>
      <c r="M3" t="s">
        <v>312</v>
      </c>
      <c r="N3" s="2">
        <f t="shared" ref="N3:N22" si="3">P3*3+Q3</f>
        <v>66</v>
      </c>
      <c r="O3">
        <v>38</v>
      </c>
      <c r="P3">
        <v>20</v>
      </c>
      <c r="Q3">
        <v>6</v>
      </c>
      <c r="R3">
        <f t="shared" ref="R3:R22" si="4">O3-P3-Q3</f>
        <v>12</v>
      </c>
      <c r="S3">
        <v>65</v>
      </c>
      <c r="T3">
        <v>51</v>
      </c>
      <c r="U3">
        <f t="shared" ref="U3:U22" si="5">S3-T3</f>
        <v>14</v>
      </c>
      <c r="W3" t="s">
        <v>330</v>
      </c>
      <c r="X3" t="s">
        <v>52</v>
      </c>
      <c r="Y3" t="s">
        <v>329</v>
      </c>
      <c r="AA3" t="s">
        <v>312</v>
      </c>
      <c r="AB3">
        <v>1</v>
      </c>
    </row>
    <row r="4" spans="1:28" x14ac:dyDescent="0.3">
      <c r="A4" s="1" t="s">
        <v>16</v>
      </c>
      <c r="B4" t="s">
        <v>293</v>
      </c>
      <c r="C4" s="2">
        <f t="shared" si="0"/>
        <v>65</v>
      </c>
      <c r="D4">
        <v>38</v>
      </c>
      <c r="E4">
        <v>17</v>
      </c>
      <c r="F4">
        <v>14</v>
      </c>
      <c r="G4">
        <f t="shared" si="1"/>
        <v>7</v>
      </c>
      <c r="H4">
        <v>61</v>
      </c>
      <c r="I4">
        <v>35</v>
      </c>
      <c r="J4">
        <f t="shared" si="2"/>
        <v>26</v>
      </c>
      <c r="L4" s="6" t="s">
        <v>16</v>
      </c>
      <c r="M4" t="s">
        <v>313</v>
      </c>
      <c r="N4" s="2">
        <f t="shared" si="3"/>
        <v>66</v>
      </c>
      <c r="O4">
        <v>38</v>
      </c>
      <c r="P4">
        <v>19</v>
      </c>
      <c r="Q4">
        <v>9</v>
      </c>
      <c r="R4">
        <f t="shared" si="4"/>
        <v>10</v>
      </c>
      <c r="S4">
        <v>64</v>
      </c>
      <c r="T4">
        <v>52</v>
      </c>
      <c r="U4">
        <f t="shared" si="5"/>
        <v>12</v>
      </c>
      <c r="W4" t="s">
        <v>327</v>
      </c>
      <c r="X4" t="s">
        <v>158</v>
      </c>
      <c r="Y4" t="s">
        <v>315</v>
      </c>
      <c r="AA4" t="s">
        <v>307</v>
      </c>
      <c r="AB4">
        <v>5</v>
      </c>
    </row>
    <row r="5" spans="1:28" x14ac:dyDescent="0.3">
      <c r="A5" s="4" t="s">
        <v>19</v>
      </c>
      <c r="B5" t="s">
        <v>294</v>
      </c>
      <c r="C5" s="2">
        <f t="shared" si="0"/>
        <v>58</v>
      </c>
      <c r="D5">
        <v>38</v>
      </c>
      <c r="E5">
        <v>18</v>
      </c>
      <c r="F5">
        <v>4</v>
      </c>
      <c r="G5">
        <f t="shared" si="1"/>
        <v>16</v>
      </c>
      <c r="H5">
        <v>62</v>
      </c>
      <c r="I5">
        <v>54</v>
      </c>
      <c r="J5">
        <f t="shared" si="2"/>
        <v>8</v>
      </c>
      <c r="L5" s="7" t="s">
        <v>19</v>
      </c>
      <c r="M5" t="s">
        <v>314</v>
      </c>
      <c r="N5" s="2">
        <f t="shared" si="3"/>
        <v>62</v>
      </c>
      <c r="O5">
        <v>38</v>
      </c>
      <c r="P5">
        <v>18</v>
      </c>
      <c r="Q5">
        <v>8</v>
      </c>
      <c r="R5">
        <f t="shared" si="4"/>
        <v>12</v>
      </c>
      <c r="S5">
        <v>58</v>
      </c>
      <c r="T5">
        <v>44</v>
      </c>
      <c r="U5">
        <f t="shared" si="5"/>
        <v>14</v>
      </c>
      <c r="W5" t="s">
        <v>313</v>
      </c>
      <c r="X5" t="s">
        <v>99</v>
      </c>
      <c r="Y5" t="s">
        <v>323</v>
      </c>
    </row>
    <row r="6" spans="1:28" x14ac:dyDescent="0.3">
      <c r="A6" s="4" t="s">
        <v>21</v>
      </c>
      <c r="B6" t="s">
        <v>295</v>
      </c>
      <c r="C6" s="2">
        <f t="shared" si="0"/>
        <v>58</v>
      </c>
      <c r="D6">
        <v>38</v>
      </c>
      <c r="E6">
        <v>16</v>
      </c>
      <c r="F6">
        <v>10</v>
      </c>
      <c r="G6">
        <f t="shared" si="1"/>
        <v>12</v>
      </c>
      <c r="H6">
        <v>61</v>
      </c>
      <c r="I6">
        <v>55</v>
      </c>
      <c r="J6">
        <f t="shared" si="2"/>
        <v>6</v>
      </c>
      <c r="L6" s="7" t="s">
        <v>21</v>
      </c>
      <c r="M6" t="s">
        <v>315</v>
      </c>
      <c r="N6" s="2">
        <f t="shared" si="3"/>
        <v>61</v>
      </c>
      <c r="O6">
        <v>38</v>
      </c>
      <c r="P6">
        <v>18</v>
      </c>
      <c r="Q6">
        <v>7</v>
      </c>
      <c r="R6">
        <f t="shared" si="4"/>
        <v>13</v>
      </c>
      <c r="S6">
        <v>59</v>
      </c>
      <c r="T6">
        <v>49</v>
      </c>
      <c r="U6">
        <f t="shared" si="5"/>
        <v>10</v>
      </c>
      <c r="W6" t="s">
        <v>320</v>
      </c>
      <c r="X6" t="s">
        <v>58</v>
      </c>
      <c r="Y6" t="s">
        <v>321</v>
      </c>
    </row>
    <row r="7" spans="1:28" x14ac:dyDescent="0.3">
      <c r="A7" s="3" t="s">
        <v>24</v>
      </c>
      <c r="B7" t="s">
        <v>296</v>
      </c>
      <c r="C7" s="2">
        <f t="shared" si="0"/>
        <v>58</v>
      </c>
      <c r="D7">
        <v>38</v>
      </c>
      <c r="E7">
        <v>17</v>
      </c>
      <c r="F7">
        <v>7</v>
      </c>
      <c r="G7">
        <f t="shared" si="1"/>
        <v>14</v>
      </c>
      <c r="H7">
        <v>53</v>
      </c>
      <c r="I7">
        <v>53</v>
      </c>
      <c r="J7">
        <f t="shared" si="2"/>
        <v>0</v>
      </c>
      <c r="L7" s="7" t="s">
        <v>24</v>
      </c>
      <c r="M7" t="s">
        <v>316</v>
      </c>
      <c r="N7" s="2">
        <f t="shared" si="3"/>
        <v>58</v>
      </c>
      <c r="O7">
        <v>38</v>
      </c>
      <c r="P7">
        <v>17</v>
      </c>
      <c r="Q7">
        <v>7</v>
      </c>
      <c r="R7">
        <f t="shared" si="4"/>
        <v>14</v>
      </c>
      <c r="S7">
        <v>55</v>
      </c>
      <c r="T7">
        <v>46</v>
      </c>
      <c r="U7">
        <f t="shared" si="5"/>
        <v>9</v>
      </c>
      <c r="W7" t="s">
        <v>325</v>
      </c>
      <c r="X7" t="s">
        <v>58</v>
      </c>
      <c r="Y7" t="s">
        <v>319</v>
      </c>
    </row>
    <row r="8" spans="1:28" x14ac:dyDescent="0.3">
      <c r="A8" t="s">
        <v>25</v>
      </c>
      <c r="B8" t="s">
        <v>297</v>
      </c>
      <c r="C8" s="2">
        <f t="shared" si="0"/>
        <v>57</v>
      </c>
      <c r="D8">
        <v>38</v>
      </c>
      <c r="E8">
        <v>14</v>
      </c>
      <c r="F8">
        <v>15</v>
      </c>
      <c r="G8">
        <f t="shared" si="1"/>
        <v>9</v>
      </c>
      <c r="H8">
        <v>66</v>
      </c>
      <c r="I8">
        <v>61</v>
      </c>
      <c r="J8">
        <f t="shared" si="2"/>
        <v>5</v>
      </c>
      <c r="L8" s="7" t="s">
        <v>25</v>
      </c>
      <c r="M8" t="s">
        <v>317</v>
      </c>
      <c r="N8" s="2">
        <f t="shared" si="3"/>
        <v>56</v>
      </c>
      <c r="O8">
        <v>38</v>
      </c>
      <c r="P8">
        <v>16</v>
      </c>
      <c r="Q8">
        <v>8</v>
      </c>
      <c r="R8">
        <f t="shared" si="4"/>
        <v>14</v>
      </c>
      <c r="S8">
        <v>58</v>
      </c>
      <c r="T8">
        <v>47</v>
      </c>
      <c r="U8">
        <f t="shared" si="5"/>
        <v>11</v>
      </c>
      <c r="W8" t="s">
        <v>317</v>
      </c>
      <c r="X8" t="s">
        <v>60</v>
      </c>
      <c r="Y8" t="s">
        <v>331</v>
      </c>
    </row>
    <row r="9" spans="1:28" x14ac:dyDescent="0.3">
      <c r="A9" s="5" t="s">
        <v>27</v>
      </c>
      <c r="B9" t="s">
        <v>298</v>
      </c>
      <c r="C9" s="2">
        <f t="shared" si="0"/>
        <v>52</v>
      </c>
      <c r="D9">
        <v>38</v>
      </c>
      <c r="E9">
        <v>14</v>
      </c>
      <c r="F9">
        <v>10</v>
      </c>
      <c r="G9">
        <f t="shared" si="1"/>
        <v>14</v>
      </c>
      <c r="H9">
        <v>69</v>
      </c>
      <c r="I9">
        <v>63</v>
      </c>
      <c r="J9">
        <f t="shared" si="2"/>
        <v>6</v>
      </c>
      <c r="L9" s="5" t="s">
        <v>27</v>
      </c>
      <c r="M9" t="s">
        <v>318</v>
      </c>
      <c r="N9" s="2">
        <f t="shared" si="3"/>
        <v>55</v>
      </c>
      <c r="O9">
        <v>38</v>
      </c>
      <c r="P9">
        <v>15</v>
      </c>
      <c r="Q9">
        <v>10</v>
      </c>
      <c r="R9">
        <f t="shared" si="4"/>
        <v>13</v>
      </c>
      <c r="S9">
        <v>56</v>
      </c>
      <c r="T9">
        <v>48</v>
      </c>
      <c r="U9">
        <f t="shared" si="5"/>
        <v>8</v>
      </c>
      <c r="W9" t="s">
        <v>312</v>
      </c>
      <c r="X9" t="s">
        <v>333</v>
      </c>
      <c r="Y9" t="s">
        <v>316</v>
      </c>
    </row>
    <row r="10" spans="1:28" x14ac:dyDescent="0.3">
      <c r="A10" t="s">
        <v>29</v>
      </c>
      <c r="B10" t="s">
        <v>299</v>
      </c>
      <c r="C10" s="2">
        <f t="shared" si="0"/>
        <v>51</v>
      </c>
      <c r="D10">
        <v>38</v>
      </c>
      <c r="E10">
        <v>13</v>
      </c>
      <c r="F10">
        <v>12</v>
      </c>
      <c r="G10">
        <f t="shared" si="1"/>
        <v>13</v>
      </c>
      <c r="H10">
        <v>60</v>
      </c>
      <c r="I10">
        <v>54</v>
      </c>
      <c r="J10">
        <f t="shared" si="2"/>
        <v>6</v>
      </c>
      <c r="L10" t="s">
        <v>29</v>
      </c>
      <c r="M10" t="s">
        <v>319</v>
      </c>
      <c r="N10" s="2">
        <f t="shared" si="3"/>
        <v>55</v>
      </c>
      <c r="O10">
        <v>38</v>
      </c>
      <c r="P10">
        <v>15</v>
      </c>
      <c r="Q10">
        <v>10</v>
      </c>
      <c r="R10">
        <f t="shared" si="4"/>
        <v>13</v>
      </c>
      <c r="S10">
        <v>48</v>
      </c>
      <c r="T10">
        <v>46</v>
      </c>
      <c r="U10">
        <f t="shared" si="5"/>
        <v>2</v>
      </c>
      <c r="W10" t="s">
        <v>314</v>
      </c>
      <c r="X10" t="s">
        <v>52</v>
      </c>
      <c r="Y10" t="s">
        <v>326</v>
      </c>
    </row>
    <row r="11" spans="1:28" x14ac:dyDescent="0.3">
      <c r="A11" t="s">
        <v>31</v>
      </c>
      <c r="B11" t="s">
        <v>300</v>
      </c>
      <c r="C11" s="2">
        <f t="shared" si="0"/>
        <v>51</v>
      </c>
      <c r="D11">
        <v>38</v>
      </c>
      <c r="E11">
        <v>14</v>
      </c>
      <c r="F11">
        <v>9</v>
      </c>
      <c r="G11">
        <f t="shared" si="1"/>
        <v>15</v>
      </c>
      <c r="H11">
        <v>49</v>
      </c>
      <c r="I11">
        <v>51</v>
      </c>
      <c r="J11">
        <f t="shared" si="2"/>
        <v>-2</v>
      </c>
      <c r="L11" t="s">
        <v>31</v>
      </c>
      <c r="M11" t="s">
        <v>320</v>
      </c>
      <c r="N11" s="2">
        <f t="shared" si="3"/>
        <v>53</v>
      </c>
      <c r="O11">
        <v>38</v>
      </c>
      <c r="P11">
        <v>15</v>
      </c>
      <c r="Q11">
        <v>8</v>
      </c>
      <c r="R11">
        <f t="shared" si="4"/>
        <v>15</v>
      </c>
      <c r="S11">
        <v>61</v>
      </c>
      <c r="T11">
        <v>52</v>
      </c>
      <c r="U11">
        <f t="shared" si="5"/>
        <v>9</v>
      </c>
    </row>
    <row r="12" spans="1:28" x14ac:dyDescent="0.3">
      <c r="A12" t="s">
        <v>33</v>
      </c>
      <c r="B12" t="s">
        <v>301</v>
      </c>
      <c r="C12" s="2">
        <f t="shared" si="0"/>
        <v>51</v>
      </c>
      <c r="D12">
        <v>38</v>
      </c>
      <c r="E12">
        <v>14</v>
      </c>
      <c r="F12">
        <v>9</v>
      </c>
      <c r="G12">
        <f t="shared" si="1"/>
        <v>15</v>
      </c>
      <c r="H12">
        <v>67</v>
      </c>
      <c r="I12">
        <v>73</v>
      </c>
      <c r="J12">
        <f t="shared" si="2"/>
        <v>-6</v>
      </c>
      <c r="L12" t="s">
        <v>33</v>
      </c>
      <c r="M12" t="s">
        <v>321</v>
      </c>
      <c r="N12" s="2">
        <f t="shared" si="3"/>
        <v>53</v>
      </c>
      <c r="O12">
        <v>38</v>
      </c>
      <c r="P12">
        <v>15</v>
      </c>
      <c r="Q12">
        <v>8</v>
      </c>
      <c r="R12">
        <f t="shared" si="4"/>
        <v>15</v>
      </c>
      <c r="S12">
        <v>51</v>
      </c>
      <c r="T12">
        <v>55</v>
      </c>
      <c r="U12">
        <f t="shared" si="5"/>
        <v>-4</v>
      </c>
      <c r="W12" t="s">
        <v>332</v>
      </c>
    </row>
    <row r="13" spans="1:28" x14ac:dyDescent="0.3">
      <c r="A13" t="s">
        <v>35</v>
      </c>
      <c r="B13" t="s">
        <v>302</v>
      </c>
      <c r="C13" s="2">
        <f t="shared" si="0"/>
        <v>50</v>
      </c>
      <c r="D13">
        <v>38</v>
      </c>
      <c r="E13">
        <v>13</v>
      </c>
      <c r="F13">
        <v>11</v>
      </c>
      <c r="G13">
        <f t="shared" si="1"/>
        <v>14</v>
      </c>
      <c r="H13">
        <v>56</v>
      </c>
      <c r="I13">
        <v>60</v>
      </c>
      <c r="J13">
        <f t="shared" si="2"/>
        <v>-4</v>
      </c>
      <c r="L13" t="s">
        <v>35</v>
      </c>
      <c r="M13" t="s">
        <v>322</v>
      </c>
      <c r="N13" s="2">
        <f t="shared" si="3"/>
        <v>52</v>
      </c>
      <c r="O13">
        <v>38</v>
      </c>
      <c r="P13">
        <v>14</v>
      </c>
      <c r="Q13">
        <v>10</v>
      </c>
      <c r="R13">
        <f t="shared" si="4"/>
        <v>14</v>
      </c>
      <c r="S13">
        <v>51</v>
      </c>
      <c r="T13">
        <v>48</v>
      </c>
      <c r="U13">
        <f t="shared" si="5"/>
        <v>3</v>
      </c>
      <c r="W13" t="s">
        <v>304</v>
      </c>
      <c r="X13" t="s">
        <v>52</v>
      </c>
      <c r="Y13" t="s">
        <v>309</v>
      </c>
    </row>
    <row r="14" spans="1:28" x14ac:dyDescent="0.3">
      <c r="A14" t="s">
        <v>36</v>
      </c>
      <c r="B14" t="s">
        <v>303</v>
      </c>
      <c r="C14" s="2">
        <f t="shared" si="0"/>
        <v>49</v>
      </c>
      <c r="D14">
        <v>38</v>
      </c>
      <c r="E14">
        <v>14</v>
      </c>
      <c r="F14">
        <v>7</v>
      </c>
      <c r="G14">
        <f t="shared" si="1"/>
        <v>17</v>
      </c>
      <c r="H14">
        <v>54</v>
      </c>
      <c r="I14">
        <v>62</v>
      </c>
      <c r="J14">
        <f t="shared" si="2"/>
        <v>-8</v>
      </c>
      <c r="L14" t="s">
        <v>36</v>
      </c>
      <c r="M14" t="s">
        <v>323</v>
      </c>
      <c r="N14" s="2">
        <f t="shared" si="3"/>
        <v>52</v>
      </c>
      <c r="O14">
        <v>38</v>
      </c>
      <c r="P14">
        <v>14</v>
      </c>
      <c r="Q14">
        <v>10</v>
      </c>
      <c r="R14">
        <f t="shared" si="4"/>
        <v>14</v>
      </c>
      <c r="S14">
        <v>53</v>
      </c>
      <c r="T14">
        <v>52</v>
      </c>
      <c r="U14">
        <f t="shared" si="5"/>
        <v>1</v>
      </c>
      <c r="W14" t="s">
        <v>323</v>
      </c>
      <c r="X14" t="s">
        <v>58</v>
      </c>
      <c r="Y14" t="s">
        <v>305</v>
      </c>
    </row>
    <row r="15" spans="1:28" x14ac:dyDescent="0.3">
      <c r="A15" t="s">
        <v>38</v>
      </c>
      <c r="B15" t="s">
        <v>304</v>
      </c>
      <c r="C15" s="2">
        <f t="shared" si="0"/>
        <v>49</v>
      </c>
      <c r="D15">
        <v>38</v>
      </c>
      <c r="E15">
        <v>14</v>
      </c>
      <c r="F15">
        <v>7</v>
      </c>
      <c r="G15">
        <f t="shared" si="1"/>
        <v>17</v>
      </c>
      <c r="H15">
        <v>45</v>
      </c>
      <c r="I15">
        <v>57</v>
      </c>
      <c r="J15">
        <f t="shared" si="2"/>
        <v>-12</v>
      </c>
      <c r="L15" t="s">
        <v>38</v>
      </c>
      <c r="M15" t="s">
        <v>324</v>
      </c>
      <c r="N15" s="2">
        <f t="shared" si="3"/>
        <v>51</v>
      </c>
      <c r="O15">
        <v>38</v>
      </c>
      <c r="P15">
        <v>14</v>
      </c>
      <c r="Q15">
        <v>9</v>
      </c>
      <c r="R15">
        <f t="shared" si="4"/>
        <v>15</v>
      </c>
      <c r="S15">
        <v>47</v>
      </c>
      <c r="T15">
        <v>52</v>
      </c>
      <c r="U15">
        <f t="shared" si="5"/>
        <v>-5</v>
      </c>
      <c r="W15" t="s">
        <v>311</v>
      </c>
      <c r="X15" t="s">
        <v>334</v>
      </c>
      <c r="Y15" t="s">
        <v>308</v>
      </c>
    </row>
    <row r="16" spans="1:28" x14ac:dyDescent="0.3">
      <c r="A16" t="s">
        <v>40</v>
      </c>
      <c r="B16" t="s">
        <v>305</v>
      </c>
      <c r="C16" s="2">
        <f t="shared" si="0"/>
        <v>48</v>
      </c>
      <c r="D16">
        <v>38</v>
      </c>
      <c r="E16">
        <v>12</v>
      </c>
      <c r="F16">
        <v>12</v>
      </c>
      <c r="G16">
        <f t="shared" si="1"/>
        <v>14</v>
      </c>
      <c r="H16">
        <v>60</v>
      </c>
      <c r="I16">
        <v>61</v>
      </c>
      <c r="J16">
        <f t="shared" si="2"/>
        <v>-1</v>
      </c>
      <c r="L16" t="s">
        <v>40</v>
      </c>
      <c r="M16" t="s">
        <v>325</v>
      </c>
      <c r="N16" s="2">
        <f t="shared" si="3"/>
        <v>50</v>
      </c>
      <c r="O16">
        <v>38</v>
      </c>
      <c r="P16">
        <v>15</v>
      </c>
      <c r="Q16">
        <v>5</v>
      </c>
      <c r="R16">
        <f t="shared" si="4"/>
        <v>18</v>
      </c>
      <c r="S16">
        <v>39</v>
      </c>
      <c r="T16">
        <v>49</v>
      </c>
      <c r="U16">
        <f t="shared" si="5"/>
        <v>-10</v>
      </c>
      <c r="W16" t="s">
        <v>312</v>
      </c>
      <c r="X16" t="s">
        <v>58</v>
      </c>
      <c r="Y16" t="s">
        <v>328</v>
      </c>
    </row>
    <row r="17" spans="1:25" x14ac:dyDescent="0.3">
      <c r="A17" t="s">
        <v>42</v>
      </c>
      <c r="B17" t="s">
        <v>306</v>
      </c>
      <c r="C17" s="2">
        <f t="shared" si="0"/>
        <v>48</v>
      </c>
      <c r="D17">
        <v>38</v>
      </c>
      <c r="E17">
        <v>12</v>
      </c>
      <c r="F17">
        <v>12</v>
      </c>
      <c r="G17">
        <f t="shared" si="1"/>
        <v>14</v>
      </c>
      <c r="H17">
        <v>56</v>
      </c>
      <c r="I17">
        <v>57</v>
      </c>
      <c r="J17">
        <f t="shared" si="2"/>
        <v>-1</v>
      </c>
      <c r="L17" t="s">
        <v>42</v>
      </c>
      <c r="M17" t="s">
        <v>326</v>
      </c>
      <c r="N17" s="2">
        <f t="shared" si="3"/>
        <v>49</v>
      </c>
      <c r="O17">
        <v>38</v>
      </c>
      <c r="P17">
        <v>13</v>
      </c>
      <c r="Q17">
        <v>10</v>
      </c>
      <c r="R17">
        <f t="shared" si="4"/>
        <v>15</v>
      </c>
      <c r="S17">
        <v>57</v>
      </c>
      <c r="T17">
        <v>62</v>
      </c>
      <c r="U17">
        <f t="shared" si="5"/>
        <v>-5</v>
      </c>
      <c r="W17" t="s">
        <v>319</v>
      </c>
      <c r="X17" t="s">
        <v>52</v>
      </c>
      <c r="Y17" t="s">
        <v>294</v>
      </c>
    </row>
    <row r="18" spans="1:25" x14ac:dyDescent="0.3">
      <c r="A18" s="12" t="s">
        <v>44</v>
      </c>
      <c r="B18" t="s">
        <v>307</v>
      </c>
      <c r="C18" s="2">
        <f t="shared" si="0"/>
        <v>48</v>
      </c>
      <c r="D18">
        <v>38</v>
      </c>
      <c r="E18">
        <v>13</v>
      </c>
      <c r="F18">
        <v>9</v>
      </c>
      <c r="G18">
        <f t="shared" si="1"/>
        <v>16</v>
      </c>
      <c r="H18">
        <v>44</v>
      </c>
      <c r="I18">
        <v>52</v>
      </c>
      <c r="J18">
        <f t="shared" si="2"/>
        <v>-8</v>
      </c>
      <c r="L18" t="s">
        <v>44</v>
      </c>
      <c r="M18" t="s">
        <v>327</v>
      </c>
      <c r="N18" s="2">
        <f t="shared" si="3"/>
        <v>49</v>
      </c>
      <c r="O18">
        <v>38</v>
      </c>
      <c r="P18">
        <v>14</v>
      </c>
      <c r="Q18">
        <v>7</v>
      </c>
      <c r="R18">
        <f t="shared" si="4"/>
        <v>17</v>
      </c>
      <c r="S18">
        <v>52</v>
      </c>
      <c r="T18">
        <v>58</v>
      </c>
      <c r="U18">
        <f t="shared" si="5"/>
        <v>-6</v>
      </c>
      <c r="W18" t="s">
        <v>321</v>
      </c>
      <c r="X18" t="s">
        <v>60</v>
      </c>
      <c r="Y18" t="s">
        <v>295</v>
      </c>
    </row>
    <row r="19" spans="1:25" x14ac:dyDescent="0.3">
      <c r="A19" t="s">
        <v>46</v>
      </c>
      <c r="B19" t="s">
        <v>308</v>
      </c>
      <c r="C19" s="2">
        <f t="shared" si="0"/>
        <v>47</v>
      </c>
      <c r="D19">
        <v>38</v>
      </c>
      <c r="E19">
        <v>13</v>
      </c>
      <c r="F19">
        <v>8</v>
      </c>
      <c r="G19">
        <f t="shared" si="1"/>
        <v>17</v>
      </c>
      <c r="H19">
        <v>61</v>
      </c>
      <c r="I19">
        <v>66</v>
      </c>
      <c r="J19">
        <f t="shared" si="2"/>
        <v>-5</v>
      </c>
      <c r="L19" t="s">
        <v>46</v>
      </c>
      <c r="M19" t="s">
        <v>328</v>
      </c>
      <c r="N19" s="2">
        <f t="shared" si="3"/>
        <v>46</v>
      </c>
      <c r="O19">
        <v>38</v>
      </c>
      <c r="P19">
        <v>13</v>
      </c>
      <c r="Q19">
        <v>7</v>
      </c>
      <c r="R19">
        <f t="shared" si="4"/>
        <v>18</v>
      </c>
      <c r="S19">
        <v>49</v>
      </c>
      <c r="T19">
        <v>58</v>
      </c>
      <c r="U19">
        <f t="shared" si="5"/>
        <v>-9</v>
      </c>
      <c r="W19" t="s">
        <v>314</v>
      </c>
      <c r="X19" t="s">
        <v>335</v>
      </c>
      <c r="Y19" t="s">
        <v>300</v>
      </c>
    </row>
    <row r="20" spans="1:25" x14ac:dyDescent="0.3">
      <c r="A20" s="9" t="s">
        <v>48</v>
      </c>
      <c r="B20" t="s">
        <v>309</v>
      </c>
      <c r="C20" s="2">
        <f t="shared" si="0"/>
        <v>47</v>
      </c>
      <c r="D20">
        <v>38</v>
      </c>
      <c r="E20">
        <v>11</v>
      </c>
      <c r="F20">
        <v>14</v>
      </c>
      <c r="G20">
        <f t="shared" si="1"/>
        <v>13</v>
      </c>
      <c r="H20">
        <v>58</v>
      </c>
      <c r="I20">
        <v>64</v>
      </c>
      <c r="J20">
        <f t="shared" si="2"/>
        <v>-6</v>
      </c>
      <c r="L20" s="5" t="s">
        <v>48</v>
      </c>
      <c r="M20" t="s">
        <v>329</v>
      </c>
      <c r="N20" s="2">
        <f t="shared" si="3"/>
        <v>44</v>
      </c>
      <c r="O20">
        <v>38</v>
      </c>
      <c r="P20">
        <v>11</v>
      </c>
      <c r="Q20">
        <v>11</v>
      </c>
      <c r="R20">
        <f t="shared" si="4"/>
        <v>16</v>
      </c>
      <c r="S20">
        <v>60</v>
      </c>
      <c r="T20">
        <v>67</v>
      </c>
      <c r="U20">
        <f t="shared" si="5"/>
        <v>-7</v>
      </c>
      <c r="W20" t="s">
        <v>293</v>
      </c>
      <c r="X20" t="s">
        <v>158</v>
      </c>
      <c r="Y20" t="s">
        <v>330</v>
      </c>
    </row>
    <row r="21" spans="1:25" x14ac:dyDescent="0.3">
      <c r="A21" s="9" t="s">
        <v>282</v>
      </c>
      <c r="B21" t="s">
        <v>310</v>
      </c>
      <c r="C21" s="2">
        <f t="shared" si="0"/>
        <v>44</v>
      </c>
      <c r="D21">
        <v>38</v>
      </c>
      <c r="E21">
        <v>12</v>
      </c>
      <c r="F21">
        <v>8</v>
      </c>
      <c r="G21">
        <f t="shared" si="1"/>
        <v>18</v>
      </c>
      <c r="H21">
        <v>53</v>
      </c>
      <c r="I21">
        <v>63</v>
      </c>
      <c r="J21">
        <f t="shared" si="2"/>
        <v>-10</v>
      </c>
      <c r="L21" s="5" t="s">
        <v>282</v>
      </c>
      <c r="M21" t="s">
        <v>330</v>
      </c>
      <c r="N21" s="2">
        <f t="shared" si="3"/>
        <v>43</v>
      </c>
      <c r="O21">
        <v>38</v>
      </c>
      <c r="P21">
        <v>10</v>
      </c>
      <c r="Q21">
        <v>13</v>
      </c>
      <c r="R21">
        <f t="shared" si="4"/>
        <v>15</v>
      </c>
      <c r="S21">
        <v>45</v>
      </c>
      <c r="T21">
        <v>57</v>
      </c>
      <c r="U21">
        <f t="shared" si="5"/>
        <v>-12</v>
      </c>
      <c r="W21" t="s">
        <v>327</v>
      </c>
      <c r="X21" t="s">
        <v>56</v>
      </c>
      <c r="Y21" t="s">
        <v>306</v>
      </c>
    </row>
    <row r="22" spans="1:25" x14ac:dyDescent="0.3">
      <c r="A22" s="9" t="s">
        <v>284</v>
      </c>
      <c r="B22" t="s">
        <v>311</v>
      </c>
      <c r="C22" s="2">
        <f t="shared" si="0"/>
        <v>40</v>
      </c>
      <c r="D22">
        <v>38</v>
      </c>
      <c r="E22">
        <v>11</v>
      </c>
      <c r="F22">
        <v>7</v>
      </c>
      <c r="G22">
        <f t="shared" si="1"/>
        <v>20</v>
      </c>
      <c r="H22">
        <v>47</v>
      </c>
      <c r="I22">
        <v>61</v>
      </c>
      <c r="J22">
        <f t="shared" si="2"/>
        <v>-14</v>
      </c>
      <c r="L22" s="5" t="s">
        <v>284</v>
      </c>
      <c r="M22" t="s">
        <v>331</v>
      </c>
      <c r="N22" s="2">
        <f t="shared" si="3"/>
        <v>34</v>
      </c>
      <c r="O22">
        <v>38</v>
      </c>
      <c r="P22">
        <v>9</v>
      </c>
      <c r="Q22">
        <v>7</v>
      </c>
      <c r="R22">
        <f t="shared" si="4"/>
        <v>22</v>
      </c>
      <c r="S22">
        <v>41</v>
      </c>
      <c r="T22">
        <v>76</v>
      </c>
      <c r="U22">
        <f t="shared" si="5"/>
        <v>-35</v>
      </c>
      <c r="W22" t="s">
        <v>303</v>
      </c>
      <c r="X22" t="s">
        <v>334</v>
      </c>
      <c r="Y22" t="s">
        <v>292</v>
      </c>
    </row>
    <row r="23" spans="1:25" x14ac:dyDescent="0.3">
      <c r="W23" t="s">
        <v>310</v>
      </c>
      <c r="X23" t="s">
        <v>58</v>
      </c>
      <c r="Y23" t="s">
        <v>297</v>
      </c>
    </row>
    <row r="24" spans="1:25" x14ac:dyDescent="0.3">
      <c r="L24" t="s">
        <v>290</v>
      </c>
      <c r="W24" t="s">
        <v>324</v>
      </c>
      <c r="X24" t="s">
        <v>55</v>
      </c>
      <c r="Y24" t="s">
        <v>298</v>
      </c>
    </row>
    <row r="25" spans="1:25" x14ac:dyDescent="0.3">
      <c r="L25" t="s">
        <v>12</v>
      </c>
      <c r="W25" t="s">
        <v>307</v>
      </c>
      <c r="X25" t="s">
        <v>55</v>
      </c>
      <c r="Y25" t="s">
        <v>302</v>
      </c>
    </row>
    <row r="26" spans="1:25" x14ac:dyDescent="0.3">
      <c r="L26" t="str">
        <f>M5</f>
        <v>Iwaki FC</v>
      </c>
      <c r="M26" t="s">
        <v>60</v>
      </c>
      <c r="N26" t="str">
        <f>M8</f>
        <v>FC Imabari</v>
      </c>
      <c r="W26" t="s">
        <v>318</v>
      </c>
      <c r="X26" t="s">
        <v>336</v>
      </c>
      <c r="Y26" t="s">
        <v>301</v>
      </c>
    </row>
    <row r="27" spans="1:25" x14ac:dyDescent="0.3">
      <c r="L27" t="str">
        <f>M6</f>
        <v>Fujieda MYFC</v>
      </c>
      <c r="M27" t="s">
        <v>99</v>
      </c>
      <c r="N27" t="str">
        <f>M7</f>
        <v>RB Omiya Ardija</v>
      </c>
      <c r="W27" t="s">
        <v>299</v>
      </c>
      <c r="X27" t="s">
        <v>55</v>
      </c>
      <c r="Y27" t="s">
        <v>296</v>
      </c>
    </row>
    <row r="28" spans="1:25" x14ac:dyDescent="0.3">
      <c r="W28" t="s">
        <v>317</v>
      </c>
      <c r="X28" t="s">
        <v>52</v>
      </c>
      <c r="Y28" t="s">
        <v>322</v>
      </c>
    </row>
    <row r="29" spans="1:25" x14ac:dyDescent="0.3">
      <c r="L29" t="s">
        <v>23</v>
      </c>
    </row>
    <row r="30" spans="1:25" x14ac:dyDescent="0.3">
      <c r="L30" t="s">
        <v>314</v>
      </c>
      <c r="M30" t="s">
        <v>84</v>
      </c>
      <c r="N30" t="s">
        <v>316</v>
      </c>
      <c r="W30" t="s">
        <v>50</v>
      </c>
    </row>
    <row r="31" spans="1:25" x14ac:dyDescent="0.3">
      <c r="W31" t="s">
        <v>304</v>
      </c>
      <c r="X31" t="s">
        <v>56</v>
      </c>
      <c r="Y31" t="s">
        <v>305</v>
      </c>
    </row>
    <row r="32" spans="1:25" x14ac:dyDescent="0.3">
      <c r="W32" t="s">
        <v>328</v>
      </c>
      <c r="X32" t="s">
        <v>54</v>
      </c>
      <c r="Y32" t="s">
        <v>311</v>
      </c>
    </row>
    <row r="33" spans="23:25" x14ac:dyDescent="0.3">
      <c r="W33" t="s">
        <v>321</v>
      </c>
      <c r="X33" t="s">
        <v>56</v>
      </c>
      <c r="Y33" t="s">
        <v>319</v>
      </c>
    </row>
    <row r="34" spans="23:25" x14ac:dyDescent="0.3">
      <c r="W34" t="s">
        <v>293</v>
      </c>
      <c r="X34" t="s">
        <v>58</v>
      </c>
      <c r="Y34" t="s">
        <v>300</v>
      </c>
    </row>
    <row r="35" spans="23:25" x14ac:dyDescent="0.3">
      <c r="W35" t="s">
        <v>303</v>
      </c>
      <c r="X35" t="s">
        <v>52</v>
      </c>
      <c r="Y35" t="s">
        <v>327</v>
      </c>
    </row>
    <row r="36" spans="23:25" x14ac:dyDescent="0.3">
      <c r="W36" t="s">
        <v>324</v>
      </c>
      <c r="X36" t="s">
        <v>58</v>
      </c>
      <c r="Y36" t="s">
        <v>297</v>
      </c>
    </row>
    <row r="37" spans="23:25" x14ac:dyDescent="0.3">
      <c r="W37" t="s">
        <v>318</v>
      </c>
      <c r="X37" t="s">
        <v>221</v>
      </c>
      <c r="Y37" t="s">
        <v>307</v>
      </c>
    </row>
    <row r="38" spans="23:25" x14ac:dyDescent="0.3">
      <c r="W38" t="s">
        <v>317</v>
      </c>
      <c r="X38" t="s">
        <v>55</v>
      </c>
      <c r="Y38" t="s">
        <v>299</v>
      </c>
    </row>
    <row r="40" spans="23:25" x14ac:dyDescent="0.3">
      <c r="W40" t="s">
        <v>53</v>
      </c>
    </row>
    <row r="41" spans="23:25" x14ac:dyDescent="0.3">
      <c r="W41" t="s">
        <v>311</v>
      </c>
      <c r="X41" t="s">
        <v>55</v>
      </c>
      <c r="Y41" t="s">
        <v>304</v>
      </c>
    </row>
    <row r="42" spans="23:25" x14ac:dyDescent="0.3">
      <c r="W42" t="s">
        <v>300</v>
      </c>
      <c r="X42" t="s">
        <v>56</v>
      </c>
      <c r="Y42" t="s">
        <v>321</v>
      </c>
    </row>
    <row r="43" spans="23:25" x14ac:dyDescent="0.3">
      <c r="W43" t="s">
        <v>297</v>
      </c>
      <c r="X43" t="s">
        <v>337</v>
      </c>
      <c r="Y43" t="s">
        <v>303</v>
      </c>
    </row>
    <row r="44" spans="23:25" x14ac:dyDescent="0.3">
      <c r="W44" t="s">
        <v>307</v>
      </c>
      <c r="X44" t="s">
        <v>52</v>
      </c>
      <c r="Y44" t="s">
        <v>317</v>
      </c>
    </row>
    <row r="46" spans="23:25" x14ac:dyDescent="0.3">
      <c r="W46" t="s">
        <v>12</v>
      </c>
    </row>
    <row r="47" spans="23:25" x14ac:dyDescent="0.3">
      <c r="W47" t="s">
        <v>300</v>
      </c>
      <c r="X47" t="s">
        <v>118</v>
      </c>
      <c r="Y47" t="s">
        <v>311</v>
      </c>
    </row>
    <row r="48" spans="23:25" x14ac:dyDescent="0.3">
      <c r="W48" t="s">
        <v>307</v>
      </c>
      <c r="X48" t="s">
        <v>52</v>
      </c>
      <c r="Y48" t="s">
        <v>297</v>
      </c>
    </row>
    <row r="50" spans="23:25" x14ac:dyDescent="0.3">
      <c r="W50" t="s">
        <v>23</v>
      </c>
    </row>
    <row r="51" spans="23:25" x14ac:dyDescent="0.3">
      <c r="W51" t="s">
        <v>300</v>
      </c>
      <c r="X51" t="s">
        <v>58</v>
      </c>
      <c r="Y51" t="s">
        <v>307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79A0-0101-4F88-9482-0B0E823500DE}">
  <dimension ref="A1:Q17"/>
  <sheetViews>
    <sheetView topLeftCell="D1" workbookViewId="0">
      <selection activeCell="Q3" sqref="Q3"/>
    </sheetView>
  </sheetViews>
  <sheetFormatPr defaultRowHeight="14.4" x14ac:dyDescent="0.3"/>
  <cols>
    <col min="1" max="1" width="16.6640625" customWidth="1"/>
    <col min="2" max="2" width="15.6640625" customWidth="1"/>
    <col min="12" max="12" width="15.109375" customWidth="1"/>
    <col min="14" max="14" width="15.44140625" customWidth="1"/>
    <col min="16" max="16" width="15.21875" customWidth="1"/>
  </cols>
  <sheetData>
    <row r="1" spans="1:17" x14ac:dyDescent="0.3">
      <c r="A1" t="s">
        <v>338</v>
      </c>
      <c r="L1" t="s">
        <v>339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P2" t="s">
        <v>347</v>
      </c>
      <c r="Q2">
        <v>3</v>
      </c>
    </row>
    <row r="3" spans="1:17" x14ac:dyDescent="0.3">
      <c r="A3" s="4" t="s">
        <v>13</v>
      </c>
      <c r="B3" t="s">
        <v>347</v>
      </c>
      <c r="C3" s="2">
        <f>E3*3+F3</f>
        <v>51</v>
      </c>
      <c r="D3">
        <v>27</v>
      </c>
      <c r="E3">
        <v>16</v>
      </c>
      <c r="F3">
        <v>3</v>
      </c>
      <c r="G3">
        <f>D3-E3-F3</f>
        <v>8</v>
      </c>
      <c r="H3">
        <v>38</v>
      </c>
      <c r="I3">
        <v>29</v>
      </c>
      <c r="J3">
        <f>H3-I3</f>
        <v>9</v>
      </c>
      <c r="L3" t="s">
        <v>346</v>
      </c>
      <c r="M3" t="s">
        <v>58</v>
      </c>
      <c r="N3" t="s">
        <v>348</v>
      </c>
      <c r="P3" t="s">
        <v>18</v>
      </c>
      <c r="Q3">
        <v>2</v>
      </c>
    </row>
    <row r="4" spans="1:17" x14ac:dyDescent="0.3">
      <c r="A4" s="5" t="s">
        <v>16</v>
      </c>
      <c r="B4" t="s">
        <v>344</v>
      </c>
      <c r="C4" s="2">
        <f>E4*3+F4</f>
        <v>42</v>
      </c>
      <c r="D4">
        <v>27</v>
      </c>
      <c r="E4">
        <v>13</v>
      </c>
      <c r="F4">
        <v>3</v>
      </c>
      <c r="G4">
        <f>D4-E4-F4</f>
        <v>11</v>
      </c>
      <c r="H4">
        <v>52</v>
      </c>
      <c r="I4">
        <v>34</v>
      </c>
      <c r="J4">
        <f>H4-I4</f>
        <v>18</v>
      </c>
      <c r="L4" t="s">
        <v>347</v>
      </c>
      <c r="M4" t="s">
        <v>58</v>
      </c>
      <c r="N4" t="s">
        <v>18</v>
      </c>
    </row>
    <row r="5" spans="1:17" x14ac:dyDescent="0.3">
      <c r="A5" t="s">
        <v>19</v>
      </c>
      <c r="B5" t="s">
        <v>346</v>
      </c>
      <c r="C5" s="2">
        <f>E5*3+F5</f>
        <v>40</v>
      </c>
      <c r="D5">
        <v>27</v>
      </c>
      <c r="E5">
        <v>12</v>
      </c>
      <c r="F5">
        <v>4</v>
      </c>
      <c r="G5">
        <f>D5-E5-F5</f>
        <v>11</v>
      </c>
      <c r="H5">
        <v>37</v>
      </c>
      <c r="I5">
        <v>39</v>
      </c>
      <c r="J5">
        <f>H5-I5</f>
        <v>-2</v>
      </c>
    </row>
    <row r="6" spans="1:17" x14ac:dyDescent="0.3">
      <c r="A6" t="s">
        <v>21</v>
      </c>
      <c r="B6" t="s">
        <v>341</v>
      </c>
      <c r="C6" s="2">
        <f>E6*3+F6</f>
        <v>39</v>
      </c>
      <c r="D6">
        <v>27</v>
      </c>
      <c r="E6">
        <v>12</v>
      </c>
      <c r="F6">
        <v>3</v>
      </c>
      <c r="G6">
        <f>D6-E6-F6</f>
        <v>12</v>
      </c>
      <c r="H6">
        <v>45</v>
      </c>
      <c r="I6">
        <v>41</v>
      </c>
      <c r="J6">
        <f>H6-I6</f>
        <v>4</v>
      </c>
      <c r="L6" t="s">
        <v>53</v>
      </c>
    </row>
    <row r="7" spans="1:17" x14ac:dyDescent="0.3">
      <c r="A7" t="s">
        <v>24</v>
      </c>
      <c r="B7" t="s">
        <v>340</v>
      </c>
      <c r="C7" s="2">
        <f>E7*3+F7</f>
        <v>39</v>
      </c>
      <c r="D7">
        <v>27</v>
      </c>
      <c r="E7">
        <v>11</v>
      </c>
      <c r="F7">
        <v>6</v>
      </c>
      <c r="G7">
        <f>D7-E7-F7</f>
        <v>10</v>
      </c>
      <c r="H7">
        <v>39</v>
      </c>
      <c r="I7">
        <v>37</v>
      </c>
      <c r="J7">
        <f>H7-I7</f>
        <v>2</v>
      </c>
      <c r="L7" t="s">
        <v>340</v>
      </c>
      <c r="M7" t="s">
        <v>52</v>
      </c>
      <c r="N7" t="s">
        <v>349</v>
      </c>
    </row>
    <row r="8" spans="1:17" x14ac:dyDescent="0.3">
      <c r="A8" s="3" t="s">
        <v>25</v>
      </c>
      <c r="B8" t="s">
        <v>18</v>
      </c>
      <c r="C8" s="2">
        <f>E8*3+F8</f>
        <v>37</v>
      </c>
      <c r="D8">
        <v>27</v>
      </c>
      <c r="E8">
        <v>10</v>
      </c>
      <c r="F8">
        <v>7</v>
      </c>
      <c r="G8">
        <f>D8-E8-F8</f>
        <v>10</v>
      </c>
      <c r="H8">
        <v>40</v>
      </c>
      <c r="I8">
        <v>44</v>
      </c>
      <c r="J8">
        <f>H8-I8</f>
        <v>-4</v>
      </c>
      <c r="L8" t="s">
        <v>341</v>
      </c>
      <c r="M8" t="s">
        <v>56</v>
      </c>
      <c r="N8" t="s">
        <v>345</v>
      </c>
    </row>
    <row r="9" spans="1:17" x14ac:dyDescent="0.3">
      <c r="A9" t="s">
        <v>27</v>
      </c>
      <c r="B9" t="s">
        <v>345</v>
      </c>
      <c r="C9" s="2">
        <f>E9*3+F9</f>
        <v>36</v>
      </c>
      <c r="D9">
        <v>27</v>
      </c>
      <c r="E9">
        <v>10</v>
      </c>
      <c r="F9">
        <v>6</v>
      </c>
      <c r="G9">
        <f>D9-E9-F9</f>
        <v>11</v>
      </c>
      <c r="H9">
        <v>41</v>
      </c>
      <c r="I9">
        <v>42</v>
      </c>
      <c r="J9">
        <f>H9-I9</f>
        <v>-1</v>
      </c>
      <c r="L9" t="s">
        <v>343</v>
      </c>
      <c r="M9" t="s">
        <v>60</v>
      </c>
      <c r="N9" t="s">
        <v>348</v>
      </c>
    </row>
    <row r="10" spans="1:17" x14ac:dyDescent="0.3">
      <c r="A10" t="s">
        <v>29</v>
      </c>
      <c r="B10" t="s">
        <v>348</v>
      </c>
      <c r="C10" s="2">
        <f>E10*3+F10</f>
        <v>36</v>
      </c>
      <c r="D10">
        <v>27</v>
      </c>
      <c r="E10">
        <v>11</v>
      </c>
      <c r="F10">
        <v>3</v>
      </c>
      <c r="G10">
        <f>D10-E10-F10</f>
        <v>13</v>
      </c>
      <c r="H10">
        <v>41</v>
      </c>
      <c r="I10">
        <v>45</v>
      </c>
      <c r="J10">
        <f>H10-I10</f>
        <v>-4</v>
      </c>
      <c r="L10" t="s">
        <v>344</v>
      </c>
      <c r="M10" t="s">
        <v>350</v>
      </c>
      <c r="N10" t="s">
        <v>18</v>
      </c>
    </row>
    <row r="11" spans="1:17" x14ac:dyDescent="0.3">
      <c r="A11" t="s">
        <v>31</v>
      </c>
      <c r="B11" t="s">
        <v>342</v>
      </c>
      <c r="C11" s="2">
        <f>E11*3+F11</f>
        <v>33</v>
      </c>
      <c r="D11">
        <v>27</v>
      </c>
      <c r="E11">
        <v>9</v>
      </c>
      <c r="F11">
        <v>6</v>
      </c>
      <c r="G11">
        <f>D11-E11-F11</f>
        <v>12</v>
      </c>
      <c r="H11">
        <v>41</v>
      </c>
      <c r="I11">
        <v>46</v>
      </c>
      <c r="J11">
        <f>H11-I11</f>
        <v>-5</v>
      </c>
    </row>
    <row r="12" spans="1:17" x14ac:dyDescent="0.3">
      <c r="A12" t="s">
        <v>33</v>
      </c>
      <c r="B12" t="s">
        <v>343</v>
      </c>
      <c r="C12" s="2">
        <f>E12*3+F12</f>
        <v>29</v>
      </c>
      <c r="D12">
        <v>27</v>
      </c>
      <c r="E12">
        <v>8</v>
      </c>
      <c r="F12">
        <v>5</v>
      </c>
      <c r="G12">
        <f>D12-E12-F12</f>
        <v>14</v>
      </c>
      <c r="H12">
        <v>35</v>
      </c>
      <c r="I12">
        <v>42</v>
      </c>
      <c r="J12">
        <f>H12-I12</f>
        <v>-7</v>
      </c>
      <c r="L12" t="s">
        <v>12</v>
      </c>
    </row>
    <row r="13" spans="1:17" x14ac:dyDescent="0.3">
      <c r="L13" t="s">
        <v>340</v>
      </c>
      <c r="M13" t="s">
        <v>55</v>
      </c>
      <c r="N13" t="s">
        <v>341</v>
      </c>
    </row>
    <row r="14" spans="1:17" x14ac:dyDescent="0.3">
      <c r="L14" t="s">
        <v>343</v>
      </c>
      <c r="M14" t="s">
        <v>157</v>
      </c>
      <c r="N14" t="s">
        <v>18</v>
      </c>
    </row>
    <row r="16" spans="1:17" x14ac:dyDescent="0.3">
      <c r="L16" t="s">
        <v>23</v>
      </c>
    </row>
    <row r="17" spans="12:14" x14ac:dyDescent="0.3">
      <c r="L17" t="s">
        <v>18</v>
      </c>
      <c r="M17" t="s">
        <v>52</v>
      </c>
      <c r="N17" t="s">
        <v>340</v>
      </c>
    </row>
  </sheetData>
  <sortState xmlns:xlrd2="http://schemas.microsoft.com/office/spreadsheetml/2017/richdata2" ref="B3:J12">
    <sortCondition descending="1" ref="C3:C12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BB28-14A1-4D3A-B63D-3FD58852F209}">
  <dimension ref="A1:Q21"/>
  <sheetViews>
    <sheetView workbookViewId="0">
      <selection activeCell="Q3" sqref="Q3"/>
    </sheetView>
  </sheetViews>
  <sheetFormatPr defaultRowHeight="14.4" x14ac:dyDescent="0.3"/>
  <cols>
    <col min="1" max="1" width="18" customWidth="1"/>
    <col min="2" max="2" width="12.5546875" customWidth="1"/>
    <col min="12" max="12" width="15" customWidth="1"/>
    <col min="14" max="14" width="12.109375" customWidth="1"/>
    <col min="16" max="16" width="9.77734375" customWidth="1"/>
  </cols>
  <sheetData>
    <row r="1" spans="1:17" x14ac:dyDescent="0.3">
      <c r="A1" t="s">
        <v>351</v>
      </c>
      <c r="L1" t="s">
        <v>359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P2" t="s">
        <v>94</v>
      </c>
      <c r="Q2">
        <v>18</v>
      </c>
    </row>
    <row r="3" spans="1:17" x14ac:dyDescent="0.3">
      <c r="A3" s="6" t="s">
        <v>13</v>
      </c>
      <c r="B3" t="s">
        <v>357</v>
      </c>
      <c r="C3" s="2">
        <f t="shared" ref="C3:C12" si="0">E3*3+F3</f>
        <v>36</v>
      </c>
      <c r="D3">
        <v>18</v>
      </c>
      <c r="E3">
        <v>12</v>
      </c>
      <c r="F3">
        <v>0</v>
      </c>
      <c r="G3">
        <f t="shared" ref="G3:G12" si="1">D3-E3-F3</f>
        <v>6</v>
      </c>
      <c r="H3">
        <v>32</v>
      </c>
      <c r="I3">
        <v>20</v>
      </c>
      <c r="J3">
        <f t="shared" ref="J3:J12" si="2">H3-I3</f>
        <v>12</v>
      </c>
      <c r="L3" t="s">
        <v>356</v>
      </c>
      <c r="M3" t="s">
        <v>336</v>
      </c>
      <c r="N3" t="s">
        <v>167</v>
      </c>
      <c r="P3" t="s">
        <v>357</v>
      </c>
      <c r="Q3">
        <v>1</v>
      </c>
    </row>
    <row r="4" spans="1:17" x14ac:dyDescent="0.3">
      <c r="A4" s="6" t="s">
        <v>16</v>
      </c>
      <c r="B4" t="s">
        <v>94</v>
      </c>
      <c r="C4" s="2">
        <f t="shared" si="0"/>
        <v>33</v>
      </c>
      <c r="D4">
        <v>18</v>
      </c>
      <c r="E4">
        <v>10</v>
      </c>
      <c r="F4">
        <v>3</v>
      </c>
      <c r="G4">
        <f t="shared" si="1"/>
        <v>5</v>
      </c>
      <c r="H4">
        <v>27</v>
      </c>
      <c r="I4">
        <v>18</v>
      </c>
      <c r="J4">
        <f t="shared" si="2"/>
        <v>9</v>
      </c>
      <c r="L4" t="s">
        <v>357</v>
      </c>
      <c r="M4" t="s">
        <v>56</v>
      </c>
      <c r="N4" t="s">
        <v>358</v>
      </c>
    </row>
    <row r="5" spans="1:17" x14ac:dyDescent="0.3">
      <c r="A5" s="6" t="s">
        <v>19</v>
      </c>
      <c r="B5" t="s">
        <v>356</v>
      </c>
      <c r="C5" s="2">
        <f t="shared" si="0"/>
        <v>30</v>
      </c>
      <c r="D5">
        <v>18</v>
      </c>
      <c r="E5">
        <v>9</v>
      </c>
      <c r="F5">
        <v>3</v>
      </c>
      <c r="G5">
        <f t="shared" si="1"/>
        <v>6</v>
      </c>
      <c r="H5">
        <v>30</v>
      </c>
      <c r="I5">
        <v>23</v>
      </c>
      <c r="J5">
        <f t="shared" si="2"/>
        <v>7</v>
      </c>
    </row>
    <row r="6" spans="1:17" x14ac:dyDescent="0.3">
      <c r="A6" s="6" t="s">
        <v>21</v>
      </c>
      <c r="B6" t="s">
        <v>167</v>
      </c>
      <c r="C6" s="2">
        <f t="shared" si="0"/>
        <v>26</v>
      </c>
      <c r="D6">
        <v>18</v>
      </c>
      <c r="E6">
        <v>7</v>
      </c>
      <c r="F6">
        <v>5</v>
      </c>
      <c r="G6">
        <f t="shared" si="1"/>
        <v>6</v>
      </c>
      <c r="H6">
        <v>23</v>
      </c>
      <c r="I6">
        <v>19</v>
      </c>
      <c r="J6">
        <f t="shared" si="2"/>
        <v>4</v>
      </c>
      <c r="L6" t="s">
        <v>53</v>
      </c>
    </row>
    <row r="7" spans="1:17" x14ac:dyDescent="0.3">
      <c r="A7" s="6" t="s">
        <v>24</v>
      </c>
      <c r="B7" t="s">
        <v>358</v>
      </c>
      <c r="C7" s="2">
        <f t="shared" si="0"/>
        <v>24</v>
      </c>
      <c r="D7">
        <v>18</v>
      </c>
      <c r="E7">
        <v>7</v>
      </c>
      <c r="F7">
        <v>3</v>
      </c>
      <c r="G7">
        <f t="shared" si="1"/>
        <v>8</v>
      </c>
      <c r="H7">
        <v>23</v>
      </c>
      <c r="I7">
        <v>25</v>
      </c>
      <c r="J7">
        <f t="shared" si="2"/>
        <v>-2</v>
      </c>
      <c r="L7" t="s">
        <v>354</v>
      </c>
      <c r="M7" t="s">
        <v>58</v>
      </c>
      <c r="N7" t="s">
        <v>357</v>
      </c>
    </row>
    <row r="8" spans="1:17" x14ac:dyDescent="0.3">
      <c r="A8" s="6" t="s">
        <v>25</v>
      </c>
      <c r="B8" t="s">
        <v>352</v>
      </c>
      <c r="C8" s="2">
        <f t="shared" si="0"/>
        <v>23</v>
      </c>
      <c r="D8">
        <v>18</v>
      </c>
      <c r="E8">
        <v>7</v>
      </c>
      <c r="F8">
        <v>2</v>
      </c>
      <c r="G8">
        <f t="shared" si="1"/>
        <v>9</v>
      </c>
      <c r="H8">
        <v>25</v>
      </c>
      <c r="I8">
        <v>27</v>
      </c>
      <c r="J8">
        <f t="shared" si="2"/>
        <v>-2</v>
      </c>
      <c r="L8" t="s">
        <v>94</v>
      </c>
      <c r="M8" t="s">
        <v>56</v>
      </c>
      <c r="N8" t="s">
        <v>39</v>
      </c>
    </row>
    <row r="9" spans="1:17" x14ac:dyDescent="0.3">
      <c r="A9" t="s">
        <v>27</v>
      </c>
      <c r="B9" t="s">
        <v>353</v>
      </c>
      <c r="C9" s="2">
        <f t="shared" si="0"/>
        <v>23</v>
      </c>
      <c r="D9">
        <v>18</v>
      </c>
      <c r="E9">
        <v>6</v>
      </c>
      <c r="F9">
        <v>5</v>
      </c>
      <c r="G9">
        <f t="shared" si="1"/>
        <v>7</v>
      </c>
      <c r="H9">
        <v>29</v>
      </c>
      <c r="I9">
        <v>34</v>
      </c>
      <c r="J9">
        <f t="shared" si="2"/>
        <v>-5</v>
      </c>
      <c r="L9" t="s">
        <v>355</v>
      </c>
      <c r="M9" t="s">
        <v>52</v>
      </c>
      <c r="N9" t="s">
        <v>352</v>
      </c>
    </row>
    <row r="10" spans="1:17" x14ac:dyDescent="0.3">
      <c r="A10" t="s">
        <v>29</v>
      </c>
      <c r="B10" t="s">
        <v>355</v>
      </c>
      <c r="C10" s="2">
        <f t="shared" si="0"/>
        <v>22</v>
      </c>
      <c r="D10">
        <v>18</v>
      </c>
      <c r="E10">
        <v>7</v>
      </c>
      <c r="F10">
        <v>1</v>
      </c>
      <c r="G10">
        <f t="shared" si="1"/>
        <v>10</v>
      </c>
      <c r="H10">
        <v>25</v>
      </c>
      <c r="I10">
        <v>31</v>
      </c>
      <c r="J10">
        <f t="shared" si="2"/>
        <v>-6</v>
      </c>
      <c r="L10" t="s">
        <v>353</v>
      </c>
      <c r="M10" t="s">
        <v>55</v>
      </c>
      <c r="N10" t="s">
        <v>356</v>
      </c>
    </row>
    <row r="11" spans="1:17" x14ac:dyDescent="0.3">
      <c r="A11" t="s">
        <v>31</v>
      </c>
      <c r="B11" t="s">
        <v>39</v>
      </c>
      <c r="C11" s="2">
        <f t="shared" si="0"/>
        <v>20</v>
      </c>
      <c r="D11">
        <v>18</v>
      </c>
      <c r="E11">
        <v>6</v>
      </c>
      <c r="F11">
        <v>2</v>
      </c>
      <c r="G11">
        <f t="shared" si="1"/>
        <v>10</v>
      </c>
      <c r="H11">
        <v>18</v>
      </c>
      <c r="I11">
        <v>28</v>
      </c>
      <c r="J11">
        <f t="shared" si="2"/>
        <v>-10</v>
      </c>
    </row>
    <row r="12" spans="1:17" x14ac:dyDescent="0.3">
      <c r="A12" t="s">
        <v>33</v>
      </c>
      <c r="B12" t="s">
        <v>354</v>
      </c>
      <c r="C12" s="2">
        <f t="shared" si="0"/>
        <v>18</v>
      </c>
      <c r="D12">
        <v>18</v>
      </c>
      <c r="E12">
        <v>4</v>
      </c>
      <c r="F12">
        <v>6</v>
      </c>
      <c r="G12">
        <f t="shared" si="1"/>
        <v>8</v>
      </c>
      <c r="H12">
        <v>21</v>
      </c>
      <c r="I12">
        <v>28</v>
      </c>
      <c r="J12">
        <f t="shared" si="2"/>
        <v>-7</v>
      </c>
      <c r="L12" t="s">
        <v>12</v>
      </c>
    </row>
    <row r="13" spans="1:17" x14ac:dyDescent="0.3">
      <c r="L13" t="s">
        <v>94</v>
      </c>
      <c r="M13" t="s">
        <v>58</v>
      </c>
      <c r="N13" t="s">
        <v>357</v>
      </c>
    </row>
    <row r="14" spans="1:17" x14ac:dyDescent="0.3">
      <c r="A14" t="s">
        <v>133</v>
      </c>
      <c r="L14" t="s">
        <v>355</v>
      </c>
      <c r="M14" t="s">
        <v>52</v>
      </c>
      <c r="N14" t="s">
        <v>353</v>
      </c>
    </row>
    <row r="15" spans="1:17" x14ac:dyDescent="0.3">
      <c r="A15" t="s">
        <v>2</v>
      </c>
      <c r="B15" t="s">
        <v>3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  <c r="J15" t="s">
        <v>11</v>
      </c>
    </row>
    <row r="16" spans="1:17" x14ac:dyDescent="0.3">
      <c r="A16" s="15" t="s">
        <v>13</v>
      </c>
      <c r="B16" t="s">
        <v>94</v>
      </c>
      <c r="C16" s="2">
        <f>E16*3+F16</f>
        <v>42</v>
      </c>
      <c r="D16">
        <v>23</v>
      </c>
      <c r="E16">
        <v>13</v>
      </c>
      <c r="F16">
        <v>3</v>
      </c>
      <c r="G16">
        <f>D16-E16-F16</f>
        <v>7</v>
      </c>
      <c r="H16">
        <v>34</v>
      </c>
      <c r="I16">
        <v>25</v>
      </c>
      <c r="J16">
        <f>H16-I16</f>
        <v>9</v>
      </c>
      <c r="L16" t="s">
        <v>23</v>
      </c>
    </row>
    <row r="17" spans="1:14" x14ac:dyDescent="0.3">
      <c r="A17" s="10" t="s">
        <v>16</v>
      </c>
      <c r="B17" t="s">
        <v>357</v>
      </c>
      <c r="C17" s="2">
        <f>E17*3+F17</f>
        <v>40</v>
      </c>
      <c r="D17">
        <v>23</v>
      </c>
      <c r="E17">
        <v>13</v>
      </c>
      <c r="F17">
        <v>1</v>
      </c>
      <c r="G17">
        <f>D17-E17-F17</f>
        <v>9</v>
      </c>
      <c r="H17">
        <v>36</v>
      </c>
      <c r="I17">
        <v>30</v>
      </c>
      <c r="J17">
        <f>H17-I17</f>
        <v>6</v>
      </c>
      <c r="L17" t="s">
        <v>357</v>
      </c>
      <c r="M17" t="s">
        <v>52</v>
      </c>
      <c r="N17" t="s">
        <v>355</v>
      </c>
    </row>
    <row r="18" spans="1:14" x14ac:dyDescent="0.3">
      <c r="A18" t="s">
        <v>19</v>
      </c>
      <c r="B18" t="s">
        <v>358</v>
      </c>
      <c r="C18" s="2">
        <f>E18*3+F18</f>
        <v>37</v>
      </c>
      <c r="D18">
        <v>23</v>
      </c>
      <c r="E18">
        <v>11</v>
      </c>
      <c r="F18">
        <v>4</v>
      </c>
      <c r="G18">
        <f>D18-E18-F18</f>
        <v>8</v>
      </c>
      <c r="H18">
        <v>35</v>
      </c>
      <c r="I18">
        <v>30</v>
      </c>
      <c r="J18">
        <f>H18-I18</f>
        <v>5</v>
      </c>
    </row>
    <row r="19" spans="1:14" x14ac:dyDescent="0.3">
      <c r="A19" t="s">
        <v>21</v>
      </c>
      <c r="B19" t="s">
        <v>356</v>
      </c>
      <c r="C19" s="2">
        <f>E19*3+F19</f>
        <v>33</v>
      </c>
      <c r="D19">
        <v>23</v>
      </c>
      <c r="E19">
        <v>10</v>
      </c>
      <c r="F19">
        <v>3</v>
      </c>
      <c r="G19">
        <f>D19-E19-F19</f>
        <v>10</v>
      </c>
      <c r="H19">
        <v>33</v>
      </c>
      <c r="I19">
        <v>29</v>
      </c>
      <c r="J19">
        <f>H19-I19</f>
        <v>4</v>
      </c>
    </row>
    <row r="20" spans="1:14" x14ac:dyDescent="0.3">
      <c r="A20" t="s">
        <v>24</v>
      </c>
      <c r="B20" t="s">
        <v>167</v>
      </c>
      <c r="C20" s="2">
        <f>E20*3+F20</f>
        <v>33</v>
      </c>
      <c r="D20">
        <v>23</v>
      </c>
      <c r="E20">
        <v>9</v>
      </c>
      <c r="F20">
        <v>6</v>
      </c>
      <c r="G20">
        <f>D20-E20-F20</f>
        <v>8</v>
      </c>
      <c r="H20">
        <v>31</v>
      </c>
      <c r="I20">
        <v>26</v>
      </c>
      <c r="J20">
        <f>H20-I20</f>
        <v>5</v>
      </c>
    </row>
    <row r="21" spans="1:14" x14ac:dyDescent="0.3">
      <c r="A21" t="s">
        <v>25</v>
      </c>
      <c r="B21" t="s">
        <v>352</v>
      </c>
      <c r="C21" s="2">
        <f>E21*3+F21</f>
        <v>30</v>
      </c>
      <c r="D21">
        <v>23</v>
      </c>
      <c r="E21">
        <v>9</v>
      </c>
      <c r="F21">
        <v>3</v>
      </c>
      <c r="G21">
        <f>D21-E21-F21</f>
        <v>11</v>
      </c>
      <c r="H21">
        <v>34</v>
      </c>
      <c r="I21">
        <v>35</v>
      </c>
      <c r="J21">
        <f>H21-I21</f>
        <v>-1</v>
      </c>
    </row>
  </sheetData>
  <sortState xmlns:xlrd2="http://schemas.microsoft.com/office/spreadsheetml/2017/richdata2" ref="B16:J21">
    <sortCondition descending="1" ref="C16:C2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F6AD-DF36-4D1C-8B76-33BB01C1324D}">
  <dimension ref="A1:U20"/>
  <sheetViews>
    <sheetView workbookViewId="0">
      <selection activeCell="U3" sqref="U3"/>
    </sheetView>
  </sheetViews>
  <sheetFormatPr defaultRowHeight="14.4" x14ac:dyDescent="0.3"/>
  <cols>
    <col min="1" max="1" width="19.77734375" customWidth="1"/>
    <col min="2" max="2" width="15.33203125" customWidth="1"/>
    <col min="12" max="12" width="15.44140625" customWidth="1"/>
    <col min="14" max="14" width="14.109375" customWidth="1"/>
    <col min="16" max="16" width="13.109375" customWidth="1"/>
    <col min="18" max="18" width="15.77734375" customWidth="1"/>
    <col min="20" max="20" width="11.5546875" customWidth="1"/>
  </cols>
  <sheetData>
    <row r="1" spans="1:21" x14ac:dyDescent="0.3">
      <c r="A1" t="s">
        <v>360</v>
      </c>
      <c r="L1" t="s">
        <v>374</v>
      </c>
      <c r="T1" t="s">
        <v>65</v>
      </c>
    </row>
    <row r="2" spans="1:21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T2" t="s">
        <v>362</v>
      </c>
      <c r="U2">
        <v>1</v>
      </c>
    </row>
    <row r="3" spans="1:21" x14ac:dyDescent="0.3">
      <c r="A3" s="1" t="s">
        <v>13</v>
      </c>
      <c r="B3" t="s">
        <v>362</v>
      </c>
      <c r="C3" s="2">
        <f t="shared" ref="C3:C15" si="0">E3*3+F3</f>
        <v>41</v>
      </c>
      <c r="D3">
        <v>24</v>
      </c>
      <c r="E3">
        <v>12</v>
      </c>
      <c r="F3">
        <v>5</v>
      </c>
      <c r="G3">
        <f>D3-E3-F3</f>
        <v>7</v>
      </c>
      <c r="H3">
        <v>38</v>
      </c>
      <c r="I3">
        <v>26</v>
      </c>
      <c r="J3">
        <f>H3-I3</f>
        <v>12</v>
      </c>
      <c r="L3" t="s">
        <v>370</v>
      </c>
      <c r="M3" t="s">
        <v>52</v>
      </c>
      <c r="N3" t="s">
        <v>364</v>
      </c>
      <c r="P3" t="s">
        <v>364</v>
      </c>
      <c r="Q3" t="s">
        <v>82</v>
      </c>
      <c r="R3" t="s">
        <v>370</v>
      </c>
      <c r="T3" t="s">
        <v>363</v>
      </c>
      <c r="U3">
        <v>3</v>
      </c>
    </row>
    <row r="4" spans="1:21" x14ac:dyDescent="0.3">
      <c r="A4" s="3" t="s">
        <v>16</v>
      </c>
      <c r="B4" t="s">
        <v>363</v>
      </c>
      <c r="C4" s="2">
        <f t="shared" si="0"/>
        <v>40</v>
      </c>
      <c r="D4">
        <v>24</v>
      </c>
      <c r="E4">
        <v>11</v>
      </c>
      <c r="F4">
        <v>7</v>
      </c>
      <c r="G4">
        <f t="shared" ref="G4:G15" si="1">D4-E4-F4</f>
        <v>6</v>
      </c>
      <c r="H4">
        <v>40</v>
      </c>
      <c r="I4">
        <v>33</v>
      </c>
      <c r="J4">
        <f t="shared" ref="J4:J15" si="2">H4-I4</f>
        <v>7</v>
      </c>
      <c r="L4" t="s">
        <v>369</v>
      </c>
      <c r="M4" t="s">
        <v>62</v>
      </c>
      <c r="N4" t="s">
        <v>368</v>
      </c>
      <c r="P4" t="s">
        <v>368</v>
      </c>
      <c r="Q4" t="s">
        <v>82</v>
      </c>
      <c r="R4" t="s">
        <v>369</v>
      </c>
    </row>
    <row r="5" spans="1:21" x14ac:dyDescent="0.3">
      <c r="A5" t="s">
        <v>19</v>
      </c>
      <c r="B5" t="s">
        <v>367</v>
      </c>
      <c r="C5" s="2">
        <f t="shared" si="0"/>
        <v>40</v>
      </c>
      <c r="D5">
        <v>24</v>
      </c>
      <c r="E5">
        <v>12</v>
      </c>
      <c r="F5">
        <v>4</v>
      </c>
      <c r="G5">
        <f t="shared" si="1"/>
        <v>8</v>
      </c>
      <c r="H5">
        <v>30</v>
      </c>
      <c r="I5">
        <v>28</v>
      </c>
      <c r="J5">
        <f t="shared" si="2"/>
        <v>2</v>
      </c>
      <c r="L5" t="s">
        <v>366</v>
      </c>
      <c r="M5" t="s">
        <v>99</v>
      </c>
      <c r="N5" t="s">
        <v>371</v>
      </c>
      <c r="P5" t="s">
        <v>371</v>
      </c>
      <c r="Q5" t="s">
        <v>84</v>
      </c>
      <c r="R5" t="s">
        <v>366</v>
      </c>
    </row>
    <row r="6" spans="1:21" x14ac:dyDescent="0.3">
      <c r="A6" t="s">
        <v>21</v>
      </c>
      <c r="B6" t="s">
        <v>372</v>
      </c>
      <c r="C6" s="2">
        <f t="shared" si="0"/>
        <v>39</v>
      </c>
      <c r="D6">
        <v>24</v>
      </c>
      <c r="E6">
        <v>11</v>
      </c>
      <c r="F6">
        <v>6</v>
      </c>
      <c r="G6">
        <f t="shared" si="1"/>
        <v>7</v>
      </c>
      <c r="H6">
        <v>39</v>
      </c>
      <c r="I6">
        <v>26</v>
      </c>
      <c r="J6">
        <f t="shared" si="2"/>
        <v>13</v>
      </c>
      <c r="L6" t="s">
        <v>367</v>
      </c>
      <c r="M6" t="s">
        <v>118</v>
      </c>
      <c r="N6" t="s">
        <v>373</v>
      </c>
      <c r="P6" t="s">
        <v>373</v>
      </c>
      <c r="Q6" t="s">
        <v>56</v>
      </c>
      <c r="R6" t="s">
        <v>367</v>
      </c>
    </row>
    <row r="7" spans="1:21" x14ac:dyDescent="0.3">
      <c r="A7" t="s">
        <v>24</v>
      </c>
      <c r="B7" t="s">
        <v>370</v>
      </c>
      <c r="C7" s="2">
        <f t="shared" si="0"/>
        <v>39</v>
      </c>
      <c r="D7">
        <v>24</v>
      </c>
      <c r="E7">
        <v>10</v>
      </c>
      <c r="F7">
        <v>9</v>
      </c>
      <c r="G7">
        <f t="shared" si="1"/>
        <v>5</v>
      </c>
      <c r="H7">
        <v>39</v>
      </c>
      <c r="I7">
        <v>34</v>
      </c>
      <c r="J7">
        <f t="shared" si="2"/>
        <v>5</v>
      </c>
      <c r="L7" t="s">
        <v>365</v>
      </c>
      <c r="M7" t="s">
        <v>80</v>
      </c>
      <c r="N7" t="s">
        <v>372</v>
      </c>
      <c r="P7" t="s">
        <v>372</v>
      </c>
      <c r="Q7" t="s">
        <v>375</v>
      </c>
      <c r="R7" t="s">
        <v>365</v>
      </c>
    </row>
    <row r="8" spans="1:21" x14ac:dyDescent="0.3">
      <c r="A8" t="s">
        <v>25</v>
      </c>
      <c r="B8" t="s">
        <v>371</v>
      </c>
      <c r="C8" s="2">
        <f t="shared" si="0"/>
        <v>33</v>
      </c>
      <c r="D8">
        <v>24</v>
      </c>
      <c r="E8">
        <v>9</v>
      </c>
      <c r="F8">
        <v>6</v>
      </c>
      <c r="G8">
        <f t="shared" si="1"/>
        <v>9</v>
      </c>
      <c r="H8">
        <v>31</v>
      </c>
      <c r="I8">
        <v>35</v>
      </c>
      <c r="J8">
        <f t="shared" si="2"/>
        <v>-4</v>
      </c>
    </row>
    <row r="9" spans="1:21" x14ac:dyDescent="0.3">
      <c r="A9" t="s">
        <v>27</v>
      </c>
      <c r="B9" t="s">
        <v>369</v>
      </c>
      <c r="C9" s="2">
        <f t="shared" si="0"/>
        <v>32</v>
      </c>
      <c r="D9">
        <v>24</v>
      </c>
      <c r="E9">
        <v>9</v>
      </c>
      <c r="F9">
        <v>5</v>
      </c>
      <c r="G9">
        <f t="shared" si="1"/>
        <v>10</v>
      </c>
      <c r="H9">
        <v>30</v>
      </c>
      <c r="I9">
        <v>32</v>
      </c>
      <c r="J9">
        <f t="shared" si="2"/>
        <v>-2</v>
      </c>
      <c r="L9" t="s">
        <v>53</v>
      </c>
    </row>
    <row r="10" spans="1:21" x14ac:dyDescent="0.3">
      <c r="A10" t="s">
        <v>29</v>
      </c>
      <c r="B10" t="s">
        <v>368</v>
      </c>
      <c r="C10" s="2">
        <f t="shared" si="0"/>
        <v>31</v>
      </c>
      <c r="D10">
        <v>24</v>
      </c>
      <c r="E10">
        <v>9</v>
      </c>
      <c r="F10">
        <v>4</v>
      </c>
      <c r="G10">
        <f t="shared" si="1"/>
        <v>11</v>
      </c>
      <c r="H10">
        <v>33</v>
      </c>
      <c r="I10">
        <v>37</v>
      </c>
      <c r="J10">
        <f t="shared" si="2"/>
        <v>-4</v>
      </c>
      <c r="L10" t="s">
        <v>368</v>
      </c>
      <c r="M10" t="s">
        <v>80</v>
      </c>
      <c r="N10" t="s">
        <v>361</v>
      </c>
      <c r="P10" t="s">
        <v>361</v>
      </c>
      <c r="Q10" t="s">
        <v>84</v>
      </c>
      <c r="R10" t="s">
        <v>368</v>
      </c>
    </row>
    <row r="11" spans="1:21" x14ac:dyDescent="0.3">
      <c r="A11" t="s">
        <v>31</v>
      </c>
      <c r="B11" t="s">
        <v>365</v>
      </c>
      <c r="C11" s="2">
        <f t="shared" si="0"/>
        <v>30</v>
      </c>
      <c r="D11">
        <v>24</v>
      </c>
      <c r="E11">
        <v>8</v>
      </c>
      <c r="F11">
        <v>6</v>
      </c>
      <c r="G11">
        <f t="shared" si="1"/>
        <v>10</v>
      </c>
      <c r="H11">
        <v>29</v>
      </c>
      <c r="I11">
        <v>32</v>
      </c>
      <c r="J11">
        <f t="shared" si="2"/>
        <v>-3</v>
      </c>
      <c r="L11" t="s">
        <v>370</v>
      </c>
      <c r="M11" t="s">
        <v>84</v>
      </c>
      <c r="N11" t="s">
        <v>371</v>
      </c>
      <c r="P11" t="s">
        <v>371</v>
      </c>
      <c r="Q11" t="s">
        <v>60</v>
      </c>
      <c r="R11" t="s">
        <v>370</v>
      </c>
    </row>
    <row r="12" spans="1:21" x14ac:dyDescent="0.3">
      <c r="A12" t="s">
        <v>33</v>
      </c>
      <c r="B12" t="s">
        <v>361</v>
      </c>
      <c r="C12" s="2">
        <f t="shared" si="0"/>
        <v>28</v>
      </c>
      <c r="D12">
        <v>24</v>
      </c>
      <c r="E12">
        <v>7</v>
      </c>
      <c r="F12">
        <v>7</v>
      </c>
      <c r="G12">
        <f t="shared" si="1"/>
        <v>10</v>
      </c>
      <c r="H12">
        <v>31</v>
      </c>
      <c r="I12">
        <v>32</v>
      </c>
      <c r="J12">
        <f t="shared" si="2"/>
        <v>-1</v>
      </c>
      <c r="L12" t="s">
        <v>372</v>
      </c>
      <c r="M12" t="s">
        <v>52</v>
      </c>
      <c r="N12" t="s">
        <v>362</v>
      </c>
      <c r="P12" t="s">
        <v>362</v>
      </c>
      <c r="Q12" t="s">
        <v>376</v>
      </c>
      <c r="R12" t="s">
        <v>372</v>
      </c>
    </row>
    <row r="13" spans="1:21" x14ac:dyDescent="0.3">
      <c r="A13" t="s">
        <v>35</v>
      </c>
      <c r="B13" t="s">
        <v>364</v>
      </c>
      <c r="C13" s="2">
        <f t="shared" si="0"/>
        <v>28</v>
      </c>
      <c r="D13">
        <v>24</v>
      </c>
      <c r="E13">
        <v>7</v>
      </c>
      <c r="F13">
        <v>7</v>
      </c>
      <c r="G13">
        <f t="shared" si="1"/>
        <v>10</v>
      </c>
      <c r="H13">
        <v>24</v>
      </c>
      <c r="I13">
        <v>36</v>
      </c>
      <c r="J13">
        <f t="shared" si="2"/>
        <v>-12</v>
      </c>
      <c r="L13" t="s">
        <v>373</v>
      </c>
      <c r="M13" t="s">
        <v>82</v>
      </c>
      <c r="N13" t="s">
        <v>363</v>
      </c>
      <c r="P13" t="s">
        <v>363</v>
      </c>
      <c r="Q13" t="s">
        <v>56</v>
      </c>
      <c r="R13" t="s">
        <v>373</v>
      </c>
    </row>
    <row r="14" spans="1:21" x14ac:dyDescent="0.3">
      <c r="A14" t="s">
        <v>36</v>
      </c>
      <c r="B14" t="s">
        <v>366</v>
      </c>
      <c r="C14" s="2">
        <f t="shared" si="0"/>
        <v>25</v>
      </c>
      <c r="D14">
        <v>24</v>
      </c>
      <c r="E14">
        <v>5</v>
      </c>
      <c r="F14">
        <v>10</v>
      </c>
      <c r="G14">
        <f t="shared" si="1"/>
        <v>9</v>
      </c>
      <c r="H14">
        <v>28</v>
      </c>
      <c r="I14">
        <v>35</v>
      </c>
      <c r="J14">
        <f t="shared" si="2"/>
        <v>-7</v>
      </c>
    </row>
    <row r="15" spans="1:21" x14ac:dyDescent="0.3">
      <c r="A15" t="s">
        <v>38</v>
      </c>
      <c r="B15" t="s">
        <v>373</v>
      </c>
      <c r="C15" s="2">
        <f t="shared" si="0"/>
        <v>21</v>
      </c>
      <c r="D15">
        <v>24</v>
      </c>
      <c r="E15">
        <v>5</v>
      </c>
      <c r="F15">
        <v>6</v>
      </c>
      <c r="G15">
        <f t="shared" si="1"/>
        <v>13</v>
      </c>
      <c r="H15">
        <v>32</v>
      </c>
      <c r="I15">
        <v>38</v>
      </c>
      <c r="J15">
        <f t="shared" si="2"/>
        <v>-6</v>
      </c>
      <c r="L15" t="s">
        <v>12</v>
      </c>
    </row>
    <row r="16" spans="1:21" x14ac:dyDescent="0.3">
      <c r="L16" t="s">
        <v>371</v>
      </c>
      <c r="M16" t="s">
        <v>56</v>
      </c>
      <c r="N16" t="s">
        <v>361</v>
      </c>
      <c r="P16" t="s">
        <v>361</v>
      </c>
      <c r="Q16" t="s">
        <v>377</v>
      </c>
      <c r="R16" t="s">
        <v>371</v>
      </c>
    </row>
    <row r="17" spans="12:18" x14ac:dyDescent="0.3">
      <c r="L17" t="s">
        <v>363</v>
      </c>
      <c r="M17" t="s">
        <v>60</v>
      </c>
      <c r="N17" t="s">
        <v>372</v>
      </c>
      <c r="P17" t="s">
        <v>372</v>
      </c>
      <c r="Q17" t="s">
        <v>99</v>
      </c>
      <c r="R17" t="s">
        <v>363</v>
      </c>
    </row>
    <row r="19" spans="12:18" x14ac:dyDescent="0.3">
      <c r="L19" t="s">
        <v>23</v>
      </c>
    </row>
    <row r="20" spans="12:18" x14ac:dyDescent="0.3">
      <c r="L20" t="s">
        <v>363</v>
      </c>
      <c r="M20" t="s">
        <v>55</v>
      </c>
      <c r="N20" t="s">
        <v>371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04A4-B45F-4CF4-B488-F62334C0DB0E}">
  <dimension ref="A1:X16"/>
  <sheetViews>
    <sheetView workbookViewId="0">
      <selection activeCell="X4" sqref="X4"/>
    </sheetView>
  </sheetViews>
  <sheetFormatPr defaultRowHeight="14.4" x14ac:dyDescent="0.3"/>
  <cols>
    <col min="1" max="1" width="23.6640625" customWidth="1"/>
    <col min="2" max="2" width="19.21875" customWidth="1"/>
    <col min="12" max="12" width="14.21875" customWidth="1"/>
    <col min="13" max="13" width="19.33203125" customWidth="1"/>
    <col min="14" max="14" width="15.77734375" customWidth="1"/>
    <col min="16" max="16" width="16.109375" customWidth="1"/>
    <col min="23" max="23" width="10.109375" customWidth="1"/>
  </cols>
  <sheetData>
    <row r="1" spans="1:24" x14ac:dyDescent="0.3">
      <c r="A1" t="s">
        <v>378</v>
      </c>
      <c r="L1" t="s">
        <v>387</v>
      </c>
      <c r="W1" t="s">
        <v>65</v>
      </c>
    </row>
    <row r="2" spans="1:24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388</v>
      </c>
      <c r="W2" t="s">
        <v>383</v>
      </c>
      <c r="X2">
        <v>1</v>
      </c>
    </row>
    <row r="3" spans="1:24" x14ac:dyDescent="0.3">
      <c r="A3" s="3" t="s">
        <v>13</v>
      </c>
      <c r="B3" t="s">
        <v>383</v>
      </c>
      <c r="C3" s="2">
        <f>E3*3+F3</f>
        <v>45</v>
      </c>
      <c r="D3">
        <v>28</v>
      </c>
      <c r="E3">
        <v>13</v>
      </c>
      <c r="F3">
        <v>6</v>
      </c>
      <c r="G3">
        <f>D3-E3-F3</f>
        <v>9</v>
      </c>
      <c r="H3">
        <v>40</v>
      </c>
      <c r="I3">
        <v>30</v>
      </c>
      <c r="J3">
        <f>H3-I3</f>
        <v>10</v>
      </c>
      <c r="L3" t="s">
        <v>2</v>
      </c>
      <c r="M3" t="s">
        <v>3</v>
      </c>
      <c r="N3" t="s">
        <v>4</v>
      </c>
      <c r="O3" t="s">
        <v>5</v>
      </c>
      <c r="P3" t="s">
        <v>6</v>
      </c>
      <c r="Q3" t="s">
        <v>7</v>
      </c>
      <c r="R3" t="s">
        <v>8</v>
      </c>
      <c r="S3" t="s">
        <v>9</v>
      </c>
      <c r="T3" t="s">
        <v>10</v>
      </c>
      <c r="U3" t="s">
        <v>11</v>
      </c>
      <c r="W3" t="s">
        <v>383</v>
      </c>
      <c r="X3">
        <v>2</v>
      </c>
    </row>
    <row r="4" spans="1:24" x14ac:dyDescent="0.3">
      <c r="A4" s="15" t="s">
        <v>16</v>
      </c>
      <c r="B4" t="s">
        <v>379</v>
      </c>
      <c r="C4" s="2">
        <f>E4*3+F4</f>
        <v>43</v>
      </c>
      <c r="D4">
        <v>28</v>
      </c>
      <c r="E4">
        <v>12</v>
      </c>
      <c r="F4">
        <v>7</v>
      </c>
      <c r="G4">
        <f>D4-E4-F4</f>
        <v>9</v>
      </c>
      <c r="H4">
        <v>41</v>
      </c>
      <c r="I4">
        <v>39</v>
      </c>
      <c r="J4">
        <f>H4-I4</f>
        <v>2</v>
      </c>
      <c r="L4" s="6" t="s">
        <v>13</v>
      </c>
      <c r="M4" t="s">
        <v>385</v>
      </c>
      <c r="N4" s="2">
        <f>P4*3+Q4</f>
        <v>13</v>
      </c>
      <c r="O4">
        <v>5</v>
      </c>
      <c r="P4">
        <v>4</v>
      </c>
      <c r="Q4">
        <v>1</v>
      </c>
      <c r="R4">
        <f>O4-P4-Q4</f>
        <v>0</v>
      </c>
      <c r="S4">
        <v>11</v>
      </c>
      <c r="T4">
        <v>3</v>
      </c>
      <c r="U4">
        <f>S4-T4</f>
        <v>8</v>
      </c>
    </row>
    <row r="5" spans="1:24" x14ac:dyDescent="0.3">
      <c r="A5" t="s">
        <v>19</v>
      </c>
      <c r="B5" t="s">
        <v>384</v>
      </c>
      <c r="C5" s="2">
        <f>E5*3+F5</f>
        <v>42</v>
      </c>
      <c r="D5">
        <v>28</v>
      </c>
      <c r="E5">
        <v>11</v>
      </c>
      <c r="F5">
        <v>9</v>
      </c>
      <c r="G5">
        <f>D5-E5-F5</f>
        <v>8</v>
      </c>
      <c r="H5">
        <v>41</v>
      </c>
      <c r="I5">
        <v>42</v>
      </c>
      <c r="J5">
        <f>H5-I5</f>
        <v>-1</v>
      </c>
      <c r="L5" s="6" t="s">
        <v>16</v>
      </c>
      <c r="M5" t="s">
        <v>383</v>
      </c>
      <c r="N5" s="2">
        <f>P5*3+Q5</f>
        <v>8</v>
      </c>
      <c r="O5">
        <v>5</v>
      </c>
      <c r="P5">
        <v>2</v>
      </c>
      <c r="Q5">
        <v>2</v>
      </c>
      <c r="R5">
        <f>O5-P5-Q5</f>
        <v>1</v>
      </c>
      <c r="S5">
        <v>7</v>
      </c>
      <c r="T5">
        <v>5</v>
      </c>
      <c r="U5">
        <f>S5-T5</f>
        <v>2</v>
      </c>
    </row>
    <row r="6" spans="1:24" x14ac:dyDescent="0.3">
      <c r="A6" t="s">
        <v>21</v>
      </c>
      <c r="B6" t="s">
        <v>386</v>
      </c>
      <c r="C6" s="2">
        <f>E6*3+F6</f>
        <v>41</v>
      </c>
      <c r="D6">
        <v>28</v>
      </c>
      <c r="E6">
        <v>12</v>
      </c>
      <c r="F6">
        <v>5</v>
      </c>
      <c r="G6">
        <f>D6-E6-F6</f>
        <v>11</v>
      </c>
      <c r="H6">
        <v>40</v>
      </c>
      <c r="I6">
        <v>36</v>
      </c>
      <c r="J6">
        <f>H6-I6</f>
        <v>4</v>
      </c>
      <c r="L6" t="s">
        <v>19</v>
      </c>
      <c r="M6" t="s">
        <v>382</v>
      </c>
      <c r="N6" s="2">
        <f>P6*3+Q6</f>
        <v>7</v>
      </c>
      <c r="O6">
        <v>5</v>
      </c>
      <c r="P6">
        <v>2</v>
      </c>
      <c r="Q6">
        <v>1</v>
      </c>
      <c r="R6">
        <f>O6-P6-Q6</f>
        <v>2</v>
      </c>
      <c r="S6">
        <v>5</v>
      </c>
      <c r="T6">
        <v>5</v>
      </c>
      <c r="U6">
        <f>S6-T6</f>
        <v>0</v>
      </c>
    </row>
    <row r="7" spans="1:24" x14ac:dyDescent="0.3">
      <c r="A7" t="s">
        <v>24</v>
      </c>
      <c r="B7" t="s">
        <v>381</v>
      </c>
      <c r="C7" s="2">
        <f>E7*3+F7</f>
        <v>40</v>
      </c>
      <c r="D7">
        <v>28</v>
      </c>
      <c r="E7">
        <v>12</v>
      </c>
      <c r="F7">
        <v>4</v>
      </c>
      <c r="G7">
        <f>D7-E7-F7</f>
        <v>12</v>
      </c>
      <c r="H7">
        <v>39</v>
      </c>
      <c r="I7">
        <v>34</v>
      </c>
      <c r="J7">
        <f>H7-I7</f>
        <v>5</v>
      </c>
      <c r="L7" t="s">
        <v>21</v>
      </c>
      <c r="M7" t="s">
        <v>386</v>
      </c>
      <c r="N7" s="2">
        <f>P7*3+Q7</f>
        <v>7</v>
      </c>
      <c r="O7">
        <v>5</v>
      </c>
      <c r="P7">
        <v>2</v>
      </c>
      <c r="Q7">
        <v>1</v>
      </c>
      <c r="R7">
        <f>O7-P7-Q7</f>
        <v>2</v>
      </c>
      <c r="S7">
        <v>7</v>
      </c>
      <c r="T7">
        <v>8</v>
      </c>
      <c r="U7">
        <f>S7-T7</f>
        <v>-1</v>
      </c>
    </row>
    <row r="8" spans="1:24" x14ac:dyDescent="0.3">
      <c r="A8" t="s">
        <v>25</v>
      </c>
      <c r="B8" t="s">
        <v>385</v>
      </c>
      <c r="C8" s="2">
        <f>E8*3+F8</f>
        <v>38</v>
      </c>
      <c r="D8">
        <v>28</v>
      </c>
      <c r="E8">
        <v>10</v>
      </c>
      <c r="F8">
        <v>8</v>
      </c>
      <c r="G8">
        <f>D8-E8-F8</f>
        <v>10</v>
      </c>
      <c r="H8">
        <v>39</v>
      </c>
      <c r="I8">
        <v>43</v>
      </c>
      <c r="J8">
        <f>H8-I8</f>
        <v>-4</v>
      </c>
      <c r="L8" t="s">
        <v>24</v>
      </c>
      <c r="M8" t="s">
        <v>381</v>
      </c>
      <c r="N8" s="2">
        <f>P8*3+Q8</f>
        <v>4</v>
      </c>
      <c r="O8">
        <v>5</v>
      </c>
      <c r="P8">
        <v>1</v>
      </c>
      <c r="Q8">
        <v>1</v>
      </c>
      <c r="R8">
        <f>O8-P8-Q8</f>
        <v>3</v>
      </c>
      <c r="S8">
        <v>6</v>
      </c>
      <c r="T8">
        <v>11</v>
      </c>
      <c r="U8">
        <f>S8-T8</f>
        <v>-5</v>
      </c>
    </row>
    <row r="9" spans="1:24" x14ac:dyDescent="0.3">
      <c r="A9" t="s">
        <v>27</v>
      </c>
      <c r="B9" t="s">
        <v>382</v>
      </c>
      <c r="C9" s="2">
        <f>E9*3+F9</f>
        <v>35</v>
      </c>
      <c r="D9">
        <v>28</v>
      </c>
      <c r="E9">
        <v>9</v>
      </c>
      <c r="F9">
        <v>8</v>
      </c>
      <c r="G9">
        <f>D9-E9-F9</f>
        <v>11</v>
      </c>
      <c r="H9">
        <v>34</v>
      </c>
      <c r="I9">
        <v>34</v>
      </c>
      <c r="J9">
        <f>H9-I9</f>
        <v>0</v>
      </c>
      <c r="L9" t="s">
        <v>25</v>
      </c>
      <c r="M9" t="s">
        <v>379</v>
      </c>
      <c r="N9" s="2">
        <f>P9*3+Q9</f>
        <v>3</v>
      </c>
      <c r="O9">
        <v>5</v>
      </c>
      <c r="P9">
        <v>1</v>
      </c>
      <c r="Q9">
        <v>0</v>
      </c>
      <c r="R9">
        <f>O9-P9-Q9</f>
        <v>4</v>
      </c>
      <c r="S9">
        <v>6</v>
      </c>
      <c r="T9">
        <v>10</v>
      </c>
      <c r="U9">
        <f>S9-T9</f>
        <v>-4</v>
      </c>
    </row>
    <row r="10" spans="1:24" x14ac:dyDescent="0.3">
      <c r="A10" t="s">
        <v>29</v>
      </c>
      <c r="B10" t="s">
        <v>380</v>
      </c>
      <c r="C10" s="2">
        <f>E10*3+F10</f>
        <v>31</v>
      </c>
      <c r="D10">
        <v>28</v>
      </c>
      <c r="E10">
        <v>8</v>
      </c>
      <c r="F10">
        <v>7</v>
      </c>
      <c r="G10">
        <f>D10-E10-F10</f>
        <v>13</v>
      </c>
      <c r="H10">
        <v>35</v>
      </c>
      <c r="I10">
        <v>41</v>
      </c>
      <c r="J10">
        <f>H10-I10</f>
        <v>-6</v>
      </c>
    </row>
    <row r="11" spans="1:24" x14ac:dyDescent="0.3">
      <c r="L11" t="s">
        <v>12</v>
      </c>
    </row>
    <row r="12" spans="1:24" x14ac:dyDescent="0.3">
      <c r="L12" t="str">
        <f>M5</f>
        <v>Balestier</v>
      </c>
      <c r="M12" t="s">
        <v>58</v>
      </c>
      <c r="N12" t="s">
        <v>380</v>
      </c>
      <c r="P12" t="s">
        <v>380</v>
      </c>
      <c r="Q12" t="s">
        <v>80</v>
      </c>
      <c r="R12" t="str">
        <f>M5</f>
        <v>Balestier</v>
      </c>
    </row>
    <row r="13" spans="1:24" x14ac:dyDescent="0.3">
      <c r="L13" t="str">
        <f>M4</f>
        <v>Hougang United</v>
      </c>
      <c r="M13" t="s">
        <v>55</v>
      </c>
      <c r="N13" t="s">
        <v>384</v>
      </c>
      <c r="P13" t="s">
        <v>384</v>
      </c>
      <c r="Q13" t="s">
        <v>58</v>
      </c>
      <c r="R13" t="str">
        <f>M4</f>
        <v>Hougang United</v>
      </c>
    </row>
    <row r="15" spans="1:24" x14ac:dyDescent="0.3">
      <c r="L15" t="s">
        <v>23</v>
      </c>
    </row>
    <row r="16" spans="1:24" x14ac:dyDescent="0.3">
      <c r="L16" t="s">
        <v>383</v>
      </c>
      <c r="M16" t="s">
        <v>52</v>
      </c>
      <c r="N16" t="s">
        <v>385</v>
      </c>
    </row>
  </sheetData>
  <sortState xmlns:xlrd2="http://schemas.microsoft.com/office/spreadsheetml/2017/richdata2" ref="B3:J10">
    <sortCondition descending="1" ref="C3:C10"/>
    <sortCondition descending="1" ref="J3:J10"/>
    <sortCondition descending="1" ref="H3:H10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C064-E689-4937-8F8D-1A8E106AC72D}">
  <dimension ref="A1:Q23"/>
  <sheetViews>
    <sheetView workbookViewId="0">
      <selection activeCell="C3" sqref="C3:C18"/>
    </sheetView>
  </sheetViews>
  <sheetFormatPr defaultRowHeight="14.4" x14ac:dyDescent="0.3"/>
  <cols>
    <col min="1" max="1" width="13.109375" customWidth="1"/>
    <col min="2" max="2" width="19.109375" customWidth="1"/>
    <col min="12" max="12" width="18.33203125" customWidth="1"/>
    <col min="14" max="14" width="18.6640625" customWidth="1"/>
    <col min="16" max="16" width="15.44140625" customWidth="1"/>
  </cols>
  <sheetData>
    <row r="1" spans="1:17" x14ac:dyDescent="0.3">
      <c r="A1" t="s">
        <v>389</v>
      </c>
      <c r="L1" t="s">
        <v>406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50</v>
      </c>
      <c r="P2" t="s">
        <v>398</v>
      </c>
      <c r="Q2">
        <v>1</v>
      </c>
    </row>
    <row r="3" spans="1:17" x14ac:dyDescent="0.3">
      <c r="A3" s="1" t="s">
        <v>13</v>
      </c>
      <c r="B3" t="s">
        <v>398</v>
      </c>
      <c r="C3" s="2">
        <f t="shared" ref="C3:C18" si="0">E3*3+F3</f>
        <v>56</v>
      </c>
      <c r="D3">
        <v>30</v>
      </c>
      <c r="E3">
        <v>17</v>
      </c>
      <c r="F3">
        <v>5</v>
      </c>
      <c r="G3">
        <f>D3-E3-F3</f>
        <v>8</v>
      </c>
      <c r="H3">
        <v>56</v>
      </c>
      <c r="I3">
        <v>39</v>
      </c>
      <c r="J3">
        <f>H3-I3</f>
        <v>17</v>
      </c>
      <c r="L3" t="s">
        <v>397</v>
      </c>
      <c r="M3" t="s">
        <v>334</v>
      </c>
      <c r="N3" t="s">
        <v>395</v>
      </c>
      <c r="P3" t="s">
        <v>401</v>
      </c>
      <c r="Q3">
        <v>1</v>
      </c>
    </row>
    <row r="4" spans="1:17" x14ac:dyDescent="0.3">
      <c r="A4" s="1" t="s">
        <v>16</v>
      </c>
      <c r="B4" t="s">
        <v>391</v>
      </c>
      <c r="C4" s="2">
        <f t="shared" si="0"/>
        <v>51</v>
      </c>
      <c r="D4">
        <v>30</v>
      </c>
      <c r="E4">
        <v>15</v>
      </c>
      <c r="F4">
        <v>6</v>
      </c>
      <c r="G4">
        <f t="shared" ref="G4:G18" si="1">D4-E4-F4</f>
        <v>9</v>
      </c>
      <c r="H4">
        <v>40</v>
      </c>
      <c r="I4">
        <v>41</v>
      </c>
      <c r="J4">
        <f t="shared" ref="J4:J18" si="2">H4-I4</f>
        <v>-1</v>
      </c>
      <c r="L4" t="s">
        <v>405</v>
      </c>
      <c r="M4" t="s">
        <v>63</v>
      </c>
      <c r="N4" t="s">
        <v>402</v>
      </c>
    </row>
    <row r="5" spans="1:17" x14ac:dyDescent="0.3">
      <c r="A5" s="3" t="s">
        <v>19</v>
      </c>
      <c r="B5" t="s">
        <v>396</v>
      </c>
      <c r="C5" s="2">
        <f t="shared" si="0"/>
        <v>49</v>
      </c>
      <c r="D5">
        <v>30</v>
      </c>
      <c r="E5">
        <v>14</v>
      </c>
      <c r="F5">
        <v>7</v>
      </c>
      <c r="G5">
        <f t="shared" si="1"/>
        <v>9</v>
      </c>
      <c r="H5">
        <v>57</v>
      </c>
      <c r="I5">
        <v>49</v>
      </c>
      <c r="J5">
        <f t="shared" si="2"/>
        <v>8</v>
      </c>
      <c r="L5" t="s">
        <v>404</v>
      </c>
      <c r="M5" t="s">
        <v>407</v>
      </c>
      <c r="N5" t="s">
        <v>393</v>
      </c>
    </row>
    <row r="6" spans="1:17" x14ac:dyDescent="0.3">
      <c r="A6" t="s">
        <v>21</v>
      </c>
      <c r="B6" t="s">
        <v>392</v>
      </c>
      <c r="C6" s="2">
        <f t="shared" si="0"/>
        <v>49</v>
      </c>
      <c r="D6">
        <v>30</v>
      </c>
      <c r="E6">
        <v>15</v>
      </c>
      <c r="F6">
        <v>4</v>
      </c>
      <c r="G6">
        <f t="shared" si="1"/>
        <v>11</v>
      </c>
      <c r="H6">
        <v>47</v>
      </c>
      <c r="I6">
        <v>46</v>
      </c>
      <c r="J6">
        <f t="shared" si="2"/>
        <v>1</v>
      </c>
      <c r="L6" t="s">
        <v>401</v>
      </c>
      <c r="M6" t="s">
        <v>60</v>
      </c>
      <c r="N6" t="s">
        <v>399</v>
      </c>
    </row>
    <row r="7" spans="1:17" x14ac:dyDescent="0.3">
      <c r="A7" t="s">
        <v>24</v>
      </c>
      <c r="B7" t="s">
        <v>394</v>
      </c>
      <c r="C7" s="2">
        <f t="shared" si="0"/>
        <v>46</v>
      </c>
      <c r="D7">
        <v>30</v>
      </c>
      <c r="E7">
        <v>15</v>
      </c>
      <c r="F7">
        <v>1</v>
      </c>
      <c r="G7">
        <f t="shared" si="1"/>
        <v>14</v>
      </c>
      <c r="H7">
        <v>49</v>
      </c>
      <c r="I7">
        <v>52</v>
      </c>
      <c r="J7">
        <f t="shared" si="2"/>
        <v>-3</v>
      </c>
      <c r="L7" t="s">
        <v>396</v>
      </c>
      <c r="M7" t="s">
        <v>52</v>
      </c>
      <c r="N7" t="s">
        <v>394</v>
      </c>
    </row>
    <row r="8" spans="1:17" x14ac:dyDescent="0.3">
      <c r="A8" s="5" t="s">
        <v>25</v>
      </c>
      <c r="B8" t="s">
        <v>399</v>
      </c>
      <c r="C8" s="2">
        <f t="shared" si="0"/>
        <v>45</v>
      </c>
      <c r="D8">
        <v>30</v>
      </c>
      <c r="E8">
        <v>13</v>
      </c>
      <c r="F8">
        <v>6</v>
      </c>
      <c r="G8">
        <f t="shared" si="1"/>
        <v>11</v>
      </c>
      <c r="H8">
        <v>45</v>
      </c>
      <c r="I8">
        <v>35</v>
      </c>
      <c r="J8">
        <f t="shared" si="2"/>
        <v>10</v>
      </c>
      <c r="L8" t="s">
        <v>400</v>
      </c>
      <c r="M8" t="s">
        <v>55</v>
      </c>
      <c r="N8" t="s">
        <v>392</v>
      </c>
    </row>
    <row r="9" spans="1:17" x14ac:dyDescent="0.3">
      <c r="A9" t="s">
        <v>27</v>
      </c>
      <c r="B9" t="s">
        <v>405</v>
      </c>
      <c r="C9" s="2">
        <f t="shared" si="0"/>
        <v>43</v>
      </c>
      <c r="D9">
        <v>30</v>
      </c>
      <c r="E9">
        <v>11</v>
      </c>
      <c r="F9">
        <v>10</v>
      </c>
      <c r="G9">
        <f t="shared" si="1"/>
        <v>9</v>
      </c>
      <c r="H9">
        <v>47</v>
      </c>
      <c r="I9">
        <v>41</v>
      </c>
      <c r="J9">
        <f t="shared" si="2"/>
        <v>6</v>
      </c>
      <c r="L9" t="s">
        <v>390</v>
      </c>
      <c r="M9" t="s">
        <v>52</v>
      </c>
      <c r="N9" t="s">
        <v>403</v>
      </c>
    </row>
    <row r="10" spans="1:17" x14ac:dyDescent="0.3">
      <c r="A10" t="s">
        <v>29</v>
      </c>
      <c r="B10" t="s">
        <v>402</v>
      </c>
      <c r="C10" s="2">
        <f t="shared" si="0"/>
        <v>43</v>
      </c>
      <c r="D10">
        <v>30</v>
      </c>
      <c r="E10">
        <v>12</v>
      </c>
      <c r="F10">
        <v>7</v>
      </c>
      <c r="G10">
        <f t="shared" si="1"/>
        <v>11</v>
      </c>
      <c r="H10">
        <v>50</v>
      </c>
      <c r="I10">
        <v>45</v>
      </c>
      <c r="J10">
        <f t="shared" si="2"/>
        <v>5</v>
      </c>
      <c r="L10" t="s">
        <v>398</v>
      </c>
      <c r="M10" t="s">
        <v>58</v>
      </c>
      <c r="N10" t="s">
        <v>391</v>
      </c>
    </row>
    <row r="11" spans="1:17" x14ac:dyDescent="0.3">
      <c r="A11" t="s">
        <v>31</v>
      </c>
      <c r="B11" t="s">
        <v>393</v>
      </c>
      <c r="C11" s="2">
        <f t="shared" si="0"/>
        <v>43</v>
      </c>
      <c r="D11">
        <v>30</v>
      </c>
      <c r="E11">
        <v>13</v>
      </c>
      <c r="F11">
        <v>4</v>
      </c>
      <c r="G11">
        <f t="shared" si="1"/>
        <v>13</v>
      </c>
      <c r="H11">
        <v>43</v>
      </c>
      <c r="I11">
        <v>38</v>
      </c>
      <c r="J11">
        <f t="shared" si="2"/>
        <v>5</v>
      </c>
    </row>
    <row r="12" spans="1:17" x14ac:dyDescent="0.3">
      <c r="A12" t="s">
        <v>33</v>
      </c>
      <c r="B12" t="s">
        <v>397</v>
      </c>
      <c r="C12" s="2">
        <f t="shared" si="0"/>
        <v>39</v>
      </c>
      <c r="D12">
        <v>30</v>
      </c>
      <c r="E12">
        <v>11</v>
      </c>
      <c r="F12">
        <v>6</v>
      </c>
      <c r="G12">
        <f t="shared" si="1"/>
        <v>13</v>
      </c>
      <c r="H12">
        <v>43</v>
      </c>
      <c r="I12">
        <v>41</v>
      </c>
      <c r="J12">
        <f t="shared" si="2"/>
        <v>2</v>
      </c>
      <c r="L12" t="s">
        <v>53</v>
      </c>
    </row>
    <row r="13" spans="1:17" x14ac:dyDescent="0.3">
      <c r="A13" t="s">
        <v>35</v>
      </c>
      <c r="B13" t="s">
        <v>400</v>
      </c>
      <c r="C13" s="2">
        <f t="shared" si="0"/>
        <v>39</v>
      </c>
      <c r="D13">
        <v>30</v>
      </c>
      <c r="E13">
        <v>12</v>
      </c>
      <c r="F13">
        <v>3</v>
      </c>
      <c r="G13">
        <f t="shared" si="1"/>
        <v>15</v>
      </c>
      <c r="H13">
        <v>41</v>
      </c>
      <c r="I13">
        <v>46</v>
      </c>
      <c r="J13">
        <f t="shared" si="2"/>
        <v>-5</v>
      </c>
      <c r="L13" t="s">
        <v>404</v>
      </c>
      <c r="M13" t="s">
        <v>52</v>
      </c>
      <c r="N13" t="s">
        <v>405</v>
      </c>
    </row>
    <row r="14" spans="1:17" x14ac:dyDescent="0.3">
      <c r="A14" t="s">
        <v>36</v>
      </c>
      <c r="B14" t="s">
        <v>403</v>
      </c>
      <c r="C14" s="2">
        <f t="shared" si="0"/>
        <v>39</v>
      </c>
      <c r="D14">
        <v>30</v>
      </c>
      <c r="E14">
        <v>12</v>
      </c>
      <c r="F14">
        <v>3</v>
      </c>
      <c r="G14">
        <f t="shared" si="1"/>
        <v>15</v>
      </c>
      <c r="H14">
        <v>42</v>
      </c>
      <c r="I14">
        <v>51</v>
      </c>
      <c r="J14">
        <f t="shared" si="2"/>
        <v>-9</v>
      </c>
      <c r="L14" t="s">
        <v>401</v>
      </c>
      <c r="M14" t="s">
        <v>52</v>
      </c>
      <c r="N14" t="s">
        <v>396</v>
      </c>
    </row>
    <row r="15" spans="1:17" x14ac:dyDescent="0.3">
      <c r="A15" s="1" t="s">
        <v>38</v>
      </c>
      <c r="B15" t="s">
        <v>401</v>
      </c>
      <c r="C15" s="2">
        <f t="shared" si="0"/>
        <v>38</v>
      </c>
      <c r="D15">
        <v>30</v>
      </c>
      <c r="E15">
        <v>10</v>
      </c>
      <c r="F15">
        <v>8</v>
      </c>
      <c r="G15">
        <f t="shared" si="1"/>
        <v>12</v>
      </c>
      <c r="H15">
        <v>43</v>
      </c>
      <c r="I15">
        <v>47</v>
      </c>
      <c r="J15">
        <f t="shared" si="2"/>
        <v>-4</v>
      </c>
      <c r="L15" t="s">
        <v>391</v>
      </c>
      <c r="M15" t="s">
        <v>60</v>
      </c>
      <c r="N15" t="s">
        <v>400</v>
      </c>
    </row>
    <row r="16" spans="1:17" x14ac:dyDescent="0.3">
      <c r="A16" t="s">
        <v>40</v>
      </c>
      <c r="B16" t="s">
        <v>390</v>
      </c>
      <c r="C16" s="2">
        <f t="shared" si="0"/>
        <v>35</v>
      </c>
      <c r="D16">
        <v>30</v>
      </c>
      <c r="E16">
        <v>10</v>
      </c>
      <c r="F16">
        <v>5</v>
      </c>
      <c r="G16">
        <f t="shared" si="1"/>
        <v>15</v>
      </c>
      <c r="H16">
        <v>44</v>
      </c>
      <c r="I16">
        <v>51</v>
      </c>
      <c r="J16">
        <f t="shared" si="2"/>
        <v>-7</v>
      </c>
      <c r="L16" t="s">
        <v>390</v>
      </c>
      <c r="M16" t="s">
        <v>336</v>
      </c>
      <c r="N16" t="s">
        <v>397</v>
      </c>
    </row>
    <row r="17" spans="1:14" x14ac:dyDescent="0.3">
      <c r="A17" t="s">
        <v>42</v>
      </c>
      <c r="B17" t="s">
        <v>395</v>
      </c>
      <c r="C17" s="2">
        <f t="shared" si="0"/>
        <v>31</v>
      </c>
      <c r="D17">
        <v>30</v>
      </c>
      <c r="E17">
        <v>7</v>
      </c>
      <c r="F17">
        <v>10</v>
      </c>
      <c r="G17">
        <f t="shared" si="1"/>
        <v>13</v>
      </c>
      <c r="H17">
        <v>46</v>
      </c>
      <c r="I17">
        <v>56</v>
      </c>
      <c r="J17">
        <f t="shared" si="2"/>
        <v>-10</v>
      </c>
    </row>
    <row r="18" spans="1:14" x14ac:dyDescent="0.3">
      <c r="A18" t="s">
        <v>44</v>
      </c>
      <c r="B18" t="s">
        <v>404</v>
      </c>
      <c r="C18" s="2">
        <f t="shared" si="0"/>
        <v>28</v>
      </c>
      <c r="D18">
        <v>30</v>
      </c>
      <c r="E18">
        <v>7</v>
      </c>
      <c r="F18">
        <v>7</v>
      </c>
      <c r="G18">
        <f t="shared" si="1"/>
        <v>16</v>
      </c>
      <c r="H18">
        <v>38</v>
      </c>
      <c r="I18">
        <v>53</v>
      </c>
      <c r="J18">
        <f t="shared" si="2"/>
        <v>-15</v>
      </c>
      <c r="L18" t="s">
        <v>12</v>
      </c>
    </row>
    <row r="19" spans="1:14" x14ac:dyDescent="0.3">
      <c r="L19" t="s">
        <v>404</v>
      </c>
      <c r="M19" t="s">
        <v>62</v>
      </c>
      <c r="N19" t="s">
        <v>390</v>
      </c>
    </row>
    <row r="20" spans="1:14" x14ac:dyDescent="0.3">
      <c r="L20" t="s">
        <v>401</v>
      </c>
      <c r="M20" t="s">
        <v>56</v>
      </c>
      <c r="N20" t="s">
        <v>391</v>
      </c>
    </row>
    <row r="22" spans="1:14" x14ac:dyDescent="0.3">
      <c r="L22" t="s">
        <v>23</v>
      </c>
    </row>
    <row r="23" spans="1:14" x14ac:dyDescent="0.3">
      <c r="L23" t="s">
        <v>390</v>
      </c>
      <c r="M23" t="s">
        <v>58</v>
      </c>
      <c r="N23" t="s">
        <v>401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5ADB-845C-4D7A-9FC5-ACF316558697}">
  <dimension ref="A1:U19"/>
  <sheetViews>
    <sheetView workbookViewId="0">
      <selection activeCell="U3" sqref="U3"/>
    </sheetView>
  </sheetViews>
  <sheetFormatPr defaultRowHeight="14.4" x14ac:dyDescent="0.3"/>
  <cols>
    <col min="1" max="1" width="21.44140625" customWidth="1"/>
    <col min="2" max="2" width="21.21875" customWidth="1"/>
    <col min="12" max="12" width="21.6640625" customWidth="1"/>
    <col min="14" max="14" width="16.5546875" customWidth="1"/>
    <col min="16" max="16" width="16.109375" customWidth="1"/>
    <col min="18" max="18" width="19.77734375" customWidth="1"/>
    <col min="20" max="20" width="15.6640625" customWidth="1"/>
  </cols>
  <sheetData>
    <row r="1" spans="1:21" x14ac:dyDescent="0.3">
      <c r="A1" t="s">
        <v>408</v>
      </c>
      <c r="L1" t="s">
        <v>421</v>
      </c>
      <c r="T1" t="s">
        <v>65</v>
      </c>
    </row>
    <row r="2" spans="1:21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T2" t="s">
        <v>418</v>
      </c>
      <c r="U2">
        <v>1</v>
      </c>
    </row>
    <row r="3" spans="1:21" x14ac:dyDescent="0.3">
      <c r="A3" s="14" t="s">
        <v>13</v>
      </c>
      <c r="B3" t="s">
        <v>418</v>
      </c>
      <c r="C3" s="2">
        <f t="shared" ref="C3:C14" si="0">E3*3+F3</f>
        <v>39</v>
      </c>
      <c r="D3">
        <v>22</v>
      </c>
      <c r="E3">
        <v>12</v>
      </c>
      <c r="F3">
        <v>3</v>
      </c>
      <c r="G3">
        <f>D3-E3-F3</f>
        <v>7</v>
      </c>
      <c r="H3">
        <v>38</v>
      </c>
      <c r="I3">
        <v>31</v>
      </c>
      <c r="J3">
        <f>H3-I3</f>
        <v>7</v>
      </c>
      <c r="L3" t="s">
        <v>418</v>
      </c>
      <c r="M3" t="s">
        <v>422</v>
      </c>
      <c r="N3" t="s">
        <v>417</v>
      </c>
      <c r="T3" t="s">
        <v>419</v>
      </c>
      <c r="U3">
        <v>4</v>
      </c>
    </row>
    <row r="4" spans="1:21" x14ac:dyDescent="0.3">
      <c r="A4" t="s">
        <v>16</v>
      </c>
      <c r="B4" t="s">
        <v>412</v>
      </c>
      <c r="C4" s="2">
        <f t="shared" si="0"/>
        <v>37</v>
      </c>
      <c r="D4">
        <v>22</v>
      </c>
      <c r="E4">
        <v>11</v>
      </c>
      <c r="F4">
        <v>4</v>
      </c>
      <c r="G4">
        <f t="shared" ref="G4:G14" si="1">D4-E4-F4</f>
        <v>7</v>
      </c>
      <c r="H4">
        <v>28</v>
      </c>
      <c r="I4">
        <v>25</v>
      </c>
      <c r="J4">
        <f t="shared" ref="J4:J14" si="2">H4-I4</f>
        <v>3</v>
      </c>
      <c r="L4" t="s">
        <v>420</v>
      </c>
      <c r="M4" t="s">
        <v>55</v>
      </c>
      <c r="N4" t="s">
        <v>416</v>
      </c>
    </row>
    <row r="5" spans="1:21" x14ac:dyDescent="0.3">
      <c r="A5" s="16" t="s">
        <v>19</v>
      </c>
      <c r="B5" t="s">
        <v>419</v>
      </c>
      <c r="C5" s="2">
        <f t="shared" si="0"/>
        <v>34</v>
      </c>
      <c r="D5">
        <v>22</v>
      </c>
      <c r="E5">
        <v>10</v>
      </c>
      <c r="F5">
        <v>4</v>
      </c>
      <c r="G5">
        <f t="shared" si="1"/>
        <v>8</v>
      </c>
      <c r="H5">
        <v>30</v>
      </c>
      <c r="I5">
        <v>28</v>
      </c>
      <c r="J5">
        <f t="shared" si="2"/>
        <v>2</v>
      </c>
      <c r="L5" t="s">
        <v>413</v>
      </c>
      <c r="M5" t="s">
        <v>350</v>
      </c>
      <c r="N5" t="s">
        <v>415</v>
      </c>
    </row>
    <row r="6" spans="1:21" x14ac:dyDescent="0.3">
      <c r="A6" t="s">
        <v>21</v>
      </c>
      <c r="B6" t="s">
        <v>411</v>
      </c>
      <c r="C6" s="2">
        <f t="shared" si="0"/>
        <v>34</v>
      </c>
      <c r="D6">
        <v>22</v>
      </c>
      <c r="E6">
        <v>10</v>
      </c>
      <c r="F6">
        <v>4</v>
      </c>
      <c r="G6">
        <f t="shared" si="1"/>
        <v>8</v>
      </c>
      <c r="H6">
        <v>39</v>
      </c>
      <c r="I6">
        <v>34</v>
      </c>
      <c r="J6">
        <f t="shared" si="2"/>
        <v>5</v>
      </c>
      <c r="L6" t="s">
        <v>412</v>
      </c>
      <c r="M6" t="s">
        <v>56</v>
      </c>
      <c r="N6" t="s">
        <v>414</v>
      </c>
    </row>
    <row r="7" spans="1:21" x14ac:dyDescent="0.3">
      <c r="A7" t="s">
        <v>24</v>
      </c>
      <c r="B7" t="s">
        <v>417</v>
      </c>
      <c r="C7" s="2">
        <f t="shared" si="0"/>
        <v>34</v>
      </c>
      <c r="D7">
        <v>22</v>
      </c>
      <c r="E7">
        <v>10</v>
      </c>
      <c r="F7">
        <v>4</v>
      </c>
      <c r="G7">
        <f t="shared" si="1"/>
        <v>8</v>
      </c>
      <c r="H7">
        <v>34</v>
      </c>
      <c r="I7">
        <v>22</v>
      </c>
      <c r="J7">
        <f t="shared" si="2"/>
        <v>12</v>
      </c>
    </row>
    <row r="8" spans="1:21" x14ac:dyDescent="0.3">
      <c r="A8" t="s">
        <v>25</v>
      </c>
      <c r="B8" t="s">
        <v>414</v>
      </c>
      <c r="C8" s="2">
        <f t="shared" si="0"/>
        <v>32</v>
      </c>
      <c r="D8">
        <v>22</v>
      </c>
      <c r="E8">
        <v>10</v>
      </c>
      <c r="F8">
        <v>2</v>
      </c>
      <c r="G8">
        <f t="shared" si="1"/>
        <v>10</v>
      </c>
      <c r="H8">
        <v>33</v>
      </c>
      <c r="I8">
        <v>30</v>
      </c>
      <c r="J8">
        <f t="shared" si="2"/>
        <v>3</v>
      </c>
      <c r="L8" t="s">
        <v>53</v>
      </c>
    </row>
    <row r="9" spans="1:21" x14ac:dyDescent="0.3">
      <c r="A9" t="s">
        <v>27</v>
      </c>
      <c r="B9" t="s">
        <v>416</v>
      </c>
      <c r="C9" s="2">
        <f t="shared" si="0"/>
        <v>30</v>
      </c>
      <c r="D9">
        <v>22</v>
      </c>
      <c r="E9">
        <v>8</v>
      </c>
      <c r="F9">
        <v>6</v>
      </c>
      <c r="G9">
        <f t="shared" si="1"/>
        <v>8</v>
      </c>
      <c r="H9">
        <v>27</v>
      </c>
      <c r="I9">
        <v>30</v>
      </c>
      <c r="J9">
        <f t="shared" si="2"/>
        <v>-3</v>
      </c>
      <c r="L9" t="s">
        <v>411</v>
      </c>
      <c r="M9" t="s">
        <v>99</v>
      </c>
      <c r="N9" t="s">
        <v>419</v>
      </c>
      <c r="P9" t="s">
        <v>419</v>
      </c>
      <c r="Q9" t="s">
        <v>60</v>
      </c>
      <c r="R9" t="s">
        <v>411</v>
      </c>
    </row>
    <row r="10" spans="1:21" x14ac:dyDescent="0.3">
      <c r="A10" t="s">
        <v>29</v>
      </c>
      <c r="B10" t="s">
        <v>410</v>
      </c>
      <c r="C10" s="2">
        <f t="shared" si="0"/>
        <v>29</v>
      </c>
      <c r="D10">
        <v>22</v>
      </c>
      <c r="E10">
        <v>9</v>
      </c>
      <c r="F10">
        <v>2</v>
      </c>
      <c r="G10">
        <f t="shared" si="1"/>
        <v>11</v>
      </c>
      <c r="H10">
        <v>28</v>
      </c>
      <c r="I10">
        <v>36</v>
      </c>
      <c r="J10">
        <f t="shared" si="2"/>
        <v>-8</v>
      </c>
      <c r="L10" t="s">
        <v>410</v>
      </c>
      <c r="M10" t="s">
        <v>423</v>
      </c>
      <c r="N10" t="s">
        <v>415</v>
      </c>
      <c r="P10" t="s">
        <v>415</v>
      </c>
      <c r="Q10" t="s">
        <v>52</v>
      </c>
      <c r="R10" t="s">
        <v>410</v>
      </c>
    </row>
    <row r="11" spans="1:21" x14ac:dyDescent="0.3">
      <c r="A11" t="s">
        <v>31</v>
      </c>
      <c r="B11" t="s">
        <v>415</v>
      </c>
      <c r="C11" s="2">
        <f t="shared" si="0"/>
        <v>28</v>
      </c>
      <c r="D11">
        <v>22</v>
      </c>
      <c r="E11">
        <v>8</v>
      </c>
      <c r="F11">
        <v>4</v>
      </c>
      <c r="G11">
        <f t="shared" si="1"/>
        <v>10</v>
      </c>
      <c r="H11">
        <v>28</v>
      </c>
      <c r="I11">
        <v>33</v>
      </c>
      <c r="J11">
        <f t="shared" si="2"/>
        <v>-5</v>
      </c>
      <c r="L11" t="s">
        <v>412</v>
      </c>
      <c r="M11" t="s">
        <v>84</v>
      </c>
      <c r="N11" t="s">
        <v>420</v>
      </c>
      <c r="P11" t="s">
        <v>420</v>
      </c>
      <c r="Q11" t="s">
        <v>424</v>
      </c>
      <c r="R11" t="s">
        <v>412</v>
      </c>
    </row>
    <row r="12" spans="1:21" x14ac:dyDescent="0.3">
      <c r="A12" t="s">
        <v>33</v>
      </c>
      <c r="B12" t="s">
        <v>413</v>
      </c>
      <c r="C12" s="2">
        <f t="shared" si="0"/>
        <v>28</v>
      </c>
      <c r="D12">
        <v>22</v>
      </c>
      <c r="E12">
        <v>8</v>
      </c>
      <c r="F12">
        <v>4</v>
      </c>
      <c r="G12">
        <f t="shared" si="1"/>
        <v>10</v>
      </c>
      <c r="H12">
        <v>31</v>
      </c>
      <c r="I12">
        <v>37</v>
      </c>
      <c r="J12">
        <f t="shared" si="2"/>
        <v>-6</v>
      </c>
      <c r="L12" t="s">
        <v>409</v>
      </c>
      <c r="M12" t="s">
        <v>55</v>
      </c>
      <c r="N12" t="s">
        <v>418</v>
      </c>
      <c r="P12" t="s">
        <v>418</v>
      </c>
      <c r="Q12" t="s">
        <v>58</v>
      </c>
      <c r="R12" t="s">
        <v>409</v>
      </c>
    </row>
    <row r="13" spans="1:21" x14ac:dyDescent="0.3">
      <c r="A13" t="s">
        <v>35</v>
      </c>
      <c r="B13" t="s">
        <v>409</v>
      </c>
      <c r="C13" s="2">
        <f t="shared" si="0"/>
        <v>26</v>
      </c>
      <c r="D13">
        <v>22</v>
      </c>
      <c r="E13">
        <v>8</v>
      </c>
      <c r="F13">
        <v>2</v>
      </c>
      <c r="G13">
        <f t="shared" si="1"/>
        <v>12</v>
      </c>
      <c r="H13">
        <v>35</v>
      </c>
      <c r="I13">
        <v>37</v>
      </c>
      <c r="J13">
        <f t="shared" si="2"/>
        <v>-2</v>
      </c>
    </row>
    <row r="14" spans="1:21" x14ac:dyDescent="0.3">
      <c r="A14" t="s">
        <v>36</v>
      </c>
      <c r="B14" t="s">
        <v>420</v>
      </c>
      <c r="C14" s="2">
        <f t="shared" si="0"/>
        <v>24</v>
      </c>
      <c r="D14">
        <v>22</v>
      </c>
      <c r="E14">
        <v>7</v>
      </c>
      <c r="F14">
        <v>3</v>
      </c>
      <c r="G14">
        <f t="shared" si="1"/>
        <v>12</v>
      </c>
      <c r="H14">
        <v>31</v>
      </c>
      <c r="I14">
        <v>39</v>
      </c>
      <c r="J14">
        <f t="shared" si="2"/>
        <v>-8</v>
      </c>
      <c r="L14" t="s">
        <v>12</v>
      </c>
    </row>
    <row r="15" spans="1:21" x14ac:dyDescent="0.3">
      <c r="C15" s="2"/>
      <c r="L15" t="s">
        <v>415</v>
      </c>
      <c r="M15" t="s">
        <v>63</v>
      </c>
      <c r="N15" t="s">
        <v>419</v>
      </c>
      <c r="P15" t="s">
        <v>419</v>
      </c>
      <c r="Q15" t="s">
        <v>425</v>
      </c>
      <c r="R15" t="s">
        <v>415</v>
      </c>
    </row>
    <row r="16" spans="1:21" x14ac:dyDescent="0.3">
      <c r="C16" s="2"/>
      <c r="L16" t="s">
        <v>409</v>
      </c>
      <c r="M16" t="s">
        <v>52</v>
      </c>
      <c r="N16" t="s">
        <v>420</v>
      </c>
      <c r="P16" t="s">
        <v>420</v>
      </c>
      <c r="Q16" t="s">
        <v>334</v>
      </c>
      <c r="R16" t="s">
        <v>409</v>
      </c>
    </row>
    <row r="17" spans="3:14" x14ac:dyDescent="0.3">
      <c r="C17" s="2"/>
    </row>
    <row r="18" spans="3:14" x14ac:dyDescent="0.3">
      <c r="C18" s="2"/>
      <c r="L18" t="s">
        <v>23</v>
      </c>
    </row>
    <row r="19" spans="3:14" x14ac:dyDescent="0.3">
      <c r="L19" t="s">
        <v>419</v>
      </c>
      <c r="M19" t="s">
        <v>52</v>
      </c>
      <c r="N19" t="s">
        <v>420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CB64-C26B-44E5-8795-2FBB8AD0F52E}">
  <dimension ref="A1:X42"/>
  <sheetViews>
    <sheetView topLeftCell="I1" workbookViewId="0">
      <selection activeCell="E22" sqref="E22"/>
    </sheetView>
  </sheetViews>
  <sheetFormatPr defaultRowHeight="14.4" x14ac:dyDescent="0.3"/>
  <cols>
    <col min="1" max="1" width="21.33203125" customWidth="1"/>
    <col min="2" max="2" width="19.33203125" customWidth="1"/>
    <col min="12" max="12" width="19.21875" customWidth="1"/>
    <col min="13" max="13" width="18.21875" customWidth="1"/>
    <col min="14" max="14" width="17.44140625" customWidth="1"/>
    <col min="23" max="23" width="15.21875" customWidth="1"/>
  </cols>
  <sheetData>
    <row r="1" spans="1:24" x14ac:dyDescent="0.3">
      <c r="A1" t="s">
        <v>426</v>
      </c>
      <c r="L1" t="s">
        <v>443</v>
      </c>
      <c r="W1" t="s">
        <v>65</v>
      </c>
    </row>
    <row r="2" spans="1:24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388</v>
      </c>
      <c r="W2" t="s">
        <v>433</v>
      </c>
      <c r="X2">
        <v>1</v>
      </c>
    </row>
    <row r="3" spans="1:24" x14ac:dyDescent="0.3">
      <c r="A3" s="1" t="s">
        <v>13</v>
      </c>
      <c r="B3" t="s">
        <v>433</v>
      </c>
      <c r="C3" s="2">
        <f t="shared" ref="C3:C18" si="0">E3*3+F3</f>
        <v>52</v>
      </c>
      <c r="D3">
        <v>30</v>
      </c>
      <c r="E3">
        <v>15</v>
      </c>
      <c r="F3">
        <v>7</v>
      </c>
      <c r="G3">
        <f t="shared" ref="G3:G18" si="1">D3-E3-F3</f>
        <v>8</v>
      </c>
      <c r="H3">
        <v>39</v>
      </c>
      <c r="I3">
        <v>25</v>
      </c>
      <c r="J3">
        <f t="shared" ref="J3:J18" si="2">H3-I3</f>
        <v>14</v>
      </c>
      <c r="L3" t="s">
        <v>219</v>
      </c>
      <c r="W3" t="s">
        <v>428</v>
      </c>
      <c r="X3">
        <v>1</v>
      </c>
    </row>
    <row r="4" spans="1:24" x14ac:dyDescent="0.3">
      <c r="A4" s="4" t="s">
        <v>16</v>
      </c>
      <c r="B4" t="s">
        <v>441</v>
      </c>
      <c r="C4" s="2">
        <f t="shared" si="0"/>
        <v>48</v>
      </c>
      <c r="D4">
        <v>30</v>
      </c>
      <c r="E4">
        <v>13</v>
      </c>
      <c r="F4">
        <v>9</v>
      </c>
      <c r="G4">
        <f t="shared" si="1"/>
        <v>8</v>
      </c>
      <c r="H4">
        <v>50</v>
      </c>
      <c r="I4">
        <v>44</v>
      </c>
      <c r="J4">
        <f t="shared" si="2"/>
        <v>6</v>
      </c>
      <c r="L4" t="s">
        <v>2</v>
      </c>
      <c r="M4" t="s">
        <v>3</v>
      </c>
      <c r="N4" t="s">
        <v>4</v>
      </c>
      <c r="O4" t="s">
        <v>5</v>
      </c>
      <c r="P4" t="s">
        <v>6</v>
      </c>
      <c r="Q4" t="s">
        <v>7</v>
      </c>
      <c r="R4" t="s">
        <v>8</v>
      </c>
      <c r="S4" t="s">
        <v>9</v>
      </c>
      <c r="T4" t="s">
        <v>10</v>
      </c>
      <c r="U4" t="s">
        <v>11</v>
      </c>
    </row>
    <row r="5" spans="1:24" x14ac:dyDescent="0.3">
      <c r="A5" t="s">
        <v>19</v>
      </c>
      <c r="B5" t="s">
        <v>442</v>
      </c>
      <c r="C5" s="2">
        <f t="shared" si="0"/>
        <v>47</v>
      </c>
      <c r="D5">
        <v>30</v>
      </c>
      <c r="E5">
        <v>13</v>
      </c>
      <c r="F5">
        <v>8</v>
      </c>
      <c r="G5">
        <f t="shared" si="1"/>
        <v>9</v>
      </c>
      <c r="H5">
        <v>41</v>
      </c>
      <c r="I5">
        <v>37</v>
      </c>
      <c r="J5">
        <f t="shared" si="2"/>
        <v>4</v>
      </c>
      <c r="L5" s="17" t="s">
        <v>13</v>
      </c>
      <c r="M5" t="s">
        <v>429</v>
      </c>
      <c r="N5" s="2">
        <f t="shared" ref="N5:N8" si="3">P5*3+Q5</f>
        <v>9</v>
      </c>
      <c r="O5">
        <v>3</v>
      </c>
      <c r="P5">
        <v>3</v>
      </c>
      <c r="Q5">
        <v>0</v>
      </c>
      <c r="R5">
        <f t="shared" ref="R5:R8" si="4">O5-P5-Q5</f>
        <v>0</v>
      </c>
      <c r="S5">
        <v>4</v>
      </c>
      <c r="T5">
        <v>1</v>
      </c>
      <c r="U5">
        <f t="shared" ref="U5:U8" si="5">S5-T5</f>
        <v>3</v>
      </c>
    </row>
    <row r="6" spans="1:24" x14ac:dyDescent="0.3">
      <c r="A6" t="s">
        <v>21</v>
      </c>
      <c r="B6" t="s">
        <v>438</v>
      </c>
      <c r="C6" s="2">
        <f t="shared" si="0"/>
        <v>46</v>
      </c>
      <c r="D6">
        <v>30</v>
      </c>
      <c r="E6">
        <v>13</v>
      </c>
      <c r="F6">
        <v>7</v>
      </c>
      <c r="G6">
        <f t="shared" si="1"/>
        <v>10</v>
      </c>
      <c r="H6">
        <v>52</v>
      </c>
      <c r="I6">
        <v>48</v>
      </c>
      <c r="J6">
        <f t="shared" si="2"/>
        <v>4</v>
      </c>
      <c r="L6" s="17" t="s">
        <v>16</v>
      </c>
      <c r="M6" t="s">
        <v>433</v>
      </c>
      <c r="N6" s="2">
        <f t="shared" si="3"/>
        <v>6</v>
      </c>
      <c r="O6">
        <v>3</v>
      </c>
      <c r="P6">
        <v>2</v>
      </c>
      <c r="Q6">
        <v>0</v>
      </c>
      <c r="R6">
        <f t="shared" si="4"/>
        <v>1</v>
      </c>
      <c r="S6">
        <v>4</v>
      </c>
      <c r="T6">
        <v>3</v>
      </c>
      <c r="U6">
        <f t="shared" si="5"/>
        <v>1</v>
      </c>
    </row>
    <row r="7" spans="1:24" x14ac:dyDescent="0.3">
      <c r="A7" t="s">
        <v>24</v>
      </c>
      <c r="B7" t="s">
        <v>427</v>
      </c>
      <c r="C7" s="2">
        <f t="shared" si="0"/>
        <v>45</v>
      </c>
      <c r="D7">
        <v>30</v>
      </c>
      <c r="E7">
        <v>12</v>
      </c>
      <c r="F7">
        <v>9</v>
      </c>
      <c r="G7">
        <f t="shared" si="1"/>
        <v>9</v>
      </c>
      <c r="H7">
        <v>38</v>
      </c>
      <c r="I7">
        <v>32</v>
      </c>
      <c r="J7">
        <f t="shared" si="2"/>
        <v>6</v>
      </c>
      <c r="L7" t="s">
        <v>19</v>
      </c>
      <c r="M7" t="s">
        <v>441</v>
      </c>
      <c r="N7" s="2">
        <f t="shared" si="3"/>
        <v>3</v>
      </c>
      <c r="O7">
        <v>3</v>
      </c>
      <c r="P7">
        <v>1</v>
      </c>
      <c r="Q7">
        <v>0</v>
      </c>
      <c r="R7">
        <f t="shared" si="4"/>
        <v>2</v>
      </c>
      <c r="S7">
        <v>3</v>
      </c>
      <c r="T7">
        <v>4</v>
      </c>
      <c r="U7">
        <f t="shared" si="5"/>
        <v>-1</v>
      </c>
    </row>
    <row r="8" spans="1:24" x14ac:dyDescent="0.3">
      <c r="A8" t="s">
        <v>25</v>
      </c>
      <c r="B8" t="s">
        <v>430</v>
      </c>
      <c r="C8" s="2">
        <f t="shared" si="0"/>
        <v>45</v>
      </c>
      <c r="D8">
        <v>30</v>
      </c>
      <c r="E8">
        <v>13</v>
      </c>
      <c r="F8">
        <v>6</v>
      </c>
      <c r="G8">
        <f t="shared" si="1"/>
        <v>11</v>
      </c>
      <c r="H8">
        <v>46</v>
      </c>
      <c r="I8">
        <v>42</v>
      </c>
      <c r="J8">
        <f t="shared" si="2"/>
        <v>4</v>
      </c>
      <c r="L8" t="s">
        <v>21</v>
      </c>
      <c r="M8" t="s">
        <v>435</v>
      </c>
      <c r="N8" s="2">
        <f t="shared" si="3"/>
        <v>0</v>
      </c>
      <c r="O8">
        <v>3</v>
      </c>
      <c r="P8">
        <v>0</v>
      </c>
      <c r="Q8">
        <v>0</v>
      </c>
      <c r="R8">
        <f t="shared" si="4"/>
        <v>3</v>
      </c>
      <c r="S8">
        <v>3</v>
      </c>
      <c r="T8">
        <v>6</v>
      </c>
      <c r="U8">
        <f t="shared" si="5"/>
        <v>-3</v>
      </c>
    </row>
    <row r="9" spans="1:24" x14ac:dyDescent="0.3">
      <c r="A9" t="s">
        <v>27</v>
      </c>
      <c r="B9" t="s">
        <v>437</v>
      </c>
      <c r="C9" s="2">
        <f t="shared" si="0"/>
        <v>45</v>
      </c>
      <c r="D9">
        <v>30</v>
      </c>
      <c r="E9">
        <v>14</v>
      </c>
      <c r="F9">
        <v>3</v>
      </c>
      <c r="G9">
        <f t="shared" si="1"/>
        <v>13</v>
      </c>
      <c r="H9">
        <v>38</v>
      </c>
      <c r="I9">
        <v>33</v>
      </c>
      <c r="J9">
        <f t="shared" si="2"/>
        <v>5</v>
      </c>
    </row>
    <row r="10" spans="1:24" x14ac:dyDescent="0.3">
      <c r="A10" t="s">
        <v>29</v>
      </c>
      <c r="B10" t="s">
        <v>434</v>
      </c>
      <c r="C10" s="2">
        <f t="shared" si="0"/>
        <v>44</v>
      </c>
      <c r="D10">
        <v>30</v>
      </c>
      <c r="E10">
        <v>11</v>
      </c>
      <c r="F10">
        <v>11</v>
      </c>
      <c r="G10">
        <f t="shared" si="1"/>
        <v>8</v>
      </c>
      <c r="H10">
        <v>44</v>
      </c>
      <c r="I10">
        <v>39</v>
      </c>
      <c r="J10">
        <f t="shared" si="2"/>
        <v>5</v>
      </c>
      <c r="L10" t="s">
        <v>220</v>
      </c>
    </row>
    <row r="11" spans="1:24" x14ac:dyDescent="0.3">
      <c r="A11" t="s">
        <v>31</v>
      </c>
      <c r="B11" t="s">
        <v>432</v>
      </c>
      <c r="C11" s="2">
        <f t="shared" si="0"/>
        <v>44</v>
      </c>
      <c r="D11">
        <v>30</v>
      </c>
      <c r="E11">
        <v>12</v>
      </c>
      <c r="F11">
        <v>8</v>
      </c>
      <c r="G11">
        <f t="shared" si="1"/>
        <v>10</v>
      </c>
      <c r="H11">
        <v>41</v>
      </c>
      <c r="I11">
        <v>41</v>
      </c>
      <c r="J11">
        <f t="shared" si="2"/>
        <v>0</v>
      </c>
      <c r="L11" t="s">
        <v>2</v>
      </c>
      <c r="M11" t="s">
        <v>3</v>
      </c>
      <c r="N11" t="s">
        <v>4</v>
      </c>
      <c r="O11" t="s">
        <v>5</v>
      </c>
      <c r="P11" t="s">
        <v>6</v>
      </c>
      <c r="Q11" t="s">
        <v>7</v>
      </c>
      <c r="R11" t="s">
        <v>8</v>
      </c>
      <c r="S11" t="s">
        <v>9</v>
      </c>
      <c r="T11" t="s">
        <v>10</v>
      </c>
      <c r="U11" t="s">
        <v>11</v>
      </c>
    </row>
    <row r="12" spans="1:24" x14ac:dyDescent="0.3">
      <c r="A12" t="s">
        <v>33</v>
      </c>
      <c r="B12" t="s">
        <v>435</v>
      </c>
      <c r="C12" s="2">
        <f t="shared" si="0"/>
        <v>43</v>
      </c>
      <c r="D12">
        <v>30</v>
      </c>
      <c r="E12">
        <v>12</v>
      </c>
      <c r="F12">
        <v>7</v>
      </c>
      <c r="G12">
        <f t="shared" si="1"/>
        <v>11</v>
      </c>
      <c r="H12">
        <v>39</v>
      </c>
      <c r="I12">
        <v>35</v>
      </c>
      <c r="J12">
        <f t="shared" si="2"/>
        <v>4</v>
      </c>
      <c r="L12" s="17" t="s">
        <v>13</v>
      </c>
      <c r="M12" t="s">
        <v>428</v>
      </c>
      <c r="N12" s="2">
        <f t="shared" ref="N12:N15" si="6">P12*3+Q12</f>
        <v>9</v>
      </c>
      <c r="O12">
        <v>3</v>
      </c>
      <c r="P12">
        <v>3</v>
      </c>
      <c r="Q12">
        <v>0</v>
      </c>
      <c r="R12">
        <f t="shared" ref="R12:R15" si="7">O12-P12-Q12</f>
        <v>0</v>
      </c>
      <c r="S12">
        <v>5</v>
      </c>
      <c r="T12">
        <v>2</v>
      </c>
      <c r="U12">
        <f t="shared" ref="U12:U15" si="8">S12-T12</f>
        <v>3</v>
      </c>
    </row>
    <row r="13" spans="1:24" x14ac:dyDescent="0.3">
      <c r="A13" s="5" t="s">
        <v>35</v>
      </c>
      <c r="B13" t="s">
        <v>440</v>
      </c>
      <c r="C13" s="2">
        <f t="shared" si="0"/>
        <v>41</v>
      </c>
      <c r="D13">
        <v>30</v>
      </c>
      <c r="E13">
        <v>12</v>
      </c>
      <c r="F13">
        <v>5</v>
      </c>
      <c r="G13">
        <f t="shared" si="1"/>
        <v>13</v>
      </c>
      <c r="H13">
        <v>38</v>
      </c>
      <c r="I13">
        <v>36</v>
      </c>
      <c r="J13">
        <f t="shared" si="2"/>
        <v>2</v>
      </c>
      <c r="L13" s="17" t="s">
        <v>16</v>
      </c>
      <c r="M13" t="s">
        <v>434</v>
      </c>
      <c r="N13" s="2">
        <f t="shared" si="6"/>
        <v>6</v>
      </c>
      <c r="O13">
        <v>3</v>
      </c>
      <c r="P13">
        <v>2</v>
      </c>
      <c r="Q13">
        <v>0</v>
      </c>
      <c r="R13">
        <f t="shared" si="7"/>
        <v>1</v>
      </c>
      <c r="S13">
        <v>5</v>
      </c>
      <c r="T13">
        <v>3</v>
      </c>
      <c r="U13">
        <f t="shared" si="8"/>
        <v>2</v>
      </c>
    </row>
    <row r="14" spans="1:24" x14ac:dyDescent="0.3">
      <c r="A14" t="s">
        <v>36</v>
      </c>
      <c r="B14" t="s">
        <v>436</v>
      </c>
      <c r="C14" s="2">
        <f t="shared" si="0"/>
        <v>41</v>
      </c>
      <c r="D14">
        <v>30</v>
      </c>
      <c r="E14">
        <v>11</v>
      </c>
      <c r="F14">
        <v>8</v>
      </c>
      <c r="G14">
        <f t="shared" si="1"/>
        <v>11</v>
      </c>
      <c r="H14">
        <v>40</v>
      </c>
      <c r="I14">
        <v>48</v>
      </c>
      <c r="J14">
        <f t="shared" si="2"/>
        <v>-8</v>
      </c>
      <c r="L14" t="s">
        <v>19</v>
      </c>
      <c r="M14" t="s">
        <v>436</v>
      </c>
      <c r="N14" s="2">
        <f t="shared" si="6"/>
        <v>3</v>
      </c>
      <c r="O14">
        <v>3</v>
      </c>
      <c r="P14">
        <v>1</v>
      </c>
      <c r="Q14">
        <v>0</v>
      </c>
      <c r="R14">
        <f t="shared" si="7"/>
        <v>2</v>
      </c>
      <c r="S14">
        <v>1</v>
      </c>
      <c r="T14">
        <v>2</v>
      </c>
      <c r="U14">
        <f t="shared" si="8"/>
        <v>-1</v>
      </c>
    </row>
    <row r="15" spans="1:24" x14ac:dyDescent="0.3">
      <c r="A15" t="s">
        <v>38</v>
      </c>
      <c r="B15" t="s">
        <v>431</v>
      </c>
      <c r="C15" s="2">
        <f t="shared" si="0"/>
        <v>34</v>
      </c>
      <c r="D15">
        <v>30</v>
      </c>
      <c r="E15">
        <v>9</v>
      </c>
      <c r="F15">
        <v>7</v>
      </c>
      <c r="G15">
        <f t="shared" si="1"/>
        <v>14</v>
      </c>
      <c r="H15">
        <v>44</v>
      </c>
      <c r="I15">
        <v>49</v>
      </c>
      <c r="J15">
        <f t="shared" si="2"/>
        <v>-5</v>
      </c>
      <c r="L15" t="s">
        <v>21</v>
      </c>
      <c r="M15" t="s">
        <v>439</v>
      </c>
      <c r="N15" s="2">
        <f t="shared" si="6"/>
        <v>0</v>
      </c>
      <c r="O15">
        <v>3</v>
      </c>
      <c r="P15">
        <v>0</v>
      </c>
      <c r="Q15">
        <v>0</v>
      </c>
      <c r="R15">
        <f t="shared" si="7"/>
        <v>3</v>
      </c>
      <c r="S15">
        <v>2</v>
      </c>
      <c r="T15">
        <v>6</v>
      </c>
      <c r="U15">
        <f t="shared" si="8"/>
        <v>-4</v>
      </c>
    </row>
    <row r="16" spans="1:24" x14ac:dyDescent="0.3">
      <c r="A16" t="s">
        <v>40</v>
      </c>
      <c r="B16" t="s">
        <v>429</v>
      </c>
      <c r="C16" s="2">
        <f t="shared" si="0"/>
        <v>33</v>
      </c>
      <c r="D16">
        <v>30</v>
      </c>
      <c r="E16">
        <v>8</v>
      </c>
      <c r="F16">
        <v>9</v>
      </c>
      <c r="G16">
        <f t="shared" si="1"/>
        <v>13</v>
      </c>
      <c r="H16">
        <v>38</v>
      </c>
      <c r="I16">
        <v>45</v>
      </c>
      <c r="J16">
        <f t="shared" si="2"/>
        <v>-7</v>
      </c>
    </row>
    <row r="17" spans="1:21" x14ac:dyDescent="0.3">
      <c r="A17" t="s">
        <v>42</v>
      </c>
      <c r="B17" t="s">
        <v>439</v>
      </c>
      <c r="C17" s="2">
        <f t="shared" si="0"/>
        <v>33</v>
      </c>
      <c r="D17">
        <v>30</v>
      </c>
      <c r="E17">
        <v>9</v>
      </c>
      <c r="F17">
        <v>6</v>
      </c>
      <c r="G17">
        <f t="shared" si="1"/>
        <v>15</v>
      </c>
      <c r="H17">
        <v>35</v>
      </c>
      <c r="I17">
        <v>42</v>
      </c>
      <c r="J17">
        <f t="shared" si="2"/>
        <v>-7</v>
      </c>
      <c r="L17" t="s">
        <v>444</v>
      </c>
    </row>
    <row r="18" spans="1:21" x14ac:dyDescent="0.3">
      <c r="A18" s="3" t="s">
        <v>44</v>
      </c>
      <c r="B18" t="s">
        <v>428</v>
      </c>
      <c r="C18" s="2">
        <f t="shared" si="0"/>
        <v>21</v>
      </c>
      <c r="D18">
        <v>30</v>
      </c>
      <c r="E18">
        <v>5</v>
      </c>
      <c r="F18">
        <v>6</v>
      </c>
      <c r="G18">
        <f t="shared" si="1"/>
        <v>19</v>
      </c>
      <c r="H18">
        <v>31</v>
      </c>
      <c r="I18">
        <v>58</v>
      </c>
      <c r="J18">
        <f t="shared" si="2"/>
        <v>-27</v>
      </c>
      <c r="L18" t="s">
        <v>2</v>
      </c>
      <c r="M18" t="s">
        <v>3</v>
      </c>
      <c r="N18" t="s">
        <v>4</v>
      </c>
      <c r="O18" t="s">
        <v>5</v>
      </c>
      <c r="P18" t="s">
        <v>6</v>
      </c>
      <c r="Q18" t="s">
        <v>7</v>
      </c>
      <c r="R18" t="s">
        <v>8</v>
      </c>
      <c r="S18" t="s">
        <v>9</v>
      </c>
      <c r="T18" t="s">
        <v>10</v>
      </c>
      <c r="U18" t="s">
        <v>11</v>
      </c>
    </row>
    <row r="19" spans="1:21" x14ac:dyDescent="0.3">
      <c r="L19" s="17" t="s">
        <v>13</v>
      </c>
      <c r="M19" t="s">
        <v>431</v>
      </c>
      <c r="N19" s="2">
        <f t="shared" ref="N19:N22" si="9">P19*3+Q19</f>
        <v>9</v>
      </c>
      <c r="O19">
        <v>3</v>
      </c>
      <c r="P19">
        <v>3</v>
      </c>
      <c r="Q19">
        <v>0</v>
      </c>
      <c r="R19">
        <f t="shared" ref="R19:R22" si="10">O19-P19-Q19</f>
        <v>0</v>
      </c>
      <c r="S19">
        <v>4</v>
      </c>
      <c r="T19">
        <v>0</v>
      </c>
      <c r="U19">
        <f t="shared" ref="U19:U22" si="11">S19-T19</f>
        <v>4</v>
      </c>
    </row>
    <row r="20" spans="1:21" x14ac:dyDescent="0.3">
      <c r="L20" s="17" t="s">
        <v>16</v>
      </c>
      <c r="M20" t="s">
        <v>430</v>
      </c>
      <c r="N20" s="2">
        <f t="shared" si="9"/>
        <v>6</v>
      </c>
      <c r="O20">
        <v>3</v>
      </c>
      <c r="P20">
        <v>2</v>
      </c>
      <c r="Q20">
        <v>0</v>
      </c>
      <c r="R20">
        <f t="shared" si="10"/>
        <v>1</v>
      </c>
      <c r="S20">
        <v>3</v>
      </c>
      <c r="T20">
        <v>2</v>
      </c>
      <c r="U20">
        <f t="shared" si="11"/>
        <v>1</v>
      </c>
    </row>
    <row r="21" spans="1:21" x14ac:dyDescent="0.3">
      <c r="L21" t="s">
        <v>19</v>
      </c>
      <c r="M21" t="s">
        <v>440</v>
      </c>
      <c r="N21" s="2">
        <f t="shared" si="9"/>
        <v>3</v>
      </c>
      <c r="O21">
        <v>3</v>
      </c>
      <c r="P21">
        <v>1</v>
      </c>
      <c r="Q21">
        <v>0</v>
      </c>
      <c r="R21">
        <f t="shared" si="10"/>
        <v>2</v>
      </c>
      <c r="S21">
        <v>4</v>
      </c>
      <c r="T21">
        <v>4</v>
      </c>
      <c r="U21">
        <f t="shared" si="11"/>
        <v>0</v>
      </c>
    </row>
    <row r="22" spans="1:21" x14ac:dyDescent="0.3">
      <c r="L22" t="s">
        <v>21</v>
      </c>
      <c r="M22" t="s">
        <v>438</v>
      </c>
      <c r="N22" s="2">
        <f t="shared" si="9"/>
        <v>0</v>
      </c>
      <c r="O22">
        <v>3</v>
      </c>
      <c r="P22">
        <v>0</v>
      </c>
      <c r="Q22">
        <v>0</v>
      </c>
      <c r="R22">
        <f t="shared" si="10"/>
        <v>3</v>
      </c>
      <c r="S22">
        <v>0</v>
      </c>
      <c r="T22">
        <v>5</v>
      </c>
      <c r="U22">
        <f t="shared" si="11"/>
        <v>-5</v>
      </c>
    </row>
    <row r="24" spans="1:21" x14ac:dyDescent="0.3">
      <c r="L24" t="s">
        <v>445</v>
      </c>
    </row>
    <row r="25" spans="1:21" x14ac:dyDescent="0.3">
      <c r="L25" t="s">
        <v>2</v>
      </c>
      <c r="M25" t="s">
        <v>3</v>
      </c>
      <c r="N25" t="s">
        <v>4</v>
      </c>
      <c r="O25" t="s">
        <v>5</v>
      </c>
      <c r="P25" t="s">
        <v>6</v>
      </c>
      <c r="Q25" t="s">
        <v>7</v>
      </c>
      <c r="R25" t="s">
        <v>8</v>
      </c>
      <c r="S25" t="s">
        <v>9</v>
      </c>
      <c r="T25" t="s">
        <v>10</v>
      </c>
      <c r="U25" t="s">
        <v>11</v>
      </c>
    </row>
    <row r="26" spans="1:21" x14ac:dyDescent="0.3">
      <c r="L26" s="17" t="s">
        <v>13</v>
      </c>
      <c r="M26" t="s">
        <v>437</v>
      </c>
      <c r="N26" s="2">
        <f t="shared" ref="N26:N29" si="12">P26*3+Q26</f>
        <v>7</v>
      </c>
      <c r="O26">
        <v>3</v>
      </c>
      <c r="P26">
        <v>2</v>
      </c>
      <c r="Q26">
        <v>1</v>
      </c>
      <c r="R26">
        <f t="shared" ref="R26:R29" si="13">O26-P26-Q26</f>
        <v>0</v>
      </c>
      <c r="S26">
        <v>2</v>
      </c>
      <c r="T26">
        <v>0</v>
      </c>
      <c r="U26">
        <f t="shared" ref="U26:U29" si="14">S26-T26</f>
        <v>2</v>
      </c>
    </row>
    <row r="27" spans="1:21" x14ac:dyDescent="0.3">
      <c r="L27" s="17" t="s">
        <v>16</v>
      </c>
      <c r="M27" t="s">
        <v>432</v>
      </c>
      <c r="N27" s="2">
        <f t="shared" si="12"/>
        <v>6</v>
      </c>
      <c r="O27">
        <v>3</v>
      </c>
      <c r="P27">
        <v>2</v>
      </c>
      <c r="Q27">
        <v>0</v>
      </c>
      <c r="R27">
        <f t="shared" si="13"/>
        <v>1</v>
      </c>
      <c r="S27">
        <v>2</v>
      </c>
      <c r="T27">
        <v>1</v>
      </c>
      <c r="U27">
        <f t="shared" si="14"/>
        <v>1</v>
      </c>
    </row>
    <row r="28" spans="1:21" x14ac:dyDescent="0.3">
      <c r="L28" t="s">
        <v>19</v>
      </c>
      <c r="M28" t="s">
        <v>442</v>
      </c>
      <c r="N28" s="2">
        <f t="shared" si="12"/>
        <v>4</v>
      </c>
      <c r="O28">
        <v>3</v>
      </c>
      <c r="P28">
        <v>1</v>
      </c>
      <c r="Q28">
        <v>1</v>
      </c>
      <c r="R28">
        <f t="shared" si="13"/>
        <v>1</v>
      </c>
      <c r="S28">
        <v>1</v>
      </c>
      <c r="T28">
        <v>1</v>
      </c>
      <c r="U28">
        <f t="shared" si="14"/>
        <v>0</v>
      </c>
    </row>
    <row r="29" spans="1:21" x14ac:dyDescent="0.3">
      <c r="L29" t="s">
        <v>21</v>
      </c>
      <c r="M29" t="s">
        <v>427</v>
      </c>
      <c r="N29" s="2">
        <f t="shared" si="12"/>
        <v>0</v>
      </c>
      <c r="O29">
        <v>3</v>
      </c>
      <c r="P29">
        <v>0</v>
      </c>
      <c r="Q29">
        <v>0</v>
      </c>
      <c r="R29">
        <f t="shared" si="13"/>
        <v>3</v>
      </c>
      <c r="S29">
        <v>0</v>
      </c>
      <c r="T29">
        <v>3</v>
      </c>
      <c r="U29">
        <f t="shared" si="14"/>
        <v>-3</v>
      </c>
    </row>
    <row r="31" spans="1:21" x14ac:dyDescent="0.3">
      <c r="L31" t="s">
        <v>53</v>
      </c>
    </row>
    <row r="32" spans="1:21" x14ac:dyDescent="0.3">
      <c r="L32" t="s">
        <v>431</v>
      </c>
      <c r="M32" t="s">
        <v>55</v>
      </c>
      <c r="N32" t="s">
        <v>433</v>
      </c>
    </row>
    <row r="33" spans="12:14" x14ac:dyDescent="0.3">
      <c r="L33" t="s">
        <v>429</v>
      </c>
      <c r="M33" t="s">
        <v>62</v>
      </c>
      <c r="N33" t="s">
        <v>430</v>
      </c>
    </row>
    <row r="34" spans="12:14" x14ac:dyDescent="0.3">
      <c r="L34" t="s">
        <v>428</v>
      </c>
      <c r="M34" t="s">
        <v>55</v>
      </c>
      <c r="N34" t="s">
        <v>432</v>
      </c>
    </row>
    <row r="35" spans="12:14" x14ac:dyDescent="0.3">
      <c r="L35" t="s">
        <v>437</v>
      </c>
      <c r="M35" t="s">
        <v>52</v>
      </c>
      <c r="N35" t="s">
        <v>434</v>
      </c>
    </row>
    <row r="37" spans="12:14" x14ac:dyDescent="0.3">
      <c r="L37" t="s">
        <v>12</v>
      </c>
    </row>
    <row r="38" spans="12:14" x14ac:dyDescent="0.3">
      <c r="L38" t="s">
        <v>430</v>
      </c>
      <c r="M38" t="s">
        <v>61</v>
      </c>
      <c r="N38" t="s">
        <v>428</v>
      </c>
    </row>
    <row r="39" spans="12:14" x14ac:dyDescent="0.3">
      <c r="L39" t="s">
        <v>431</v>
      </c>
      <c r="M39" t="s">
        <v>80</v>
      </c>
      <c r="N39" t="s">
        <v>437</v>
      </c>
    </row>
    <row r="41" spans="12:14" x14ac:dyDescent="0.3">
      <c r="L41" t="s">
        <v>23</v>
      </c>
    </row>
    <row r="42" spans="12:14" x14ac:dyDescent="0.3">
      <c r="L42" t="s">
        <v>437</v>
      </c>
      <c r="M42" t="s">
        <v>446</v>
      </c>
      <c r="N42" t="s">
        <v>428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47FE-25AC-46FD-AB24-7371BE6B0E12}">
  <dimension ref="A1:Q21"/>
  <sheetViews>
    <sheetView tabSelected="1" workbookViewId="0">
      <selection activeCell="C10" sqref="C10"/>
    </sheetView>
  </sheetViews>
  <sheetFormatPr defaultRowHeight="14.4" x14ac:dyDescent="0.3"/>
  <cols>
    <col min="1" max="1" width="10.77734375" customWidth="1"/>
    <col min="2" max="2" width="21.109375" customWidth="1"/>
    <col min="12" max="12" width="20.5546875" customWidth="1"/>
    <col min="14" max="14" width="20.6640625" customWidth="1"/>
    <col min="16" max="16" width="18.88671875" customWidth="1"/>
  </cols>
  <sheetData>
    <row r="1" spans="1:17" x14ac:dyDescent="0.3">
      <c r="A1" t="s">
        <v>447</v>
      </c>
      <c r="L1" t="s">
        <v>462</v>
      </c>
      <c r="P1" t="s">
        <v>65</v>
      </c>
    </row>
    <row r="2" spans="1:1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L2" t="s">
        <v>51</v>
      </c>
      <c r="P2" t="s">
        <v>459</v>
      </c>
      <c r="Q2">
        <v>5</v>
      </c>
    </row>
    <row r="3" spans="1:17" x14ac:dyDescent="0.3">
      <c r="A3" s="3" t="s">
        <v>13</v>
      </c>
      <c r="B3" t="s">
        <v>459</v>
      </c>
      <c r="C3" s="2">
        <f t="shared" ref="C3:C16" si="0">E3*3+F3</f>
        <v>48</v>
      </c>
      <c r="D3">
        <v>26</v>
      </c>
      <c r="E3">
        <v>14</v>
      </c>
      <c r="F3">
        <v>6</v>
      </c>
      <c r="G3">
        <f t="shared" ref="G3:G16" si="1">D3-E3-F3</f>
        <v>6</v>
      </c>
      <c r="H3">
        <v>53</v>
      </c>
      <c r="I3">
        <v>34</v>
      </c>
      <c r="J3">
        <f t="shared" ref="J3:J16" si="2">H3-I3</f>
        <v>19</v>
      </c>
      <c r="L3" t="s">
        <v>453</v>
      </c>
      <c r="M3" t="s">
        <v>56</v>
      </c>
      <c r="N3" t="s">
        <v>451</v>
      </c>
      <c r="P3" t="s">
        <v>461</v>
      </c>
      <c r="Q3">
        <v>3</v>
      </c>
    </row>
    <row r="4" spans="1:17" x14ac:dyDescent="0.3">
      <c r="A4" t="s">
        <v>16</v>
      </c>
      <c r="B4" t="s">
        <v>454</v>
      </c>
      <c r="C4" s="2">
        <f t="shared" si="0"/>
        <v>45</v>
      </c>
      <c r="D4">
        <v>26</v>
      </c>
      <c r="E4">
        <v>13</v>
      </c>
      <c r="F4">
        <v>6</v>
      </c>
      <c r="G4">
        <f t="shared" si="1"/>
        <v>7</v>
      </c>
      <c r="H4">
        <v>45</v>
      </c>
      <c r="I4">
        <v>38</v>
      </c>
      <c r="J4">
        <f t="shared" si="2"/>
        <v>7</v>
      </c>
      <c r="L4" t="s">
        <v>455</v>
      </c>
      <c r="M4" t="s">
        <v>222</v>
      </c>
      <c r="N4" t="s">
        <v>454</v>
      </c>
    </row>
    <row r="5" spans="1:17" x14ac:dyDescent="0.3">
      <c r="A5" t="s">
        <v>19</v>
      </c>
      <c r="B5" t="s">
        <v>448</v>
      </c>
      <c r="C5" s="2">
        <f t="shared" si="0"/>
        <v>44</v>
      </c>
      <c r="D5">
        <v>26</v>
      </c>
      <c r="E5">
        <v>13</v>
      </c>
      <c r="F5">
        <v>5</v>
      </c>
      <c r="G5">
        <f t="shared" si="1"/>
        <v>8</v>
      </c>
      <c r="H5">
        <v>47</v>
      </c>
      <c r="I5">
        <v>33</v>
      </c>
      <c r="J5">
        <f t="shared" si="2"/>
        <v>14</v>
      </c>
      <c r="L5" t="s">
        <v>450</v>
      </c>
      <c r="M5" t="s">
        <v>350</v>
      </c>
      <c r="N5" t="s">
        <v>458</v>
      </c>
    </row>
    <row r="6" spans="1:17" x14ac:dyDescent="0.3">
      <c r="A6" t="s">
        <v>21</v>
      </c>
      <c r="B6" t="s">
        <v>449</v>
      </c>
      <c r="C6" s="2">
        <f t="shared" si="0"/>
        <v>41</v>
      </c>
      <c r="D6">
        <v>26</v>
      </c>
      <c r="E6">
        <v>12</v>
      </c>
      <c r="F6">
        <v>5</v>
      </c>
      <c r="G6">
        <f t="shared" si="1"/>
        <v>9</v>
      </c>
      <c r="H6">
        <v>37</v>
      </c>
      <c r="I6">
        <v>26</v>
      </c>
      <c r="J6">
        <f t="shared" si="2"/>
        <v>11</v>
      </c>
      <c r="L6" t="s">
        <v>461</v>
      </c>
      <c r="M6" t="s">
        <v>463</v>
      </c>
      <c r="N6" t="s">
        <v>460</v>
      </c>
    </row>
    <row r="7" spans="1:17" x14ac:dyDescent="0.3">
      <c r="A7" t="s">
        <v>24</v>
      </c>
      <c r="B7" t="s">
        <v>460</v>
      </c>
      <c r="C7" s="2">
        <f t="shared" si="0"/>
        <v>39</v>
      </c>
      <c r="D7">
        <v>26</v>
      </c>
      <c r="E7">
        <v>12</v>
      </c>
      <c r="F7">
        <v>3</v>
      </c>
      <c r="G7">
        <f t="shared" si="1"/>
        <v>11</v>
      </c>
      <c r="H7">
        <v>36</v>
      </c>
      <c r="I7">
        <v>39</v>
      </c>
      <c r="J7">
        <f t="shared" si="2"/>
        <v>-3</v>
      </c>
      <c r="L7" t="s">
        <v>449</v>
      </c>
      <c r="M7" t="s">
        <v>60</v>
      </c>
      <c r="N7" t="s">
        <v>456</v>
      </c>
    </row>
    <row r="8" spans="1:17" x14ac:dyDescent="0.3">
      <c r="A8" t="s">
        <v>25</v>
      </c>
      <c r="B8" t="s">
        <v>451</v>
      </c>
      <c r="C8" s="2">
        <f t="shared" si="0"/>
        <v>39</v>
      </c>
      <c r="D8">
        <v>26</v>
      </c>
      <c r="E8">
        <v>12</v>
      </c>
      <c r="F8">
        <v>3</v>
      </c>
      <c r="G8">
        <f t="shared" si="1"/>
        <v>11</v>
      </c>
      <c r="H8">
        <v>34</v>
      </c>
      <c r="I8">
        <v>35</v>
      </c>
      <c r="J8">
        <f t="shared" si="2"/>
        <v>-1</v>
      </c>
      <c r="L8" t="s">
        <v>459</v>
      </c>
      <c r="M8" t="s">
        <v>52</v>
      </c>
      <c r="N8" t="s">
        <v>452</v>
      </c>
    </row>
    <row r="9" spans="1:17" x14ac:dyDescent="0.3">
      <c r="A9" t="s">
        <v>27</v>
      </c>
      <c r="B9" t="s">
        <v>453</v>
      </c>
      <c r="C9" s="2">
        <f t="shared" si="0"/>
        <v>39</v>
      </c>
      <c r="D9">
        <v>26</v>
      </c>
      <c r="E9">
        <v>12</v>
      </c>
      <c r="F9">
        <v>3</v>
      </c>
      <c r="G9">
        <f t="shared" si="1"/>
        <v>11</v>
      </c>
      <c r="H9">
        <v>35</v>
      </c>
      <c r="I9">
        <v>30</v>
      </c>
      <c r="J9">
        <f t="shared" si="2"/>
        <v>5</v>
      </c>
    </row>
    <row r="10" spans="1:17" x14ac:dyDescent="0.3">
      <c r="A10" t="s">
        <v>29</v>
      </c>
      <c r="B10" t="s">
        <v>450</v>
      </c>
      <c r="C10" s="2">
        <f t="shared" si="0"/>
        <v>38</v>
      </c>
      <c r="D10">
        <v>26</v>
      </c>
      <c r="E10">
        <v>11</v>
      </c>
      <c r="F10">
        <v>5</v>
      </c>
      <c r="G10">
        <f t="shared" si="1"/>
        <v>10</v>
      </c>
      <c r="H10">
        <v>37</v>
      </c>
      <c r="I10">
        <v>38</v>
      </c>
      <c r="J10">
        <f t="shared" si="2"/>
        <v>-1</v>
      </c>
      <c r="L10" t="s">
        <v>53</v>
      </c>
    </row>
    <row r="11" spans="1:17" x14ac:dyDescent="0.3">
      <c r="A11" t="s">
        <v>31</v>
      </c>
      <c r="B11" t="s">
        <v>452</v>
      </c>
      <c r="C11" s="2">
        <f t="shared" si="0"/>
        <v>37</v>
      </c>
      <c r="D11">
        <v>26</v>
      </c>
      <c r="E11">
        <v>11</v>
      </c>
      <c r="F11">
        <v>4</v>
      </c>
      <c r="G11">
        <f t="shared" si="1"/>
        <v>11</v>
      </c>
      <c r="H11">
        <v>42</v>
      </c>
      <c r="I11">
        <v>41</v>
      </c>
      <c r="J11">
        <f t="shared" si="2"/>
        <v>1</v>
      </c>
      <c r="L11" t="s">
        <v>448</v>
      </c>
      <c r="M11" t="s">
        <v>62</v>
      </c>
      <c r="N11" t="s">
        <v>453</v>
      </c>
    </row>
    <row r="12" spans="1:17" x14ac:dyDescent="0.3">
      <c r="A12" s="5" t="s">
        <v>33</v>
      </c>
      <c r="B12" t="s">
        <v>455</v>
      </c>
      <c r="C12" s="2">
        <f t="shared" si="0"/>
        <v>35</v>
      </c>
      <c r="D12">
        <v>26</v>
      </c>
      <c r="E12">
        <v>11</v>
      </c>
      <c r="F12">
        <v>2</v>
      </c>
      <c r="G12">
        <f t="shared" si="1"/>
        <v>13</v>
      </c>
      <c r="H12">
        <v>37</v>
      </c>
      <c r="I12">
        <v>48</v>
      </c>
      <c r="J12">
        <f t="shared" si="2"/>
        <v>-11</v>
      </c>
      <c r="L12" t="s">
        <v>458</v>
      </c>
      <c r="M12" t="s">
        <v>63</v>
      </c>
      <c r="N12" t="s">
        <v>449</v>
      </c>
    </row>
    <row r="13" spans="1:17" x14ac:dyDescent="0.3">
      <c r="A13" t="s">
        <v>35</v>
      </c>
      <c r="B13" t="s">
        <v>456</v>
      </c>
      <c r="C13" s="2">
        <f t="shared" si="0"/>
        <v>29</v>
      </c>
      <c r="D13">
        <v>26</v>
      </c>
      <c r="E13">
        <v>8</v>
      </c>
      <c r="F13">
        <v>5</v>
      </c>
      <c r="G13">
        <f t="shared" si="1"/>
        <v>13</v>
      </c>
      <c r="H13">
        <v>35</v>
      </c>
      <c r="I13">
        <v>42</v>
      </c>
      <c r="J13">
        <f t="shared" si="2"/>
        <v>-7</v>
      </c>
      <c r="L13" t="s">
        <v>457</v>
      </c>
      <c r="M13" t="s">
        <v>52</v>
      </c>
      <c r="N13" t="s">
        <v>459</v>
      </c>
    </row>
    <row r="14" spans="1:17" x14ac:dyDescent="0.3">
      <c r="A14" t="s">
        <v>36</v>
      </c>
      <c r="B14" t="s">
        <v>457</v>
      </c>
      <c r="C14" s="2">
        <f t="shared" si="0"/>
        <v>28</v>
      </c>
      <c r="D14">
        <v>26</v>
      </c>
      <c r="E14">
        <v>7</v>
      </c>
      <c r="F14">
        <v>7</v>
      </c>
      <c r="G14">
        <f t="shared" si="1"/>
        <v>12</v>
      </c>
      <c r="H14">
        <v>42</v>
      </c>
      <c r="I14">
        <v>50</v>
      </c>
      <c r="J14">
        <f t="shared" si="2"/>
        <v>-8</v>
      </c>
      <c r="L14" t="s">
        <v>455</v>
      </c>
      <c r="M14" t="s">
        <v>221</v>
      </c>
      <c r="N14" t="s">
        <v>461</v>
      </c>
    </row>
    <row r="15" spans="1:17" x14ac:dyDescent="0.3">
      <c r="A15" s="15" t="s">
        <v>38</v>
      </c>
      <c r="B15" t="s">
        <v>461</v>
      </c>
      <c r="C15" s="2">
        <f t="shared" si="0"/>
        <v>26</v>
      </c>
      <c r="D15">
        <v>26</v>
      </c>
      <c r="E15">
        <v>6</v>
      </c>
      <c r="F15">
        <v>8</v>
      </c>
      <c r="G15">
        <f t="shared" si="1"/>
        <v>12</v>
      </c>
      <c r="H15">
        <v>41</v>
      </c>
      <c r="I15">
        <v>49</v>
      </c>
      <c r="J15">
        <f t="shared" si="2"/>
        <v>-8</v>
      </c>
    </row>
    <row r="16" spans="1:17" x14ac:dyDescent="0.3">
      <c r="A16" t="s">
        <v>40</v>
      </c>
      <c r="B16" t="s">
        <v>458</v>
      </c>
      <c r="C16" s="2">
        <f t="shared" si="0"/>
        <v>24</v>
      </c>
      <c r="D16">
        <v>26</v>
      </c>
      <c r="E16">
        <v>6</v>
      </c>
      <c r="F16">
        <v>6</v>
      </c>
      <c r="G16">
        <f t="shared" si="1"/>
        <v>14</v>
      </c>
      <c r="H16">
        <v>27</v>
      </c>
      <c r="I16">
        <v>45</v>
      </c>
      <c r="J16">
        <f t="shared" si="2"/>
        <v>-18</v>
      </c>
      <c r="L16" t="s">
        <v>12</v>
      </c>
    </row>
    <row r="17" spans="12:14" x14ac:dyDescent="0.3">
      <c r="L17" t="s">
        <v>453</v>
      </c>
      <c r="M17" t="s">
        <v>52</v>
      </c>
      <c r="N17" t="s">
        <v>458</v>
      </c>
    </row>
    <row r="18" spans="12:14" x14ac:dyDescent="0.3">
      <c r="L18" t="s">
        <v>461</v>
      </c>
      <c r="M18" t="s">
        <v>55</v>
      </c>
      <c r="N18" t="s">
        <v>457</v>
      </c>
    </row>
    <row r="20" spans="12:14" x14ac:dyDescent="0.3">
      <c r="L20" t="s">
        <v>23</v>
      </c>
    </row>
    <row r="21" spans="12:14" x14ac:dyDescent="0.3">
      <c r="L21" t="s">
        <v>453</v>
      </c>
      <c r="M21" t="s">
        <v>99</v>
      </c>
      <c r="N21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Arábia Saudita</vt:lpstr>
      <vt:lpstr>Austrália</vt:lpstr>
      <vt:lpstr>Catar</vt:lpstr>
      <vt:lpstr>China</vt:lpstr>
      <vt:lpstr>Coreia do Sul</vt:lpstr>
      <vt:lpstr>Emirados Árabes Unidos</vt:lpstr>
      <vt:lpstr>Filipinas</vt:lpstr>
      <vt:lpstr>Hong Kong</vt:lpstr>
      <vt:lpstr>Índia</vt:lpstr>
      <vt:lpstr>Indonésia</vt:lpstr>
      <vt:lpstr>Irã</vt:lpstr>
      <vt:lpstr>Iraque</vt:lpstr>
      <vt:lpstr>Japão</vt:lpstr>
      <vt:lpstr>Jordânia</vt:lpstr>
      <vt:lpstr>Kuwait</vt:lpstr>
      <vt:lpstr>Malásia</vt:lpstr>
      <vt:lpstr>Singapura</vt:lpstr>
      <vt:lpstr>Tailândia</vt:lpstr>
      <vt:lpstr>Tajiquistão</vt:lpstr>
      <vt:lpstr>Uzbequistão</vt:lpstr>
      <vt:lpstr>Vietnã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Estima</dc:creator>
  <cp:lastModifiedBy>Rafael Estima</cp:lastModifiedBy>
  <dcterms:created xsi:type="dcterms:W3CDTF">2026-07-28T23:21:46Z</dcterms:created>
  <dcterms:modified xsi:type="dcterms:W3CDTF">2026-08-03T03:36:20Z</dcterms:modified>
</cp:coreProperties>
</file>