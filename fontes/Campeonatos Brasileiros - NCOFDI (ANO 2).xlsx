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OneDrive\Documentos\"/>
    </mc:Choice>
  </mc:AlternateContent>
  <xr:revisionPtr revIDLastSave="0" documentId="8_{3DA6B663-7EF4-428A-A11E-89D025F19B64}" xr6:coauthVersionLast="47" xr6:coauthVersionMax="47" xr10:uidLastSave="{00000000-0000-0000-0000-000000000000}"/>
  <bookViews>
    <workbookView xWindow="-108" yWindow="-108" windowWidth="23256" windowHeight="13176" activeTab="5" xr2:uid="{E83A83D3-8A67-44A5-B9ED-45CDE80D31AD}"/>
  </bookViews>
  <sheets>
    <sheet name="Supercopa" sheetId="1" r:id="rId1"/>
    <sheet name="Série A" sheetId="2" r:id="rId2"/>
    <sheet name="Série B" sheetId="3" r:id="rId3"/>
    <sheet name="Série C" sheetId="4" r:id="rId4"/>
    <sheet name="Série D" sheetId="5" r:id="rId5"/>
    <sheet name="Copa do Brasil" sheetId="6" r:id="rId6"/>
    <sheet name="Regionai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N49" i="7" l="1"/>
  <c r="AL49" i="7"/>
  <c r="AN48" i="7"/>
  <c r="AL48" i="7"/>
  <c r="AU45" i="7"/>
  <c r="AR45" i="7"/>
  <c r="AN45" i="7"/>
  <c r="AU44" i="7"/>
  <c r="AR44" i="7"/>
  <c r="AN44" i="7"/>
  <c r="AU43" i="7"/>
  <c r="AR43" i="7"/>
  <c r="AN43" i="7"/>
  <c r="AU42" i="7"/>
  <c r="AR42" i="7"/>
  <c r="AN42" i="7"/>
  <c r="AU41" i="7"/>
  <c r="AR41" i="7"/>
  <c r="AN41" i="7"/>
  <c r="AU40" i="7"/>
  <c r="AR40" i="7"/>
  <c r="AN40" i="7"/>
  <c r="AU36" i="7"/>
  <c r="AR36" i="7"/>
  <c r="AN36" i="7"/>
  <c r="AU35" i="7"/>
  <c r="AR35" i="7"/>
  <c r="AN35" i="7"/>
  <c r="AU34" i="7"/>
  <c r="AR34" i="7"/>
  <c r="AN34" i="7"/>
  <c r="AU33" i="7"/>
  <c r="AR33" i="7"/>
  <c r="AN33" i="7"/>
  <c r="AU32" i="7"/>
  <c r="AR32" i="7"/>
  <c r="AN32" i="7"/>
  <c r="AU31" i="7"/>
  <c r="AR31" i="7"/>
  <c r="AN31" i="7"/>
  <c r="AN23" i="7"/>
  <c r="AL23" i="7"/>
  <c r="AN22" i="7"/>
  <c r="AL22" i="7"/>
  <c r="AU19" i="7"/>
  <c r="AR19" i="7"/>
  <c r="AN19" i="7"/>
  <c r="AU18" i="7"/>
  <c r="AR18" i="7"/>
  <c r="AN18" i="7"/>
  <c r="AU17" i="7"/>
  <c r="AR17" i="7"/>
  <c r="AN17" i="7"/>
  <c r="AU16" i="7"/>
  <c r="AR16" i="7"/>
  <c r="AN16" i="7"/>
  <c r="AU15" i="7"/>
  <c r="AR15" i="7"/>
  <c r="AN15" i="7"/>
  <c r="AU14" i="7"/>
  <c r="AR14" i="7"/>
  <c r="AN14" i="7"/>
  <c r="AU10" i="7"/>
  <c r="AR10" i="7"/>
  <c r="AN10" i="7"/>
  <c r="AU9" i="7"/>
  <c r="AR9" i="7"/>
  <c r="AN9" i="7"/>
  <c r="AU8" i="7"/>
  <c r="AR8" i="7"/>
  <c r="AN8" i="7"/>
  <c r="AU7" i="7"/>
  <c r="AR7" i="7"/>
  <c r="AN7" i="7"/>
  <c r="AU6" i="7"/>
  <c r="AR6" i="7"/>
  <c r="AN6" i="7"/>
  <c r="AU5" i="7"/>
  <c r="AR5" i="7"/>
  <c r="AN5" i="7"/>
  <c r="AB32" i="7" l="1"/>
  <c r="AB29" i="7"/>
  <c r="AB28" i="7"/>
  <c r="AB30" i="7"/>
  <c r="AB31" i="7"/>
  <c r="AB20" i="7"/>
  <c r="AB21" i="7"/>
  <c r="AB22" i="7"/>
  <c r="AB23" i="7"/>
  <c r="AB24" i="7"/>
  <c r="AB12" i="7"/>
  <c r="AB15" i="7"/>
  <c r="AB13" i="7"/>
  <c r="AB14" i="7"/>
  <c r="AB16" i="7"/>
  <c r="AB6" i="7"/>
  <c r="AB7" i="7"/>
  <c r="AB8" i="7"/>
  <c r="AB4" i="7"/>
  <c r="AB5" i="7"/>
  <c r="X35" i="7"/>
  <c r="X38" i="7"/>
  <c r="V38" i="7"/>
  <c r="X37" i="7"/>
  <c r="V37" i="7"/>
  <c r="X36" i="7"/>
  <c r="V36" i="7"/>
  <c r="V35" i="7"/>
  <c r="AE32" i="7"/>
  <c r="AE29" i="7"/>
  <c r="AE28" i="7"/>
  <c r="AE30" i="7"/>
  <c r="AE31" i="7"/>
  <c r="AE20" i="7"/>
  <c r="AE21" i="7"/>
  <c r="AE22" i="7"/>
  <c r="AE23" i="7"/>
  <c r="AE24" i="7"/>
  <c r="AE12" i="7"/>
  <c r="AE15" i="7"/>
  <c r="AE13" i="7"/>
  <c r="AE14" i="7"/>
  <c r="AE16" i="7"/>
  <c r="AE6" i="7"/>
  <c r="AE7" i="7"/>
  <c r="AE8" i="7"/>
  <c r="AE4" i="7"/>
  <c r="AE5" i="7"/>
  <c r="X32" i="7"/>
  <c r="X29" i="7"/>
  <c r="X28" i="7"/>
  <c r="X30" i="7"/>
  <c r="X31" i="7"/>
  <c r="X20" i="7"/>
  <c r="X21" i="7"/>
  <c r="X22" i="7"/>
  <c r="X23" i="7"/>
  <c r="X24" i="7"/>
  <c r="X12" i="7"/>
  <c r="X15" i="7"/>
  <c r="X13" i="7"/>
  <c r="X14" i="7"/>
  <c r="X16" i="7"/>
  <c r="X6" i="7"/>
  <c r="X7" i="7"/>
  <c r="X8" i="7"/>
  <c r="X4" i="7"/>
  <c r="X5" i="7"/>
  <c r="G6" i="7" l="1"/>
  <c r="G22" i="7"/>
  <c r="E22" i="7"/>
  <c r="C22" i="7"/>
  <c r="A22" i="7"/>
  <c r="G21" i="7"/>
  <c r="E21" i="7"/>
  <c r="C21" i="7"/>
  <c r="A21" i="7"/>
  <c r="J14" i="7"/>
  <c r="G14" i="7"/>
  <c r="C14" i="7"/>
  <c r="J16" i="7"/>
  <c r="G16" i="7"/>
  <c r="C16" i="7"/>
  <c r="J17" i="7"/>
  <c r="G17" i="7"/>
  <c r="C17" i="7"/>
  <c r="J18" i="7"/>
  <c r="G18" i="7"/>
  <c r="C18" i="7"/>
  <c r="J13" i="7"/>
  <c r="G13" i="7"/>
  <c r="C13" i="7"/>
  <c r="J15" i="7"/>
  <c r="G15" i="7"/>
  <c r="C15" i="7"/>
  <c r="J4" i="7"/>
  <c r="G4" i="7"/>
  <c r="C4" i="7"/>
  <c r="J9" i="7"/>
  <c r="G9" i="7"/>
  <c r="C9" i="7"/>
  <c r="J7" i="7"/>
  <c r="G7" i="7"/>
  <c r="C7" i="7"/>
  <c r="J8" i="7"/>
  <c r="G8" i="7"/>
  <c r="C8" i="7"/>
  <c r="J5" i="7"/>
  <c r="G5" i="7"/>
  <c r="C5" i="7"/>
  <c r="J6" i="7"/>
  <c r="C6" i="7"/>
  <c r="L2" i="5"/>
  <c r="J143" i="5"/>
  <c r="G143" i="5"/>
  <c r="C143" i="5"/>
  <c r="J142" i="5"/>
  <c r="G142" i="5"/>
  <c r="C142" i="5"/>
  <c r="J141" i="5"/>
  <c r="G141" i="5"/>
  <c r="C141" i="5"/>
  <c r="J140" i="5"/>
  <c r="G140" i="5"/>
  <c r="C140" i="5"/>
  <c r="J139" i="5"/>
  <c r="G139" i="5"/>
  <c r="C139" i="5"/>
  <c r="J138" i="5"/>
  <c r="G138" i="5"/>
  <c r="C138" i="5"/>
  <c r="J134" i="5"/>
  <c r="G134" i="5"/>
  <c r="C134" i="5"/>
  <c r="J133" i="5"/>
  <c r="G133" i="5"/>
  <c r="C133" i="5"/>
  <c r="J132" i="5"/>
  <c r="G132" i="5"/>
  <c r="C132" i="5"/>
  <c r="J131" i="5"/>
  <c r="G131" i="5"/>
  <c r="C131" i="5"/>
  <c r="J130" i="5"/>
  <c r="G130" i="5"/>
  <c r="C130" i="5"/>
  <c r="J129" i="5"/>
  <c r="G129" i="5"/>
  <c r="C129" i="5"/>
  <c r="J125" i="5"/>
  <c r="G125" i="5"/>
  <c r="C125" i="5"/>
  <c r="J124" i="5"/>
  <c r="G124" i="5"/>
  <c r="C124" i="5"/>
  <c r="J123" i="5"/>
  <c r="G123" i="5"/>
  <c r="C123" i="5"/>
  <c r="J122" i="5"/>
  <c r="G122" i="5"/>
  <c r="C122" i="5"/>
  <c r="J121" i="5"/>
  <c r="G121" i="5"/>
  <c r="C121" i="5"/>
  <c r="J120" i="5"/>
  <c r="G120" i="5"/>
  <c r="C120" i="5"/>
  <c r="J116" i="5"/>
  <c r="G116" i="5"/>
  <c r="C116" i="5"/>
  <c r="J115" i="5"/>
  <c r="G115" i="5"/>
  <c r="C115" i="5"/>
  <c r="J114" i="5"/>
  <c r="G114" i="5"/>
  <c r="C114" i="5"/>
  <c r="J113" i="5"/>
  <c r="G113" i="5"/>
  <c r="C113" i="5"/>
  <c r="J112" i="5"/>
  <c r="G112" i="5"/>
  <c r="C112" i="5"/>
  <c r="J111" i="5"/>
  <c r="G111" i="5"/>
  <c r="C111" i="5"/>
  <c r="J107" i="5"/>
  <c r="G107" i="5"/>
  <c r="C107" i="5"/>
  <c r="J106" i="5"/>
  <c r="G106" i="5"/>
  <c r="C106" i="5"/>
  <c r="J105" i="5"/>
  <c r="G105" i="5"/>
  <c r="C105" i="5"/>
  <c r="J104" i="5"/>
  <c r="G104" i="5"/>
  <c r="C104" i="5"/>
  <c r="J103" i="5"/>
  <c r="G103" i="5"/>
  <c r="C103" i="5"/>
  <c r="J102" i="5"/>
  <c r="G102" i="5"/>
  <c r="C102" i="5"/>
  <c r="J98" i="5"/>
  <c r="G98" i="5"/>
  <c r="C98" i="5"/>
  <c r="J97" i="5"/>
  <c r="G97" i="5"/>
  <c r="C97" i="5"/>
  <c r="J96" i="5"/>
  <c r="G96" i="5"/>
  <c r="C96" i="5"/>
  <c r="J95" i="5"/>
  <c r="G95" i="5"/>
  <c r="C95" i="5"/>
  <c r="J94" i="5"/>
  <c r="G94" i="5"/>
  <c r="C94" i="5"/>
  <c r="J93" i="5"/>
  <c r="G93" i="5"/>
  <c r="C93" i="5"/>
  <c r="J89" i="5"/>
  <c r="G89" i="5"/>
  <c r="C89" i="5"/>
  <c r="J88" i="5"/>
  <c r="G88" i="5"/>
  <c r="C88" i="5"/>
  <c r="J87" i="5"/>
  <c r="G87" i="5"/>
  <c r="C87" i="5"/>
  <c r="J86" i="5"/>
  <c r="G86" i="5"/>
  <c r="C86" i="5"/>
  <c r="J85" i="5"/>
  <c r="G85" i="5"/>
  <c r="C85" i="5"/>
  <c r="J84" i="5"/>
  <c r="G84" i="5"/>
  <c r="C84" i="5"/>
  <c r="J80" i="5"/>
  <c r="G80" i="5"/>
  <c r="C80" i="5"/>
  <c r="J79" i="5"/>
  <c r="G79" i="5"/>
  <c r="C79" i="5"/>
  <c r="J78" i="5"/>
  <c r="G78" i="5"/>
  <c r="C78" i="5"/>
  <c r="J77" i="5"/>
  <c r="G77" i="5"/>
  <c r="C77" i="5"/>
  <c r="J76" i="5"/>
  <c r="G76" i="5"/>
  <c r="C76" i="5"/>
  <c r="J75" i="5"/>
  <c r="G75" i="5"/>
  <c r="C75" i="5"/>
  <c r="J71" i="5"/>
  <c r="G71" i="5"/>
  <c r="C71" i="5"/>
  <c r="J70" i="5"/>
  <c r="G70" i="5"/>
  <c r="C70" i="5"/>
  <c r="J69" i="5"/>
  <c r="G69" i="5"/>
  <c r="C69" i="5"/>
  <c r="J68" i="5"/>
  <c r="G68" i="5"/>
  <c r="C68" i="5"/>
  <c r="J67" i="5"/>
  <c r="G67" i="5"/>
  <c r="C67" i="5"/>
  <c r="J66" i="5"/>
  <c r="G66" i="5"/>
  <c r="C66" i="5"/>
  <c r="J62" i="5"/>
  <c r="G62" i="5"/>
  <c r="C62" i="5"/>
  <c r="J61" i="5"/>
  <c r="G61" i="5"/>
  <c r="C61" i="5"/>
  <c r="J60" i="5"/>
  <c r="G60" i="5"/>
  <c r="C60" i="5"/>
  <c r="J59" i="5"/>
  <c r="G59" i="5"/>
  <c r="C59" i="5"/>
  <c r="J58" i="5"/>
  <c r="G58" i="5"/>
  <c r="C58" i="5"/>
  <c r="J57" i="5"/>
  <c r="G57" i="5"/>
  <c r="C57" i="5"/>
  <c r="J53" i="5"/>
  <c r="G53" i="5"/>
  <c r="C53" i="5"/>
  <c r="J52" i="5"/>
  <c r="G52" i="5"/>
  <c r="C52" i="5"/>
  <c r="J51" i="5"/>
  <c r="G51" i="5"/>
  <c r="C51" i="5"/>
  <c r="J50" i="5"/>
  <c r="G50" i="5"/>
  <c r="C50" i="5"/>
  <c r="J49" i="5"/>
  <c r="G49" i="5"/>
  <c r="C49" i="5"/>
  <c r="J48" i="5"/>
  <c r="G48" i="5"/>
  <c r="C48" i="5"/>
  <c r="J44" i="5"/>
  <c r="G44" i="5"/>
  <c r="C44" i="5"/>
  <c r="J43" i="5"/>
  <c r="G43" i="5"/>
  <c r="C43" i="5"/>
  <c r="J42" i="5"/>
  <c r="G42" i="5"/>
  <c r="C42" i="5"/>
  <c r="J41" i="5"/>
  <c r="G41" i="5"/>
  <c r="C41" i="5"/>
  <c r="J40" i="5"/>
  <c r="G40" i="5"/>
  <c r="C40" i="5"/>
  <c r="J39" i="5"/>
  <c r="G39" i="5"/>
  <c r="C39" i="5"/>
  <c r="J35" i="5"/>
  <c r="G35" i="5"/>
  <c r="C35" i="5"/>
  <c r="J34" i="5"/>
  <c r="G34" i="5"/>
  <c r="C34" i="5"/>
  <c r="J33" i="5"/>
  <c r="G33" i="5"/>
  <c r="C33" i="5"/>
  <c r="J32" i="5"/>
  <c r="G32" i="5"/>
  <c r="C32" i="5"/>
  <c r="J31" i="5"/>
  <c r="G31" i="5"/>
  <c r="C31" i="5"/>
  <c r="J30" i="5"/>
  <c r="G30" i="5"/>
  <c r="C30" i="5"/>
  <c r="J26" i="5"/>
  <c r="G26" i="5"/>
  <c r="C26" i="5"/>
  <c r="J25" i="5"/>
  <c r="G25" i="5"/>
  <c r="C25" i="5"/>
  <c r="J24" i="5"/>
  <c r="G24" i="5"/>
  <c r="C24" i="5"/>
  <c r="J23" i="5"/>
  <c r="G23" i="5"/>
  <c r="C23" i="5"/>
  <c r="J22" i="5"/>
  <c r="G22" i="5"/>
  <c r="C22" i="5"/>
  <c r="J21" i="5"/>
  <c r="G21" i="5"/>
  <c r="C21" i="5"/>
  <c r="J17" i="5"/>
  <c r="G17" i="5"/>
  <c r="C17" i="5"/>
  <c r="J16" i="5"/>
  <c r="G16" i="5"/>
  <c r="C16" i="5"/>
  <c r="J15" i="5"/>
  <c r="G15" i="5"/>
  <c r="C15" i="5"/>
  <c r="J14" i="5"/>
  <c r="G14" i="5"/>
  <c r="C14" i="5"/>
  <c r="J13" i="5"/>
  <c r="G13" i="5"/>
  <c r="C13" i="5"/>
  <c r="J12" i="5"/>
  <c r="G12" i="5"/>
  <c r="C12" i="5"/>
  <c r="R48" i="5"/>
  <c r="P48" i="5"/>
  <c r="N48" i="5"/>
  <c r="L48" i="5"/>
  <c r="R47" i="5"/>
  <c r="P47" i="5"/>
  <c r="N47" i="5"/>
  <c r="L47" i="5"/>
  <c r="R45" i="5"/>
  <c r="P45" i="5"/>
  <c r="N45" i="5"/>
  <c r="L45" i="5"/>
  <c r="R44" i="5"/>
  <c r="P44" i="5"/>
  <c r="N44" i="5"/>
  <c r="L44" i="5"/>
  <c r="R42" i="5"/>
  <c r="P42" i="5"/>
  <c r="N42" i="5"/>
  <c r="L42" i="5"/>
  <c r="R41" i="5"/>
  <c r="P41" i="5"/>
  <c r="N41" i="5"/>
  <c r="L41" i="5"/>
  <c r="R39" i="5"/>
  <c r="P39" i="5"/>
  <c r="N39" i="5"/>
  <c r="L39" i="5"/>
  <c r="R38" i="5"/>
  <c r="P38" i="5"/>
  <c r="N38" i="5"/>
  <c r="L38" i="5"/>
  <c r="R36" i="5"/>
  <c r="P36" i="5"/>
  <c r="N36" i="5"/>
  <c r="L36" i="5"/>
  <c r="R35" i="5"/>
  <c r="P35" i="5"/>
  <c r="N35" i="5"/>
  <c r="L35" i="5"/>
  <c r="R33" i="5"/>
  <c r="P33" i="5"/>
  <c r="N33" i="5"/>
  <c r="L33" i="5"/>
  <c r="R32" i="5"/>
  <c r="P32" i="5"/>
  <c r="N32" i="5"/>
  <c r="L32" i="5"/>
  <c r="R30" i="5"/>
  <c r="P30" i="5"/>
  <c r="N30" i="5"/>
  <c r="L30" i="5"/>
  <c r="R29" i="5"/>
  <c r="P29" i="5"/>
  <c r="N29" i="5"/>
  <c r="L29" i="5"/>
  <c r="R27" i="5"/>
  <c r="P27" i="5"/>
  <c r="N27" i="5"/>
  <c r="L27" i="5"/>
  <c r="R26" i="5"/>
  <c r="P26" i="5"/>
  <c r="N26" i="5"/>
  <c r="L26" i="5"/>
  <c r="R24" i="5"/>
  <c r="P24" i="5"/>
  <c r="N24" i="5"/>
  <c r="L24" i="5"/>
  <c r="R23" i="5"/>
  <c r="P23" i="5"/>
  <c r="N23" i="5"/>
  <c r="L23" i="5"/>
  <c r="R21" i="5"/>
  <c r="P21" i="5"/>
  <c r="N21" i="5"/>
  <c r="L21" i="5"/>
  <c r="R20" i="5"/>
  <c r="P20" i="5"/>
  <c r="N20" i="5"/>
  <c r="L20" i="5"/>
  <c r="R18" i="5"/>
  <c r="P18" i="5"/>
  <c r="N18" i="5"/>
  <c r="L18" i="5"/>
  <c r="R17" i="5"/>
  <c r="P17" i="5"/>
  <c r="N17" i="5"/>
  <c r="L17" i="5"/>
  <c r="R15" i="5"/>
  <c r="P15" i="5"/>
  <c r="N15" i="5"/>
  <c r="L15" i="5"/>
  <c r="R14" i="5"/>
  <c r="P14" i="5"/>
  <c r="N14" i="5"/>
  <c r="L14" i="5"/>
  <c r="R12" i="5"/>
  <c r="P12" i="5"/>
  <c r="N12" i="5"/>
  <c r="L12" i="5"/>
  <c r="R11" i="5"/>
  <c r="P11" i="5"/>
  <c r="N11" i="5"/>
  <c r="L11" i="5"/>
  <c r="R9" i="5"/>
  <c r="P9" i="5"/>
  <c r="N9" i="5"/>
  <c r="L9" i="5"/>
  <c r="R8" i="5"/>
  <c r="P8" i="5"/>
  <c r="N8" i="5"/>
  <c r="L8" i="5"/>
  <c r="J8" i="5"/>
  <c r="G8" i="5"/>
  <c r="C8" i="5"/>
  <c r="J7" i="5"/>
  <c r="G7" i="5"/>
  <c r="C7" i="5"/>
  <c r="R6" i="5"/>
  <c r="P6" i="5"/>
  <c r="N6" i="5"/>
  <c r="L6" i="5"/>
  <c r="J6" i="5"/>
  <c r="G6" i="5"/>
  <c r="C6" i="5"/>
  <c r="R5" i="5"/>
  <c r="P5" i="5"/>
  <c r="N5" i="5"/>
  <c r="L5" i="5"/>
  <c r="J5" i="5"/>
  <c r="G5" i="5"/>
  <c r="C5" i="5"/>
  <c r="J4" i="5"/>
  <c r="G4" i="5"/>
  <c r="C4" i="5"/>
  <c r="R3" i="5"/>
  <c r="P3" i="5"/>
  <c r="N3" i="5"/>
  <c r="L3" i="5"/>
  <c r="J3" i="5"/>
  <c r="G3" i="5"/>
  <c r="C3" i="5"/>
  <c r="R2" i="5"/>
  <c r="P2" i="5"/>
  <c r="N2" i="5"/>
  <c r="C40" i="4"/>
  <c r="C39" i="4"/>
  <c r="C38" i="4"/>
  <c r="C37" i="4"/>
  <c r="C33" i="4"/>
  <c r="C32" i="4"/>
  <c r="C31" i="4"/>
  <c r="C30" i="4"/>
  <c r="J40" i="4"/>
  <c r="G40" i="4"/>
  <c r="J39" i="4"/>
  <c r="G39" i="4"/>
  <c r="J38" i="4"/>
  <c r="G38" i="4"/>
  <c r="J37" i="4"/>
  <c r="G37" i="4"/>
  <c r="J33" i="4"/>
  <c r="G33" i="4"/>
  <c r="J32" i="4"/>
  <c r="G32" i="4"/>
  <c r="J31" i="4"/>
  <c r="G31" i="4"/>
  <c r="J30" i="4"/>
  <c r="G30" i="4"/>
  <c r="J22" i="4"/>
  <c r="J23" i="4"/>
  <c r="J24" i="4"/>
  <c r="J25" i="4"/>
  <c r="C22" i="4"/>
  <c r="C23" i="4"/>
  <c r="C24" i="4"/>
  <c r="C25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G22" i="4"/>
  <c r="G23" i="4"/>
  <c r="G24" i="4"/>
  <c r="G25" i="4"/>
  <c r="J21" i="4"/>
  <c r="G21" i="4"/>
  <c r="J20" i="4"/>
  <c r="G20" i="4"/>
  <c r="J19" i="4"/>
  <c r="G19" i="4"/>
  <c r="J18" i="4"/>
  <c r="G18" i="4"/>
  <c r="J17" i="4"/>
  <c r="G17" i="4"/>
  <c r="J16" i="4"/>
  <c r="G16" i="4"/>
  <c r="J15" i="4"/>
  <c r="G15" i="4"/>
  <c r="J14" i="4"/>
  <c r="G14" i="4"/>
  <c r="J13" i="4"/>
  <c r="G13" i="4"/>
  <c r="J12" i="4"/>
  <c r="G12" i="4"/>
  <c r="J11" i="4"/>
  <c r="G11" i="4"/>
  <c r="J10" i="4"/>
  <c r="G10" i="4"/>
  <c r="J9" i="4"/>
  <c r="G9" i="4"/>
  <c r="J8" i="4"/>
  <c r="G8" i="4"/>
  <c r="J7" i="4"/>
  <c r="G7" i="4"/>
  <c r="J6" i="4"/>
  <c r="G6" i="4"/>
  <c r="J5" i="4"/>
  <c r="G5" i="4"/>
  <c r="J4" i="4"/>
  <c r="G4" i="4"/>
  <c r="J3" i="4"/>
  <c r="G3" i="4"/>
  <c r="J2" i="4"/>
  <c r="G2" i="4"/>
  <c r="G24" i="3"/>
  <c r="G25" i="3"/>
  <c r="E25" i="3"/>
  <c r="E24" i="3"/>
  <c r="C24" i="3"/>
  <c r="C25" i="3"/>
  <c r="A25" i="3"/>
  <c r="A24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J21" i="3"/>
  <c r="G21" i="3"/>
  <c r="J20" i="3"/>
  <c r="G20" i="3"/>
  <c r="J19" i="3"/>
  <c r="G19" i="3"/>
  <c r="J18" i="3"/>
  <c r="G18" i="3"/>
  <c r="J17" i="3"/>
  <c r="G17" i="3"/>
  <c r="J16" i="3"/>
  <c r="G16" i="3"/>
  <c r="J15" i="3"/>
  <c r="G15" i="3"/>
  <c r="J14" i="3"/>
  <c r="G14" i="3"/>
  <c r="J13" i="3"/>
  <c r="G13" i="3"/>
  <c r="J12" i="3"/>
  <c r="G12" i="3"/>
  <c r="J11" i="3"/>
  <c r="G11" i="3"/>
  <c r="J10" i="3"/>
  <c r="G10" i="3"/>
  <c r="J9" i="3"/>
  <c r="G9" i="3"/>
  <c r="J8" i="3"/>
  <c r="G8" i="3"/>
  <c r="J7" i="3"/>
  <c r="G7" i="3"/>
  <c r="J6" i="3"/>
  <c r="G6" i="3"/>
  <c r="J5" i="3"/>
  <c r="G5" i="3"/>
  <c r="J4" i="3"/>
  <c r="G4" i="3"/>
  <c r="J3" i="3"/>
  <c r="G3" i="3"/>
  <c r="J2" i="3"/>
  <c r="G2" i="3"/>
  <c r="C18" i="2"/>
  <c r="C19" i="2"/>
  <c r="C20" i="2"/>
  <c r="C21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J21" i="2"/>
  <c r="G21" i="2"/>
  <c r="J20" i="2"/>
  <c r="G20" i="2"/>
  <c r="J19" i="2"/>
  <c r="G19" i="2"/>
  <c r="J18" i="2"/>
  <c r="G18" i="2"/>
  <c r="J17" i="2"/>
  <c r="G17" i="2"/>
  <c r="J16" i="2"/>
  <c r="G16" i="2"/>
  <c r="J15" i="2"/>
  <c r="G15" i="2"/>
  <c r="J14" i="2"/>
  <c r="G14" i="2"/>
  <c r="J13" i="2"/>
  <c r="G13" i="2"/>
  <c r="J12" i="2"/>
  <c r="G12" i="2"/>
  <c r="J11" i="2"/>
  <c r="G11" i="2"/>
  <c r="J10" i="2"/>
  <c r="G10" i="2"/>
  <c r="J9" i="2"/>
  <c r="G9" i="2"/>
  <c r="J8" i="2"/>
  <c r="G8" i="2"/>
  <c r="J7" i="2"/>
  <c r="G7" i="2"/>
  <c r="J6" i="2"/>
  <c r="G6" i="2"/>
  <c r="J5" i="2"/>
  <c r="G5" i="2"/>
  <c r="J4" i="2"/>
  <c r="G4" i="2"/>
  <c r="J3" i="2"/>
  <c r="G3" i="2"/>
  <c r="J2" i="2"/>
  <c r="G2" i="2"/>
</calcChain>
</file>

<file path=xl/sharedStrings.xml><?xml version="1.0" encoding="utf-8"?>
<sst xmlns="http://schemas.openxmlformats.org/spreadsheetml/2006/main" count="1957" uniqueCount="320">
  <si>
    <t>Grêmio</t>
  </si>
  <si>
    <t>Guarani</t>
  </si>
  <si>
    <t>0x0 (5x4)</t>
  </si>
  <si>
    <t>Campeão</t>
  </si>
  <si>
    <t>#</t>
  </si>
  <si>
    <t>Time</t>
  </si>
  <si>
    <t>PTS</t>
  </si>
  <si>
    <t>PJ</t>
  </si>
  <si>
    <t>VIT</t>
  </si>
  <si>
    <t>E</t>
  </si>
  <si>
    <t>DER</t>
  </si>
  <si>
    <t>GP</t>
  </si>
  <si>
    <t>GC</t>
  </si>
  <si>
    <t>SG</t>
  </si>
  <si>
    <t>1.</t>
  </si>
  <si>
    <t>2.</t>
  </si>
  <si>
    <t>Corinthians</t>
  </si>
  <si>
    <t>3.</t>
  </si>
  <si>
    <t>Atlético-MG</t>
  </si>
  <si>
    <t>4.</t>
  </si>
  <si>
    <t>São Paulo</t>
  </si>
  <si>
    <t>5.</t>
  </si>
  <si>
    <t>Cruzeiro</t>
  </si>
  <si>
    <t>6.</t>
  </si>
  <si>
    <t>Chapecoense</t>
  </si>
  <si>
    <t>7.</t>
  </si>
  <si>
    <t>Bahia</t>
  </si>
  <si>
    <t>8.</t>
  </si>
  <si>
    <t>Botafogo</t>
  </si>
  <si>
    <t>9.</t>
  </si>
  <si>
    <t>Mirassol</t>
  </si>
  <si>
    <t>10.</t>
  </si>
  <si>
    <t>Palmeiras</t>
  </si>
  <si>
    <t>11.</t>
  </si>
  <si>
    <t>Vasco</t>
  </si>
  <si>
    <t>12.</t>
  </si>
  <si>
    <t>Flamengo</t>
  </si>
  <si>
    <t>13.</t>
  </si>
  <si>
    <t>RB Bragantino</t>
  </si>
  <si>
    <t>14.</t>
  </si>
  <si>
    <t>Vitória</t>
  </si>
  <si>
    <t>15.</t>
  </si>
  <si>
    <t>Santos</t>
  </si>
  <si>
    <t>16.</t>
  </si>
  <si>
    <t>Fluminense</t>
  </si>
  <si>
    <t>17.</t>
  </si>
  <si>
    <t>Internacional</t>
  </si>
  <si>
    <t>18.</t>
  </si>
  <si>
    <t>Athletico-PR</t>
  </si>
  <si>
    <t>19.</t>
  </si>
  <si>
    <t>Coritiba</t>
  </si>
  <si>
    <t>20.</t>
  </si>
  <si>
    <t>Remo</t>
  </si>
  <si>
    <t>América-MG</t>
  </si>
  <si>
    <t>Botafogo-SP</t>
  </si>
  <si>
    <t>Atlético-GO</t>
  </si>
  <si>
    <t>Fortaleza</t>
  </si>
  <si>
    <t>Novorizontino</t>
  </si>
  <si>
    <t>CRB</t>
  </si>
  <si>
    <t>Londrina</t>
  </si>
  <si>
    <t>Criciúma</t>
  </si>
  <si>
    <t>Athletic</t>
  </si>
  <si>
    <t>Ponte Preta</t>
  </si>
  <si>
    <t>Vila Nova</t>
  </si>
  <si>
    <t>Avaí</t>
  </si>
  <si>
    <t>São Bernardo</t>
  </si>
  <si>
    <t>Sport</t>
  </si>
  <si>
    <t>Náutico</t>
  </si>
  <si>
    <t>Juventude</t>
  </si>
  <si>
    <t>Goiás</t>
  </si>
  <si>
    <t>Cuiabá</t>
  </si>
  <si>
    <t>Ceará</t>
  </si>
  <si>
    <t>Operário</t>
  </si>
  <si>
    <t>Playoff do acesso</t>
  </si>
  <si>
    <t>Inter de Limeira</t>
  </si>
  <si>
    <t>Floresta</t>
  </si>
  <si>
    <t>Anápolis</t>
  </si>
  <si>
    <t>Caxias</t>
  </si>
  <si>
    <t>2x0</t>
  </si>
  <si>
    <t>1x0</t>
  </si>
  <si>
    <t>2x2</t>
  </si>
  <si>
    <t>Maringá</t>
  </si>
  <si>
    <t>Botafogo-PB</t>
  </si>
  <si>
    <t>Ferroviária</t>
  </si>
  <si>
    <t>Itabaiana</t>
  </si>
  <si>
    <t>Ituano</t>
  </si>
  <si>
    <t>Santa Cruz</t>
  </si>
  <si>
    <t>Barra</t>
  </si>
  <si>
    <t>Confiança</t>
  </si>
  <si>
    <t>Ypiranga</t>
  </si>
  <si>
    <t>Amazonas</t>
  </si>
  <si>
    <t>Figueirense</t>
  </si>
  <si>
    <t>Paysandu</t>
  </si>
  <si>
    <t>Volta Redonda</t>
  </si>
  <si>
    <t>Brusque</t>
  </si>
  <si>
    <t>Maranhão</t>
  </si>
  <si>
    <t>21.</t>
  </si>
  <si>
    <t>22.</t>
  </si>
  <si>
    <t>23.</t>
  </si>
  <si>
    <t>24.</t>
  </si>
  <si>
    <t>Portuguesa-RJ</t>
  </si>
  <si>
    <t>Piauí</t>
  </si>
  <si>
    <t>Juazeirense</t>
  </si>
  <si>
    <t>Aparecidense</t>
  </si>
  <si>
    <t>Águia de Marabá</t>
  </si>
  <si>
    <t>2a fase</t>
  </si>
  <si>
    <t>Grupo A</t>
  </si>
  <si>
    <t>Grupo B</t>
  </si>
  <si>
    <t>Final</t>
  </si>
  <si>
    <t>São José-RS</t>
  </si>
  <si>
    <t>1x2</t>
  </si>
  <si>
    <t>2x1</t>
  </si>
  <si>
    <t>Nacional-AM</t>
  </si>
  <si>
    <t>Manauara</t>
  </si>
  <si>
    <t>Independência</t>
  </si>
  <si>
    <t>Manaus</t>
  </si>
  <si>
    <t>Trem</t>
  </si>
  <si>
    <t>São Raimundo-RR</t>
  </si>
  <si>
    <t>Tuna Luso</t>
  </si>
  <si>
    <t>Oratório</t>
  </si>
  <si>
    <t>Sampaio Corrêa-MA</t>
  </si>
  <si>
    <t>IAPE</t>
  </si>
  <si>
    <t>Tocantinópolis</t>
  </si>
  <si>
    <t>Iguatu</t>
  </si>
  <si>
    <t>Altos</t>
  </si>
  <si>
    <t>ABC</t>
  </si>
  <si>
    <t>Laguna</t>
  </si>
  <si>
    <t>Tirol</t>
  </si>
  <si>
    <t>Retrô</t>
  </si>
  <si>
    <t>Sousa</t>
  </si>
  <si>
    <t>Decisão</t>
  </si>
  <si>
    <t>Treze</t>
  </si>
  <si>
    <t>Sergipe</t>
  </si>
  <si>
    <t>CSE</t>
  </si>
  <si>
    <t>CSA</t>
  </si>
  <si>
    <t>Maguary</t>
  </si>
  <si>
    <t>Lagarto</t>
  </si>
  <si>
    <t>Atlético-BA</t>
  </si>
  <si>
    <t>Jacuipense</t>
  </si>
  <si>
    <t>Porto-BA</t>
  </si>
  <si>
    <t>Mixto</t>
  </si>
  <si>
    <t>CEOV Operário</t>
  </si>
  <si>
    <t>Inhumas</t>
  </si>
  <si>
    <t>Capital-DF</t>
  </si>
  <si>
    <t>Ceilândia</t>
  </si>
  <si>
    <t>Brasiliense</t>
  </si>
  <si>
    <t>Tombense</t>
  </si>
  <si>
    <t>Madureira</t>
  </si>
  <si>
    <t>Vitória-ES</t>
  </si>
  <si>
    <t>Maricá</t>
  </si>
  <si>
    <t>Nova Iguaçu</t>
  </si>
  <si>
    <t>Água Santa</t>
  </si>
  <si>
    <t>Portuguesa-SP</t>
  </si>
  <si>
    <t>Goiatuba</t>
  </si>
  <si>
    <t>CRAC</t>
  </si>
  <si>
    <t>Operário-MS</t>
  </si>
  <si>
    <t>Pouso Alegre</t>
  </si>
  <si>
    <t>Velo Clube</t>
  </si>
  <si>
    <t>Ouvidorense</t>
  </si>
  <si>
    <t>Joinville</t>
  </si>
  <si>
    <t>São Joseense</t>
  </si>
  <si>
    <t>Cianorte</t>
  </si>
  <si>
    <t>Cascavel</t>
  </si>
  <si>
    <t>São Luiz</t>
  </si>
  <si>
    <t>Santa Catarina</t>
  </si>
  <si>
    <t>Grupo 1</t>
  </si>
  <si>
    <t>Grupo 2</t>
  </si>
  <si>
    <t>Grupo 3</t>
  </si>
  <si>
    <t>Grupo 4</t>
  </si>
  <si>
    <t>Grupo 5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</si>
  <si>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</si>
  <si>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</si>
  <si>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</si>
  <si>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</si>
  <si>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</si>
  <si>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</si>
  <si>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</si>
  <si>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</si>
  <si>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</si>
  <si>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Grupo 15</t>
  </si>
  <si>
    <t>Grupo 16</t>
  </si>
  <si>
    <t>Baré</t>
  </si>
  <si>
    <t>River-RR</t>
  </si>
  <si>
    <t>Itacoatiara</t>
  </si>
  <si>
    <t>Capital-TO</t>
  </si>
  <si>
    <t>Rondoniense</t>
  </si>
  <si>
    <t>Ji-Paraná</t>
  </si>
  <si>
    <t>Santa Cruz-AC</t>
  </si>
  <si>
    <t>Sobradinho</t>
  </si>
  <si>
    <t>Jataiense</t>
  </si>
  <si>
    <t>Nova Mutum</t>
  </si>
  <si>
    <t>Centro-Oeste</t>
  </si>
  <si>
    <t>Bragantino-PA</t>
  </si>
  <si>
    <t>Atlético-PI</t>
  </si>
  <si>
    <t>Teresina</t>
  </si>
  <si>
    <t>Quixadá</t>
  </si>
  <si>
    <t>ITZ Sport</t>
  </si>
  <si>
    <t>Potiguar</t>
  </si>
  <si>
    <t>Maranguape</t>
  </si>
  <si>
    <t>Potyguar</t>
  </si>
  <si>
    <t>Murici</t>
  </si>
  <si>
    <t>Atlético Gloriense</t>
  </si>
  <si>
    <t>Coruripe</t>
  </si>
  <si>
    <t>Dourados</t>
  </si>
  <si>
    <t>Itabirito</t>
  </si>
  <si>
    <t>Aquidauana</t>
  </si>
  <si>
    <t>URT</t>
  </si>
  <si>
    <t>Macaé</t>
  </si>
  <si>
    <t>Capixaba</t>
  </si>
  <si>
    <t>Forte</t>
  </si>
  <si>
    <t>Boavista</t>
  </si>
  <si>
    <t>São-Carlense</t>
  </si>
  <si>
    <t>Andraus</t>
  </si>
  <si>
    <t>Capivariano</t>
  </si>
  <si>
    <t>Galo Maringá</t>
  </si>
  <si>
    <t>Carlos Renaux</t>
  </si>
  <si>
    <t>Concórdia</t>
  </si>
  <si>
    <t>Tubarão</t>
  </si>
  <si>
    <t>Novo Hamburgo</t>
  </si>
  <si>
    <t>Avenida</t>
  </si>
  <si>
    <t>0x1</t>
  </si>
  <si>
    <t>0x0</t>
  </si>
  <si>
    <t>0x0 (4x5)</t>
  </si>
  <si>
    <t>1x1</t>
  </si>
  <si>
    <t>3x0</t>
  </si>
  <si>
    <t>4x0</t>
  </si>
  <si>
    <t>4x2</t>
  </si>
  <si>
    <t>0x3</t>
  </si>
  <si>
    <t>0x2</t>
  </si>
  <si>
    <t>Ypiranga-AP</t>
  </si>
  <si>
    <t>América-RN</t>
  </si>
  <si>
    <t>0x1 (4x5)</t>
  </si>
  <si>
    <t>0x0 (6x5)</t>
  </si>
  <si>
    <t>1x3</t>
  </si>
  <si>
    <t>3x2</t>
  </si>
  <si>
    <t>0x2 (4x5)</t>
  </si>
  <si>
    <t>3x1</t>
  </si>
  <si>
    <t>0x0 (2x4)</t>
  </si>
  <si>
    <t>3a fase</t>
  </si>
  <si>
    <t>2x0 (5x3)</t>
  </si>
  <si>
    <t>1x0 (4x5)</t>
  </si>
  <si>
    <t>1x0 (4x2)</t>
  </si>
  <si>
    <t>4x1</t>
  </si>
  <si>
    <t>1x4</t>
  </si>
  <si>
    <t>2x1 (4x2)</t>
  </si>
  <si>
    <t>Oitavas de final</t>
  </si>
  <si>
    <t>Quartas de final</t>
  </si>
  <si>
    <t>Playoff</t>
  </si>
  <si>
    <t>1x0 (7x8)</t>
  </si>
  <si>
    <t>Semifinal</t>
  </si>
  <si>
    <t>0x4</t>
  </si>
  <si>
    <t>2x1 (4x5)</t>
  </si>
  <si>
    <t>Tabela Geral</t>
  </si>
  <si>
    <t>1a fase:</t>
  </si>
  <si>
    <t>2a fase:</t>
  </si>
  <si>
    <t>3a fase:</t>
  </si>
  <si>
    <t>GAS</t>
  </si>
  <si>
    <t>Progresso</t>
  </si>
  <si>
    <t>Barcelona-RO</t>
  </si>
  <si>
    <t>São Raimundo-AM</t>
  </si>
  <si>
    <t>América-SE</t>
  </si>
  <si>
    <t>Cruzeiro-AL</t>
  </si>
  <si>
    <t>Noroeste</t>
  </si>
  <si>
    <t>Desportivo Brasil</t>
  </si>
  <si>
    <t>Bangu</t>
  </si>
  <si>
    <t>North</t>
  </si>
  <si>
    <t>Inter SM</t>
  </si>
  <si>
    <t>Parintins</t>
  </si>
  <si>
    <t>Rio Branco-AC</t>
  </si>
  <si>
    <t>Primavera-MT</t>
  </si>
  <si>
    <t>Rio Branco-PR</t>
  </si>
  <si>
    <t>São Raimundo-PA</t>
  </si>
  <si>
    <t>Uberlândia</t>
  </si>
  <si>
    <t>Serra Branca</t>
  </si>
  <si>
    <t>Porto Vitória</t>
  </si>
  <si>
    <t>Serra</t>
  </si>
  <si>
    <t>Barra-SC</t>
  </si>
  <si>
    <t>Araguaína</t>
  </si>
  <si>
    <t>1x1 (3x5)</t>
  </si>
  <si>
    <t>1x1 (5x4)</t>
  </si>
  <si>
    <t>Americano-RJ</t>
  </si>
  <si>
    <t>0x0 (7x6)</t>
  </si>
  <si>
    <t>0x0 (4x3)</t>
  </si>
  <si>
    <t>0x0 (3x5)</t>
  </si>
  <si>
    <t>0x0 (5x3)</t>
  </si>
  <si>
    <t>1x1 (7x6)</t>
  </si>
  <si>
    <t>1x1 (10x9)</t>
  </si>
  <si>
    <t>1x1 (5x6)</t>
  </si>
  <si>
    <t>1x1 (4x5)</t>
  </si>
  <si>
    <t>0x0 (0x3)</t>
  </si>
  <si>
    <t>1x1 (5x3)</t>
  </si>
  <si>
    <t>0x0 (8x9)</t>
  </si>
  <si>
    <t>0x0 (3x4)</t>
  </si>
  <si>
    <t>2x2 (5x3)</t>
  </si>
  <si>
    <t>0x0 (4x2)</t>
  </si>
  <si>
    <t>4a fase:</t>
  </si>
  <si>
    <t>1x1 (4x2)</t>
  </si>
  <si>
    <t>5a fase:</t>
  </si>
  <si>
    <t>1x0 (3x2)</t>
  </si>
  <si>
    <t>2x1 (3x4)</t>
  </si>
  <si>
    <t>2x0 (4x1)</t>
  </si>
  <si>
    <t>3x3</t>
  </si>
  <si>
    <t>1x0 (6x5)</t>
  </si>
  <si>
    <t>2x2 (3x2)</t>
  </si>
  <si>
    <t>Copa Sul-Sudeste</t>
  </si>
  <si>
    <t>F</t>
  </si>
  <si>
    <t>C</t>
  </si>
  <si>
    <t>2x4</t>
  </si>
  <si>
    <t>1x1 (2x4)</t>
  </si>
  <si>
    <t>1x1 (4x3)</t>
  </si>
  <si>
    <t>Copa do Nordeste</t>
  </si>
  <si>
    <t>Grupo C</t>
  </si>
  <si>
    <t>Grupo D</t>
  </si>
  <si>
    <t>2x3</t>
  </si>
  <si>
    <t>1x5</t>
  </si>
  <si>
    <t>0x0 (1x3)</t>
  </si>
  <si>
    <t>Copa Verde</t>
  </si>
  <si>
    <t>Norte</t>
  </si>
  <si>
    <t>Final geral</t>
  </si>
  <si>
    <t>Campeões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</si>
</sst>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/>
    <xf numFmtId="0" fontId="1" fillId="0" borderId="0" xfId="0" applyFont="1"/>
    <xf numFmtId="0" fontId="4" fillId="3" borderId="0" xfId="0" applyFont="1" applyFill="1"/>
    <xf numFmtId="0" fontId="2" fillId="4" borderId="0" xfId="0" applyFont="1" applyFill="1"/>
    <xf numFmtId="0" fontId="4" fillId="0" borderId="0" xfId="0" applyFont="1"/>
    <xf numFmtId="0" fontId="0" fillId="5" borderId="0" xfId="0" applyFill="1"/>
    <xf numFmtId="0" fontId="4" fillId="6" borderId="0" xfId="0" applyFont="1" applyFill="1"/>
    <xf numFmtId="0" fontId="4" fillId="4" borderId="0" xfId="0" applyFont="1" applyFill="1"/>
    <xf numFmtId="0" fontId="0" fillId="3" borderId="0" xfId="0" applyFill="1"/>
    <xf numFmtId="0" fontId="0" fillId="6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F0024-4A78-4397-BAAA-A9A251531EDD}">
  <dimension ref="A1:G2"/>
  <sheetViews>
    <sheetView workbookViewId="0">
      <selection activeCell="G3" sqref="G3"/>
    </sheetView>
  </sheetViews>
  <sheetFormatPr defaultRowHeight="14.4" x14ac:dyDescent="0.3"/>
  <sheetData>
    <row r="1" spans="1:7" x14ac:dyDescent="0.3">
      <c r="A1" t="s">
        <v>0</v>
      </c>
      <c r="B1" t="s">
        <v>2</v>
      </c>
      <c r="C1" t="s">
        <v>1</v>
      </c>
      <c r="F1" t="s">
        <v>3</v>
      </c>
    </row>
    <row r="2" spans="1:7" x14ac:dyDescent="0.3">
      <c r="F2" t="s">
        <v>0</v>
      </c>
      <c r="G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84A2B-E4BF-4F6D-B9F1-B40E078DB040}">
  <dimension ref="A1:M21"/>
  <sheetViews>
    <sheetView workbookViewId="0">
      <selection activeCell="B8" sqref="B8"/>
    </sheetView>
  </sheetViews>
  <sheetFormatPr defaultRowHeight="14.4" x14ac:dyDescent="0.3"/>
  <cols>
    <col min="2" max="2" width="13" customWidth="1"/>
    <col min="12" max="12" width="10.6640625" customWidth="1"/>
  </cols>
  <sheetData>
    <row r="1" spans="1:13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L1" t="s">
        <v>3</v>
      </c>
    </row>
    <row r="2" spans="1:13" x14ac:dyDescent="0.3">
      <c r="A2" s="1" t="s">
        <v>14</v>
      </c>
      <c r="B2" t="s">
        <v>16</v>
      </c>
      <c r="C2" s="2">
        <f t="shared" ref="C2:C21" si="0">E2*3+F2</f>
        <v>72</v>
      </c>
      <c r="D2">
        <v>38</v>
      </c>
      <c r="E2">
        <v>23</v>
      </c>
      <c r="F2">
        <v>3</v>
      </c>
      <c r="G2">
        <f>D2-E2-F2</f>
        <v>12</v>
      </c>
      <c r="H2">
        <v>77</v>
      </c>
      <c r="I2">
        <v>57</v>
      </c>
      <c r="J2">
        <f>H2-I2</f>
        <v>20</v>
      </c>
      <c r="L2" t="s">
        <v>16</v>
      </c>
      <c r="M2">
        <v>8</v>
      </c>
    </row>
    <row r="3" spans="1:13" x14ac:dyDescent="0.3">
      <c r="A3" s="1" t="s">
        <v>15</v>
      </c>
      <c r="B3" t="s">
        <v>42</v>
      </c>
      <c r="C3" s="2">
        <f t="shared" si="0"/>
        <v>71</v>
      </c>
      <c r="D3">
        <v>38</v>
      </c>
      <c r="E3">
        <v>20</v>
      </c>
      <c r="F3">
        <v>11</v>
      </c>
      <c r="G3">
        <f t="shared" ref="G3:G21" si="1">D3-E3-F3</f>
        <v>7</v>
      </c>
      <c r="H3">
        <v>64</v>
      </c>
      <c r="I3">
        <v>47</v>
      </c>
      <c r="J3">
        <f t="shared" ref="J3:J21" si="2">H3-I3</f>
        <v>17</v>
      </c>
    </row>
    <row r="4" spans="1:13" x14ac:dyDescent="0.3">
      <c r="A4" s="1" t="s">
        <v>17</v>
      </c>
      <c r="B4" t="s">
        <v>20</v>
      </c>
      <c r="C4" s="2">
        <f t="shared" si="0"/>
        <v>65</v>
      </c>
      <c r="D4">
        <v>38</v>
      </c>
      <c r="E4">
        <v>20</v>
      </c>
      <c r="F4">
        <v>5</v>
      </c>
      <c r="G4">
        <f t="shared" si="1"/>
        <v>13</v>
      </c>
      <c r="H4">
        <v>68</v>
      </c>
      <c r="I4">
        <v>48</v>
      </c>
      <c r="J4">
        <f t="shared" si="2"/>
        <v>20</v>
      </c>
    </row>
    <row r="5" spans="1:13" x14ac:dyDescent="0.3">
      <c r="A5" s="1" t="s">
        <v>19</v>
      </c>
      <c r="B5" t="s">
        <v>53</v>
      </c>
      <c r="C5" s="2">
        <f t="shared" si="0"/>
        <v>65</v>
      </c>
      <c r="D5">
        <v>38</v>
      </c>
      <c r="E5">
        <v>20</v>
      </c>
      <c r="F5">
        <v>5</v>
      </c>
      <c r="G5">
        <f t="shared" si="1"/>
        <v>13</v>
      </c>
      <c r="H5">
        <v>59</v>
      </c>
      <c r="I5">
        <v>53</v>
      </c>
      <c r="J5">
        <f t="shared" si="2"/>
        <v>6</v>
      </c>
    </row>
    <row r="6" spans="1:13" x14ac:dyDescent="0.3">
      <c r="A6" s="1" t="s">
        <v>21</v>
      </c>
      <c r="B6" t="s">
        <v>28</v>
      </c>
      <c r="C6" s="2">
        <f t="shared" si="0"/>
        <v>59</v>
      </c>
      <c r="D6">
        <v>38</v>
      </c>
      <c r="E6">
        <v>17</v>
      </c>
      <c r="F6">
        <v>8</v>
      </c>
      <c r="G6">
        <f t="shared" si="1"/>
        <v>13</v>
      </c>
      <c r="H6">
        <v>63</v>
      </c>
      <c r="I6">
        <v>51</v>
      </c>
      <c r="J6">
        <f t="shared" si="2"/>
        <v>12</v>
      </c>
    </row>
    <row r="7" spans="1:13" x14ac:dyDescent="0.3">
      <c r="A7" s="3" t="s">
        <v>23</v>
      </c>
      <c r="B7" t="s">
        <v>40</v>
      </c>
      <c r="C7" s="2">
        <f t="shared" si="0"/>
        <v>59</v>
      </c>
      <c r="D7">
        <v>38</v>
      </c>
      <c r="E7">
        <v>16</v>
      </c>
      <c r="F7">
        <v>11</v>
      </c>
      <c r="G7">
        <f t="shared" si="1"/>
        <v>11</v>
      </c>
      <c r="H7">
        <v>63</v>
      </c>
      <c r="I7">
        <v>51</v>
      </c>
      <c r="J7">
        <f t="shared" si="2"/>
        <v>12</v>
      </c>
    </row>
    <row r="8" spans="1:13" x14ac:dyDescent="0.3">
      <c r="A8" s="4" t="s">
        <v>25</v>
      </c>
      <c r="B8" t="s">
        <v>54</v>
      </c>
      <c r="C8" s="2">
        <f t="shared" si="0"/>
        <v>55</v>
      </c>
      <c r="D8">
        <v>38</v>
      </c>
      <c r="E8">
        <v>16</v>
      </c>
      <c r="F8">
        <v>7</v>
      </c>
      <c r="G8">
        <f t="shared" si="1"/>
        <v>15</v>
      </c>
      <c r="H8">
        <v>56</v>
      </c>
      <c r="I8">
        <v>63</v>
      </c>
      <c r="J8">
        <f t="shared" si="2"/>
        <v>-7</v>
      </c>
    </row>
    <row r="9" spans="1:13" x14ac:dyDescent="0.3">
      <c r="A9" s="4" t="s">
        <v>27</v>
      </c>
      <c r="B9" t="s">
        <v>24</v>
      </c>
      <c r="C9" s="2">
        <f t="shared" si="0"/>
        <v>55</v>
      </c>
      <c r="D9">
        <v>38</v>
      </c>
      <c r="E9">
        <v>14</v>
      </c>
      <c r="F9">
        <v>13</v>
      </c>
      <c r="G9">
        <f t="shared" si="1"/>
        <v>11</v>
      </c>
      <c r="H9">
        <v>57</v>
      </c>
      <c r="I9">
        <v>50</v>
      </c>
      <c r="J9">
        <f t="shared" si="2"/>
        <v>7</v>
      </c>
    </row>
    <row r="10" spans="1:13" x14ac:dyDescent="0.3">
      <c r="A10" s="4" t="s">
        <v>29</v>
      </c>
      <c r="B10" t="s">
        <v>32</v>
      </c>
      <c r="C10" s="2">
        <f t="shared" si="0"/>
        <v>54</v>
      </c>
      <c r="D10">
        <v>38</v>
      </c>
      <c r="E10">
        <v>15</v>
      </c>
      <c r="F10">
        <v>9</v>
      </c>
      <c r="G10">
        <f t="shared" si="1"/>
        <v>14</v>
      </c>
      <c r="H10">
        <v>64</v>
      </c>
      <c r="I10">
        <v>60</v>
      </c>
      <c r="J10">
        <f t="shared" si="2"/>
        <v>4</v>
      </c>
    </row>
    <row r="11" spans="1:13" x14ac:dyDescent="0.3">
      <c r="A11" s="4" t="s">
        <v>31</v>
      </c>
      <c r="B11" t="s">
        <v>44</v>
      </c>
      <c r="C11" s="2">
        <f t="shared" si="0"/>
        <v>50</v>
      </c>
      <c r="D11">
        <v>38</v>
      </c>
      <c r="E11">
        <v>13</v>
      </c>
      <c r="F11">
        <v>11</v>
      </c>
      <c r="G11">
        <f t="shared" si="1"/>
        <v>14</v>
      </c>
      <c r="H11">
        <v>54</v>
      </c>
      <c r="I11">
        <v>60</v>
      </c>
      <c r="J11">
        <f t="shared" si="2"/>
        <v>-6</v>
      </c>
    </row>
    <row r="12" spans="1:13" x14ac:dyDescent="0.3">
      <c r="A12" s="4" t="s">
        <v>33</v>
      </c>
      <c r="B12" t="s">
        <v>38</v>
      </c>
      <c r="C12" s="2">
        <f t="shared" si="0"/>
        <v>49</v>
      </c>
      <c r="D12">
        <v>38</v>
      </c>
      <c r="E12">
        <v>13</v>
      </c>
      <c r="F12">
        <v>10</v>
      </c>
      <c r="G12">
        <f t="shared" si="1"/>
        <v>15</v>
      </c>
      <c r="H12">
        <v>53</v>
      </c>
      <c r="I12">
        <v>57</v>
      </c>
      <c r="J12">
        <f t="shared" si="2"/>
        <v>-4</v>
      </c>
    </row>
    <row r="13" spans="1:13" x14ac:dyDescent="0.3">
      <c r="A13" s="4" t="s">
        <v>35</v>
      </c>
      <c r="B13" t="s">
        <v>55</v>
      </c>
      <c r="C13" s="2">
        <f t="shared" si="0"/>
        <v>48</v>
      </c>
      <c r="D13">
        <v>38</v>
      </c>
      <c r="E13">
        <v>13</v>
      </c>
      <c r="F13">
        <v>9</v>
      </c>
      <c r="G13">
        <f t="shared" si="1"/>
        <v>16</v>
      </c>
      <c r="H13">
        <v>55</v>
      </c>
      <c r="I13">
        <v>57</v>
      </c>
      <c r="J13">
        <f t="shared" si="2"/>
        <v>-2</v>
      </c>
    </row>
    <row r="14" spans="1:13" x14ac:dyDescent="0.3">
      <c r="A14" s="5" t="s">
        <v>37</v>
      </c>
      <c r="B14" t="s">
        <v>56</v>
      </c>
      <c r="C14" s="2">
        <f t="shared" si="0"/>
        <v>48</v>
      </c>
      <c r="D14">
        <v>38</v>
      </c>
      <c r="E14">
        <v>12</v>
      </c>
      <c r="F14">
        <v>12</v>
      </c>
      <c r="G14">
        <f t="shared" si="1"/>
        <v>14</v>
      </c>
      <c r="H14">
        <v>57</v>
      </c>
      <c r="I14">
        <v>57</v>
      </c>
      <c r="J14">
        <f t="shared" si="2"/>
        <v>0</v>
      </c>
    </row>
    <row r="15" spans="1:13" x14ac:dyDescent="0.3">
      <c r="A15" t="s">
        <v>39</v>
      </c>
      <c r="B15" t="s">
        <v>0</v>
      </c>
      <c r="C15" s="2">
        <f t="shared" si="0"/>
        <v>47</v>
      </c>
      <c r="D15">
        <v>38</v>
      </c>
      <c r="E15">
        <v>12</v>
      </c>
      <c r="F15">
        <v>11</v>
      </c>
      <c r="G15">
        <f t="shared" si="1"/>
        <v>15</v>
      </c>
      <c r="H15">
        <v>44</v>
      </c>
      <c r="I15">
        <v>52</v>
      </c>
      <c r="J15">
        <f t="shared" si="2"/>
        <v>-8</v>
      </c>
    </row>
    <row r="16" spans="1:13" x14ac:dyDescent="0.3">
      <c r="A16" s="9" t="s">
        <v>41</v>
      </c>
      <c r="B16" t="s">
        <v>34</v>
      </c>
      <c r="C16" s="2">
        <f t="shared" si="0"/>
        <v>47</v>
      </c>
      <c r="D16">
        <v>38</v>
      </c>
      <c r="E16">
        <v>12</v>
      </c>
      <c r="F16">
        <v>11</v>
      </c>
      <c r="G16">
        <f t="shared" si="1"/>
        <v>15</v>
      </c>
      <c r="H16">
        <v>51</v>
      </c>
      <c r="I16">
        <v>63</v>
      </c>
      <c r="J16">
        <f t="shared" si="2"/>
        <v>-12</v>
      </c>
    </row>
    <row r="17" spans="1:10" x14ac:dyDescent="0.3">
      <c r="A17" t="s">
        <v>43</v>
      </c>
      <c r="B17" t="s">
        <v>26</v>
      </c>
      <c r="C17" s="2">
        <f t="shared" si="0"/>
        <v>46</v>
      </c>
      <c r="D17">
        <v>38</v>
      </c>
      <c r="E17">
        <v>14</v>
      </c>
      <c r="F17">
        <v>4</v>
      </c>
      <c r="G17">
        <f t="shared" si="1"/>
        <v>20</v>
      </c>
      <c r="H17">
        <v>47</v>
      </c>
      <c r="I17">
        <v>53</v>
      </c>
      <c r="J17">
        <f t="shared" si="2"/>
        <v>-6</v>
      </c>
    </row>
    <row r="18" spans="1:10" x14ac:dyDescent="0.3">
      <c r="A18" s="6" t="s">
        <v>45</v>
      </c>
      <c r="B18" t="s">
        <v>36</v>
      </c>
      <c r="C18" s="2">
        <f t="shared" si="0"/>
        <v>45</v>
      </c>
      <c r="D18">
        <v>38</v>
      </c>
      <c r="E18">
        <v>11</v>
      </c>
      <c r="F18">
        <v>12</v>
      </c>
      <c r="G18">
        <f t="shared" si="1"/>
        <v>15</v>
      </c>
      <c r="H18">
        <v>51</v>
      </c>
      <c r="I18">
        <v>62</v>
      </c>
      <c r="J18">
        <f t="shared" si="2"/>
        <v>-11</v>
      </c>
    </row>
    <row r="19" spans="1:10" x14ac:dyDescent="0.3">
      <c r="A19" s="6" t="s">
        <v>47</v>
      </c>
      <c r="B19" t="s">
        <v>22</v>
      </c>
      <c r="C19" s="2">
        <f t="shared" si="0"/>
        <v>44</v>
      </c>
      <c r="D19">
        <v>38</v>
      </c>
      <c r="E19">
        <v>11</v>
      </c>
      <c r="F19">
        <v>11</v>
      </c>
      <c r="G19">
        <f t="shared" si="1"/>
        <v>16</v>
      </c>
      <c r="H19">
        <v>61</v>
      </c>
      <c r="I19">
        <v>65</v>
      </c>
      <c r="J19">
        <f t="shared" si="2"/>
        <v>-4</v>
      </c>
    </row>
    <row r="20" spans="1:10" x14ac:dyDescent="0.3">
      <c r="A20" s="6" t="s">
        <v>49</v>
      </c>
      <c r="B20" t="s">
        <v>30</v>
      </c>
      <c r="C20" s="2">
        <f t="shared" si="0"/>
        <v>37</v>
      </c>
      <c r="D20">
        <v>38</v>
      </c>
      <c r="E20">
        <v>10</v>
      </c>
      <c r="F20">
        <v>7</v>
      </c>
      <c r="G20">
        <f t="shared" si="1"/>
        <v>21</v>
      </c>
      <c r="H20">
        <v>44</v>
      </c>
      <c r="I20">
        <v>64</v>
      </c>
      <c r="J20">
        <f t="shared" si="2"/>
        <v>-20</v>
      </c>
    </row>
    <row r="21" spans="1:10" x14ac:dyDescent="0.3">
      <c r="A21" s="6" t="s">
        <v>51</v>
      </c>
      <c r="B21" t="s">
        <v>18</v>
      </c>
      <c r="C21" s="2">
        <f t="shared" si="0"/>
        <v>34</v>
      </c>
      <c r="D21">
        <v>38</v>
      </c>
      <c r="E21">
        <v>8</v>
      </c>
      <c r="F21">
        <v>10</v>
      </c>
      <c r="G21">
        <f t="shared" si="1"/>
        <v>20</v>
      </c>
      <c r="H21">
        <v>51</v>
      </c>
      <c r="I21">
        <v>69</v>
      </c>
      <c r="J21">
        <f t="shared" si="2"/>
        <v>-18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2CF44-0067-4BC9-8008-83AC89B64D18}">
  <dimension ref="A1:M25"/>
  <sheetViews>
    <sheetView workbookViewId="0">
      <selection activeCell="B9" sqref="B9"/>
    </sheetView>
  </sheetViews>
  <sheetFormatPr defaultRowHeight="14.4" x14ac:dyDescent="0.3"/>
  <cols>
    <col min="2" max="2" width="14.5546875" customWidth="1"/>
    <col min="3" max="3" width="14.21875" customWidth="1"/>
    <col min="5" max="5" width="14.21875" customWidth="1"/>
  </cols>
  <sheetData>
    <row r="1" spans="1:13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L1" t="s">
        <v>3</v>
      </c>
    </row>
    <row r="2" spans="1:13" x14ac:dyDescent="0.3">
      <c r="A2" s="7" t="s">
        <v>14</v>
      </c>
      <c r="B2" t="s">
        <v>50</v>
      </c>
      <c r="C2" s="2">
        <f t="shared" ref="C2:C21" si="0">E2*3+F2</f>
        <v>66</v>
      </c>
      <c r="D2">
        <v>38</v>
      </c>
      <c r="E2">
        <v>20</v>
      </c>
      <c r="F2">
        <v>6</v>
      </c>
      <c r="G2">
        <f>D2-E2-F2</f>
        <v>12</v>
      </c>
      <c r="H2">
        <v>53</v>
      </c>
      <c r="I2">
        <v>41</v>
      </c>
      <c r="J2">
        <f>H2-I2</f>
        <v>12</v>
      </c>
      <c r="L2" t="s">
        <v>50</v>
      </c>
      <c r="M2">
        <v>4</v>
      </c>
    </row>
    <row r="3" spans="1:13" x14ac:dyDescent="0.3">
      <c r="A3" s="7" t="s">
        <v>15</v>
      </c>
      <c r="B3" t="s">
        <v>48</v>
      </c>
      <c r="C3" s="2">
        <f t="shared" si="0"/>
        <v>64</v>
      </c>
      <c r="D3">
        <v>38</v>
      </c>
      <c r="E3">
        <v>18</v>
      </c>
      <c r="F3">
        <v>10</v>
      </c>
      <c r="G3">
        <f t="shared" ref="G3:G21" si="1">D3-E3-F3</f>
        <v>10</v>
      </c>
      <c r="H3">
        <v>66</v>
      </c>
      <c r="I3">
        <v>54</v>
      </c>
      <c r="J3">
        <f t="shared" ref="J3:J21" si="2">H3-I3</f>
        <v>12</v>
      </c>
    </row>
    <row r="4" spans="1:13" x14ac:dyDescent="0.3">
      <c r="A4" s="8" t="s">
        <v>17</v>
      </c>
      <c r="B4" t="s">
        <v>74</v>
      </c>
      <c r="C4" s="2">
        <f t="shared" si="0"/>
        <v>62</v>
      </c>
      <c r="D4">
        <v>38</v>
      </c>
      <c r="E4">
        <v>17</v>
      </c>
      <c r="F4">
        <v>11</v>
      </c>
      <c r="G4">
        <f t="shared" si="1"/>
        <v>10</v>
      </c>
      <c r="H4">
        <v>60</v>
      </c>
      <c r="I4">
        <v>48</v>
      </c>
      <c r="J4">
        <f t="shared" si="2"/>
        <v>12</v>
      </c>
    </row>
    <row r="5" spans="1:13" x14ac:dyDescent="0.3">
      <c r="A5" s="8" t="s">
        <v>19</v>
      </c>
      <c r="B5" t="s">
        <v>64</v>
      </c>
      <c r="C5" s="2">
        <f t="shared" si="0"/>
        <v>61</v>
      </c>
      <c r="D5">
        <v>38</v>
      </c>
      <c r="E5">
        <v>19</v>
      </c>
      <c r="F5">
        <v>4</v>
      </c>
      <c r="G5">
        <f t="shared" si="1"/>
        <v>15</v>
      </c>
      <c r="H5">
        <v>73</v>
      </c>
      <c r="I5">
        <v>59</v>
      </c>
      <c r="J5">
        <f t="shared" si="2"/>
        <v>14</v>
      </c>
    </row>
    <row r="6" spans="1:13" x14ac:dyDescent="0.3">
      <c r="A6" s="8" t="s">
        <v>21</v>
      </c>
      <c r="B6" t="s">
        <v>75</v>
      </c>
      <c r="C6" s="2">
        <f t="shared" si="0"/>
        <v>60</v>
      </c>
      <c r="D6">
        <v>38</v>
      </c>
      <c r="E6">
        <v>16</v>
      </c>
      <c r="F6">
        <v>12</v>
      </c>
      <c r="G6">
        <f t="shared" si="1"/>
        <v>10</v>
      </c>
      <c r="H6">
        <v>66</v>
      </c>
      <c r="I6">
        <v>54</v>
      </c>
      <c r="J6">
        <f t="shared" si="2"/>
        <v>12</v>
      </c>
    </row>
    <row r="7" spans="1:13" x14ac:dyDescent="0.3">
      <c r="A7" s="8" t="s">
        <v>23</v>
      </c>
      <c r="B7" t="s">
        <v>61</v>
      </c>
      <c r="C7" s="2">
        <f t="shared" si="0"/>
        <v>59</v>
      </c>
      <c r="D7">
        <v>38</v>
      </c>
      <c r="E7">
        <v>19</v>
      </c>
      <c r="F7">
        <v>2</v>
      </c>
      <c r="G7">
        <f t="shared" si="1"/>
        <v>17</v>
      </c>
      <c r="H7">
        <v>52</v>
      </c>
      <c r="I7">
        <v>49</v>
      </c>
      <c r="J7">
        <f t="shared" si="2"/>
        <v>3</v>
      </c>
    </row>
    <row r="8" spans="1:13" x14ac:dyDescent="0.3">
      <c r="A8" s="5" t="s">
        <v>25</v>
      </c>
      <c r="B8" t="s">
        <v>62</v>
      </c>
      <c r="C8" s="2">
        <f t="shared" si="0"/>
        <v>58</v>
      </c>
      <c r="D8">
        <v>38</v>
      </c>
      <c r="E8">
        <v>16</v>
      </c>
      <c r="F8">
        <v>10</v>
      </c>
      <c r="G8">
        <f t="shared" si="1"/>
        <v>12</v>
      </c>
      <c r="H8">
        <v>65</v>
      </c>
      <c r="I8">
        <v>58</v>
      </c>
      <c r="J8">
        <f t="shared" si="2"/>
        <v>7</v>
      </c>
    </row>
    <row r="9" spans="1:13" x14ac:dyDescent="0.3">
      <c r="A9" s="5" t="s">
        <v>27</v>
      </c>
      <c r="B9" t="s">
        <v>65</v>
      </c>
      <c r="C9" s="2">
        <f t="shared" si="0"/>
        <v>55</v>
      </c>
      <c r="D9">
        <v>38</v>
      </c>
      <c r="E9">
        <v>16</v>
      </c>
      <c r="F9">
        <v>7</v>
      </c>
      <c r="G9">
        <f t="shared" si="1"/>
        <v>15</v>
      </c>
      <c r="H9">
        <v>61</v>
      </c>
      <c r="I9">
        <v>62</v>
      </c>
      <c r="J9">
        <f t="shared" si="2"/>
        <v>-1</v>
      </c>
    </row>
    <row r="10" spans="1:13" x14ac:dyDescent="0.3">
      <c r="A10" s="5" t="s">
        <v>29</v>
      </c>
      <c r="B10" t="s">
        <v>58</v>
      </c>
      <c r="C10" s="2">
        <f t="shared" si="0"/>
        <v>54</v>
      </c>
      <c r="D10">
        <v>38</v>
      </c>
      <c r="E10">
        <v>16</v>
      </c>
      <c r="F10">
        <v>6</v>
      </c>
      <c r="G10">
        <f t="shared" si="1"/>
        <v>16</v>
      </c>
      <c r="H10">
        <v>53</v>
      </c>
      <c r="I10">
        <v>51</v>
      </c>
      <c r="J10">
        <f t="shared" si="2"/>
        <v>2</v>
      </c>
    </row>
    <row r="11" spans="1:13" x14ac:dyDescent="0.3">
      <c r="A11" s="5" t="s">
        <v>31</v>
      </c>
      <c r="B11" t="s">
        <v>67</v>
      </c>
      <c r="C11" s="2">
        <f t="shared" si="0"/>
        <v>53</v>
      </c>
      <c r="D11">
        <v>38</v>
      </c>
      <c r="E11">
        <v>14</v>
      </c>
      <c r="F11">
        <v>11</v>
      </c>
      <c r="G11">
        <f t="shared" si="1"/>
        <v>13</v>
      </c>
      <c r="H11">
        <v>51</v>
      </c>
      <c r="I11">
        <v>52</v>
      </c>
      <c r="J11">
        <f t="shared" si="2"/>
        <v>-1</v>
      </c>
    </row>
    <row r="12" spans="1:13" x14ac:dyDescent="0.3">
      <c r="A12" s="5" t="s">
        <v>33</v>
      </c>
      <c r="B12" t="s">
        <v>57</v>
      </c>
      <c r="C12" s="2">
        <f t="shared" si="0"/>
        <v>52</v>
      </c>
      <c r="D12">
        <v>38</v>
      </c>
      <c r="E12">
        <v>14</v>
      </c>
      <c r="F12">
        <v>10</v>
      </c>
      <c r="G12">
        <f t="shared" si="1"/>
        <v>14</v>
      </c>
      <c r="H12">
        <v>52</v>
      </c>
      <c r="I12">
        <v>56</v>
      </c>
      <c r="J12">
        <f t="shared" si="2"/>
        <v>-4</v>
      </c>
    </row>
    <row r="13" spans="1:13" x14ac:dyDescent="0.3">
      <c r="A13" s="5" t="s">
        <v>35</v>
      </c>
      <c r="B13" t="s">
        <v>59</v>
      </c>
      <c r="C13" s="2">
        <f t="shared" si="0"/>
        <v>51</v>
      </c>
      <c r="D13">
        <v>38</v>
      </c>
      <c r="E13">
        <v>14</v>
      </c>
      <c r="F13">
        <v>9</v>
      </c>
      <c r="G13">
        <f t="shared" si="1"/>
        <v>15</v>
      </c>
      <c r="H13">
        <v>41</v>
      </c>
      <c r="I13">
        <v>47</v>
      </c>
      <c r="J13">
        <f t="shared" si="2"/>
        <v>-6</v>
      </c>
    </row>
    <row r="14" spans="1:13" x14ac:dyDescent="0.3">
      <c r="A14" t="s">
        <v>37</v>
      </c>
      <c r="B14" t="s">
        <v>52</v>
      </c>
      <c r="C14" s="2">
        <f t="shared" si="0"/>
        <v>50</v>
      </c>
      <c r="D14">
        <v>38</v>
      </c>
      <c r="E14">
        <v>14</v>
      </c>
      <c r="F14">
        <v>8</v>
      </c>
      <c r="G14">
        <f t="shared" si="1"/>
        <v>16</v>
      </c>
      <c r="H14">
        <v>50</v>
      </c>
      <c r="I14">
        <v>50</v>
      </c>
      <c r="J14">
        <f t="shared" si="2"/>
        <v>0</v>
      </c>
    </row>
    <row r="15" spans="1:13" x14ac:dyDescent="0.3">
      <c r="A15" t="s">
        <v>39</v>
      </c>
      <c r="B15" t="s">
        <v>46</v>
      </c>
      <c r="C15" s="2">
        <f t="shared" si="0"/>
        <v>48</v>
      </c>
      <c r="D15">
        <v>38</v>
      </c>
      <c r="E15">
        <v>13</v>
      </c>
      <c r="F15">
        <v>9</v>
      </c>
      <c r="G15">
        <f t="shared" si="1"/>
        <v>16</v>
      </c>
      <c r="H15">
        <v>56</v>
      </c>
      <c r="I15">
        <v>61</v>
      </c>
      <c r="J15">
        <f t="shared" si="2"/>
        <v>-5</v>
      </c>
    </row>
    <row r="16" spans="1:13" x14ac:dyDescent="0.3">
      <c r="A16" t="s">
        <v>41</v>
      </c>
      <c r="B16" t="s">
        <v>60</v>
      </c>
      <c r="C16" s="2">
        <f t="shared" si="0"/>
        <v>48</v>
      </c>
      <c r="D16">
        <v>38</v>
      </c>
      <c r="E16">
        <v>12</v>
      </c>
      <c r="F16">
        <v>12</v>
      </c>
      <c r="G16">
        <f t="shared" si="1"/>
        <v>14</v>
      </c>
      <c r="H16">
        <v>45</v>
      </c>
      <c r="I16">
        <v>47</v>
      </c>
      <c r="J16">
        <f t="shared" si="2"/>
        <v>-2</v>
      </c>
    </row>
    <row r="17" spans="1:10" x14ac:dyDescent="0.3">
      <c r="A17" t="s">
        <v>43</v>
      </c>
      <c r="B17" t="s">
        <v>76</v>
      </c>
      <c r="C17" s="2">
        <f t="shared" si="0"/>
        <v>45</v>
      </c>
      <c r="D17">
        <v>38</v>
      </c>
      <c r="E17">
        <v>13</v>
      </c>
      <c r="F17">
        <v>6</v>
      </c>
      <c r="G17">
        <f t="shared" si="1"/>
        <v>19</v>
      </c>
      <c r="H17">
        <v>55</v>
      </c>
      <c r="I17">
        <v>72</v>
      </c>
      <c r="J17">
        <f t="shared" si="2"/>
        <v>-17</v>
      </c>
    </row>
    <row r="18" spans="1:10" x14ac:dyDescent="0.3">
      <c r="A18" s="6" t="s">
        <v>45</v>
      </c>
      <c r="B18" t="s">
        <v>66</v>
      </c>
      <c r="C18" s="2">
        <f t="shared" si="0"/>
        <v>45</v>
      </c>
      <c r="D18">
        <v>38</v>
      </c>
      <c r="E18">
        <v>10</v>
      </c>
      <c r="F18">
        <v>15</v>
      </c>
      <c r="G18">
        <f t="shared" si="1"/>
        <v>13</v>
      </c>
      <c r="H18">
        <v>55</v>
      </c>
      <c r="I18">
        <v>58</v>
      </c>
      <c r="J18">
        <f t="shared" si="2"/>
        <v>-3</v>
      </c>
    </row>
    <row r="19" spans="1:10" x14ac:dyDescent="0.3">
      <c r="A19" s="6" t="s">
        <v>47</v>
      </c>
      <c r="B19" t="s">
        <v>68</v>
      </c>
      <c r="C19" s="2">
        <f t="shared" si="0"/>
        <v>43</v>
      </c>
      <c r="D19">
        <v>38</v>
      </c>
      <c r="E19">
        <v>12</v>
      </c>
      <c r="F19">
        <v>7</v>
      </c>
      <c r="G19">
        <f t="shared" si="1"/>
        <v>19</v>
      </c>
      <c r="H19">
        <v>51</v>
      </c>
      <c r="I19">
        <v>65</v>
      </c>
      <c r="J19">
        <f t="shared" si="2"/>
        <v>-14</v>
      </c>
    </row>
    <row r="20" spans="1:10" x14ac:dyDescent="0.3">
      <c r="A20" s="6" t="s">
        <v>49</v>
      </c>
      <c r="B20" t="s">
        <v>63</v>
      </c>
      <c r="C20" s="2">
        <f t="shared" si="0"/>
        <v>40</v>
      </c>
      <c r="D20">
        <v>38</v>
      </c>
      <c r="E20">
        <v>11</v>
      </c>
      <c r="F20">
        <v>7</v>
      </c>
      <c r="G20">
        <f t="shared" si="1"/>
        <v>20</v>
      </c>
      <c r="H20">
        <v>52</v>
      </c>
      <c r="I20">
        <v>64</v>
      </c>
      <c r="J20">
        <f t="shared" si="2"/>
        <v>-12</v>
      </c>
    </row>
    <row r="21" spans="1:10" x14ac:dyDescent="0.3">
      <c r="A21" s="6" t="s">
        <v>51</v>
      </c>
      <c r="B21" t="s">
        <v>77</v>
      </c>
      <c r="C21" s="2">
        <f t="shared" si="0"/>
        <v>40</v>
      </c>
      <c r="D21">
        <v>38</v>
      </c>
      <c r="E21">
        <v>10</v>
      </c>
      <c r="F21">
        <v>10</v>
      </c>
      <c r="G21">
        <f t="shared" si="1"/>
        <v>18</v>
      </c>
      <c r="H21">
        <v>47</v>
      </c>
      <c r="I21">
        <v>56</v>
      </c>
      <c r="J21">
        <f t="shared" si="2"/>
        <v>-9</v>
      </c>
    </row>
    <row r="23" spans="1:10" x14ac:dyDescent="0.3">
      <c r="A23" t="s">
        <v>73</v>
      </c>
    </row>
    <row r="24" spans="1:10" x14ac:dyDescent="0.3">
      <c r="A24" t="str">
        <f>B7</f>
        <v>Athletic</v>
      </c>
      <c r="B24" t="s">
        <v>78</v>
      </c>
      <c r="C24" t="str">
        <f>B4</f>
        <v>Inter de Limeira</v>
      </c>
      <c r="E24" t="str">
        <f>B4</f>
        <v>Inter de Limeira</v>
      </c>
      <c r="F24" t="s">
        <v>79</v>
      </c>
      <c r="G24" t="str">
        <f>B7</f>
        <v>Athletic</v>
      </c>
    </row>
    <row r="25" spans="1:10" x14ac:dyDescent="0.3">
      <c r="A25" t="str">
        <f>B6</f>
        <v>Floresta</v>
      </c>
      <c r="B25" t="s">
        <v>79</v>
      </c>
      <c r="C25" t="str">
        <f>B5</f>
        <v>Avaí</v>
      </c>
      <c r="E25" t="str">
        <f>B5</f>
        <v>Avaí</v>
      </c>
      <c r="F25" t="s">
        <v>80</v>
      </c>
      <c r="G25" t="str">
        <f>B6</f>
        <v>Floresta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283C2-26E7-4C4A-825E-8A4B8FF0D3CB}">
  <dimension ref="A1:M43"/>
  <sheetViews>
    <sheetView workbookViewId="0">
      <selection activeCell="A17" sqref="A17"/>
    </sheetView>
  </sheetViews>
  <sheetFormatPr defaultRowHeight="14.4" x14ac:dyDescent="0.3"/>
  <cols>
    <col min="2" max="2" width="15.21875" customWidth="1"/>
    <col min="3" max="3" width="12.33203125" customWidth="1"/>
    <col min="5" max="5" width="12.21875" customWidth="1"/>
    <col min="12" max="12" width="11.5546875" customWidth="1"/>
  </cols>
  <sheetData>
    <row r="1" spans="1:13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L1" t="s">
        <v>3</v>
      </c>
    </row>
    <row r="2" spans="1:13" x14ac:dyDescent="0.3">
      <c r="A2" s="8" t="s">
        <v>14</v>
      </c>
      <c r="B2" t="s">
        <v>100</v>
      </c>
      <c r="C2" s="2">
        <f t="shared" ref="C2:C25" si="0">E2*3+F2</f>
        <v>51</v>
      </c>
      <c r="D2">
        <v>23</v>
      </c>
      <c r="E2">
        <v>17</v>
      </c>
      <c r="F2">
        <v>0</v>
      </c>
      <c r="G2">
        <f>D2-E2-F2</f>
        <v>6</v>
      </c>
      <c r="H2">
        <v>34</v>
      </c>
      <c r="I2">
        <v>19</v>
      </c>
      <c r="J2">
        <f>H2-I2</f>
        <v>15</v>
      </c>
      <c r="L2" t="s">
        <v>102</v>
      </c>
      <c r="M2">
        <v>1</v>
      </c>
    </row>
    <row r="3" spans="1:13" x14ac:dyDescent="0.3">
      <c r="A3" s="8" t="s">
        <v>15</v>
      </c>
      <c r="B3" t="s">
        <v>101</v>
      </c>
      <c r="C3" s="2">
        <f t="shared" si="0"/>
        <v>44</v>
      </c>
      <c r="D3">
        <v>23</v>
      </c>
      <c r="E3">
        <v>14</v>
      </c>
      <c r="F3">
        <v>2</v>
      </c>
      <c r="G3">
        <f t="shared" ref="G3:G25" si="1">D3-E3-F3</f>
        <v>7</v>
      </c>
      <c r="H3">
        <v>38</v>
      </c>
      <c r="I3">
        <v>27</v>
      </c>
      <c r="J3">
        <f t="shared" ref="J3:J25" si="2">H3-I3</f>
        <v>11</v>
      </c>
    </row>
    <row r="4" spans="1:13" x14ac:dyDescent="0.3">
      <c r="A4" s="8" t="s">
        <v>17</v>
      </c>
      <c r="B4" t="s">
        <v>92</v>
      </c>
      <c r="C4" s="2">
        <f t="shared" si="0"/>
        <v>42</v>
      </c>
      <c r="D4">
        <v>23</v>
      </c>
      <c r="E4">
        <v>13</v>
      </c>
      <c r="F4">
        <v>3</v>
      </c>
      <c r="G4">
        <f t="shared" si="1"/>
        <v>7</v>
      </c>
      <c r="H4">
        <v>38</v>
      </c>
      <c r="I4">
        <v>26</v>
      </c>
      <c r="J4">
        <f t="shared" si="2"/>
        <v>12</v>
      </c>
    </row>
    <row r="5" spans="1:13" x14ac:dyDescent="0.3">
      <c r="A5" s="8" t="s">
        <v>19</v>
      </c>
      <c r="B5" t="s">
        <v>102</v>
      </c>
      <c r="C5" s="2">
        <f t="shared" si="0"/>
        <v>42</v>
      </c>
      <c r="D5">
        <v>23</v>
      </c>
      <c r="E5">
        <v>12</v>
      </c>
      <c r="F5">
        <v>6</v>
      </c>
      <c r="G5">
        <f t="shared" si="1"/>
        <v>5</v>
      </c>
      <c r="H5">
        <v>34</v>
      </c>
      <c r="I5">
        <v>23</v>
      </c>
      <c r="J5">
        <f t="shared" si="2"/>
        <v>11</v>
      </c>
    </row>
    <row r="6" spans="1:13" x14ac:dyDescent="0.3">
      <c r="A6" s="8" t="s">
        <v>21</v>
      </c>
      <c r="B6" t="s">
        <v>109</v>
      </c>
      <c r="C6" s="2">
        <f t="shared" si="0"/>
        <v>40</v>
      </c>
      <c r="D6">
        <v>23</v>
      </c>
      <c r="E6">
        <v>12</v>
      </c>
      <c r="F6">
        <v>4</v>
      </c>
      <c r="G6">
        <f t="shared" si="1"/>
        <v>7</v>
      </c>
      <c r="H6">
        <v>33</v>
      </c>
      <c r="I6">
        <v>28</v>
      </c>
      <c r="J6">
        <f t="shared" si="2"/>
        <v>5</v>
      </c>
    </row>
    <row r="7" spans="1:13" x14ac:dyDescent="0.3">
      <c r="A7" s="8" t="s">
        <v>23</v>
      </c>
      <c r="B7" t="s">
        <v>103</v>
      </c>
      <c r="C7" s="2">
        <f t="shared" si="0"/>
        <v>38</v>
      </c>
      <c r="D7">
        <v>23</v>
      </c>
      <c r="E7">
        <v>11</v>
      </c>
      <c r="F7">
        <v>5</v>
      </c>
      <c r="G7">
        <f t="shared" si="1"/>
        <v>7</v>
      </c>
      <c r="H7">
        <v>42</v>
      </c>
      <c r="I7">
        <v>35</v>
      </c>
      <c r="J7">
        <f t="shared" si="2"/>
        <v>7</v>
      </c>
    </row>
    <row r="8" spans="1:13" x14ac:dyDescent="0.3">
      <c r="A8" s="8" t="s">
        <v>25</v>
      </c>
      <c r="B8" t="s">
        <v>84</v>
      </c>
      <c r="C8" s="2">
        <f t="shared" si="0"/>
        <v>37</v>
      </c>
      <c r="D8">
        <v>23</v>
      </c>
      <c r="E8">
        <v>12</v>
      </c>
      <c r="F8">
        <v>1</v>
      </c>
      <c r="G8">
        <f t="shared" si="1"/>
        <v>10</v>
      </c>
      <c r="H8">
        <v>30</v>
      </c>
      <c r="I8">
        <v>19</v>
      </c>
      <c r="J8">
        <f t="shared" si="2"/>
        <v>11</v>
      </c>
    </row>
    <row r="9" spans="1:13" x14ac:dyDescent="0.3">
      <c r="A9" s="8" t="s">
        <v>27</v>
      </c>
      <c r="B9" t="s">
        <v>1</v>
      </c>
      <c r="C9" s="2">
        <f t="shared" si="0"/>
        <v>36</v>
      </c>
      <c r="D9">
        <v>23</v>
      </c>
      <c r="E9">
        <v>12</v>
      </c>
      <c r="F9">
        <v>0</v>
      </c>
      <c r="G9">
        <f t="shared" si="1"/>
        <v>11</v>
      </c>
      <c r="H9">
        <v>38</v>
      </c>
      <c r="I9">
        <v>37</v>
      </c>
      <c r="J9">
        <f t="shared" si="2"/>
        <v>1</v>
      </c>
    </row>
    <row r="10" spans="1:13" x14ac:dyDescent="0.3">
      <c r="A10" s="5" t="s">
        <v>29</v>
      </c>
      <c r="B10" t="s">
        <v>87</v>
      </c>
      <c r="C10" s="2">
        <f t="shared" si="0"/>
        <v>36</v>
      </c>
      <c r="D10">
        <v>23</v>
      </c>
      <c r="E10">
        <v>11</v>
      </c>
      <c r="F10">
        <v>3</v>
      </c>
      <c r="G10">
        <f t="shared" si="1"/>
        <v>9</v>
      </c>
      <c r="H10">
        <v>38</v>
      </c>
      <c r="I10">
        <v>31</v>
      </c>
      <c r="J10">
        <f t="shared" si="2"/>
        <v>7</v>
      </c>
    </row>
    <row r="11" spans="1:13" x14ac:dyDescent="0.3">
      <c r="A11" s="5" t="s">
        <v>31</v>
      </c>
      <c r="B11" t="s">
        <v>90</v>
      </c>
      <c r="C11" s="2">
        <f t="shared" si="0"/>
        <v>36</v>
      </c>
      <c r="D11">
        <v>23</v>
      </c>
      <c r="E11">
        <v>11</v>
      </c>
      <c r="F11">
        <v>3</v>
      </c>
      <c r="G11">
        <f t="shared" si="1"/>
        <v>9</v>
      </c>
      <c r="H11">
        <v>37</v>
      </c>
      <c r="I11">
        <v>33</v>
      </c>
      <c r="J11">
        <f t="shared" si="2"/>
        <v>4</v>
      </c>
    </row>
    <row r="12" spans="1:13" x14ac:dyDescent="0.3">
      <c r="A12" s="5" t="s">
        <v>33</v>
      </c>
      <c r="B12" t="s">
        <v>83</v>
      </c>
      <c r="C12" s="2">
        <f t="shared" si="0"/>
        <v>36</v>
      </c>
      <c r="D12">
        <v>23</v>
      </c>
      <c r="E12">
        <v>9</v>
      </c>
      <c r="F12">
        <v>9</v>
      </c>
      <c r="G12">
        <f t="shared" si="1"/>
        <v>5</v>
      </c>
      <c r="H12">
        <v>30</v>
      </c>
      <c r="I12">
        <v>25</v>
      </c>
      <c r="J12">
        <f t="shared" si="2"/>
        <v>5</v>
      </c>
    </row>
    <row r="13" spans="1:13" x14ac:dyDescent="0.3">
      <c r="A13" s="5" t="s">
        <v>35</v>
      </c>
      <c r="B13" t="s">
        <v>88</v>
      </c>
      <c r="C13" s="2">
        <f t="shared" si="0"/>
        <v>35</v>
      </c>
      <c r="D13">
        <v>23</v>
      </c>
      <c r="E13">
        <v>11</v>
      </c>
      <c r="F13">
        <v>2</v>
      </c>
      <c r="G13">
        <f t="shared" si="1"/>
        <v>10</v>
      </c>
      <c r="H13">
        <v>37</v>
      </c>
      <c r="I13">
        <v>35</v>
      </c>
      <c r="J13">
        <f t="shared" si="2"/>
        <v>2</v>
      </c>
    </row>
    <row r="14" spans="1:13" x14ac:dyDescent="0.3">
      <c r="A14" t="s">
        <v>37</v>
      </c>
      <c r="B14" t="s">
        <v>89</v>
      </c>
      <c r="C14" s="2">
        <f t="shared" si="0"/>
        <v>32</v>
      </c>
      <c r="D14">
        <v>23</v>
      </c>
      <c r="E14">
        <v>10</v>
      </c>
      <c r="F14">
        <v>2</v>
      </c>
      <c r="G14">
        <f t="shared" si="1"/>
        <v>11</v>
      </c>
      <c r="H14">
        <v>26</v>
      </c>
      <c r="I14">
        <v>31</v>
      </c>
      <c r="J14">
        <f t="shared" si="2"/>
        <v>-5</v>
      </c>
    </row>
    <row r="15" spans="1:13" x14ac:dyDescent="0.3">
      <c r="A15" t="s">
        <v>39</v>
      </c>
      <c r="B15" t="s">
        <v>85</v>
      </c>
      <c r="C15" s="2">
        <f t="shared" si="0"/>
        <v>31</v>
      </c>
      <c r="D15">
        <v>23</v>
      </c>
      <c r="E15">
        <v>9</v>
      </c>
      <c r="F15">
        <v>4</v>
      </c>
      <c r="G15">
        <f t="shared" si="1"/>
        <v>10</v>
      </c>
      <c r="H15">
        <v>34</v>
      </c>
      <c r="I15">
        <v>36</v>
      </c>
      <c r="J15">
        <f t="shared" si="2"/>
        <v>-2</v>
      </c>
    </row>
    <row r="16" spans="1:13" x14ac:dyDescent="0.3">
      <c r="A16" t="s">
        <v>41</v>
      </c>
      <c r="B16" t="s">
        <v>71</v>
      </c>
      <c r="C16" s="2">
        <f t="shared" si="0"/>
        <v>31</v>
      </c>
      <c r="D16">
        <v>23</v>
      </c>
      <c r="E16">
        <v>8</v>
      </c>
      <c r="F16">
        <v>7</v>
      </c>
      <c r="G16">
        <f t="shared" si="1"/>
        <v>8</v>
      </c>
      <c r="H16">
        <v>36</v>
      </c>
      <c r="I16">
        <v>33</v>
      </c>
      <c r="J16">
        <f t="shared" si="2"/>
        <v>3</v>
      </c>
    </row>
    <row r="17" spans="1:10" x14ac:dyDescent="0.3">
      <c r="A17" t="s">
        <v>43</v>
      </c>
      <c r="B17" t="s">
        <v>86</v>
      </c>
      <c r="C17" s="2">
        <f t="shared" si="0"/>
        <v>27</v>
      </c>
      <c r="D17">
        <v>23</v>
      </c>
      <c r="E17">
        <v>8</v>
      </c>
      <c r="F17">
        <v>3</v>
      </c>
      <c r="G17">
        <f t="shared" si="1"/>
        <v>12</v>
      </c>
      <c r="H17">
        <v>25</v>
      </c>
      <c r="I17">
        <v>36</v>
      </c>
      <c r="J17">
        <f t="shared" si="2"/>
        <v>-11</v>
      </c>
    </row>
    <row r="18" spans="1:10" x14ac:dyDescent="0.3">
      <c r="A18" t="s">
        <v>45</v>
      </c>
      <c r="B18" t="s">
        <v>69</v>
      </c>
      <c r="C18" s="2">
        <f t="shared" si="0"/>
        <v>26</v>
      </c>
      <c r="D18">
        <v>23</v>
      </c>
      <c r="E18">
        <v>7</v>
      </c>
      <c r="F18">
        <v>5</v>
      </c>
      <c r="G18">
        <f t="shared" si="1"/>
        <v>11</v>
      </c>
      <c r="H18">
        <v>27</v>
      </c>
      <c r="I18">
        <v>31</v>
      </c>
      <c r="J18">
        <f t="shared" si="2"/>
        <v>-4</v>
      </c>
    </row>
    <row r="19" spans="1:10" x14ac:dyDescent="0.3">
      <c r="A19" t="s">
        <v>47</v>
      </c>
      <c r="B19" t="s">
        <v>81</v>
      </c>
      <c r="C19" s="2">
        <f t="shared" si="0"/>
        <v>26</v>
      </c>
      <c r="D19">
        <v>23</v>
      </c>
      <c r="E19">
        <v>7</v>
      </c>
      <c r="F19">
        <v>5</v>
      </c>
      <c r="G19">
        <f t="shared" si="1"/>
        <v>11</v>
      </c>
      <c r="H19">
        <v>31</v>
      </c>
      <c r="I19">
        <v>36</v>
      </c>
      <c r="J19">
        <f t="shared" si="2"/>
        <v>-5</v>
      </c>
    </row>
    <row r="20" spans="1:10" x14ac:dyDescent="0.3">
      <c r="A20" t="s">
        <v>49</v>
      </c>
      <c r="B20" t="s">
        <v>70</v>
      </c>
      <c r="C20" s="2">
        <f t="shared" si="0"/>
        <v>25</v>
      </c>
      <c r="D20">
        <v>23</v>
      </c>
      <c r="E20">
        <v>7</v>
      </c>
      <c r="F20">
        <v>4</v>
      </c>
      <c r="G20">
        <f t="shared" si="1"/>
        <v>12</v>
      </c>
      <c r="H20">
        <v>31</v>
      </c>
      <c r="I20">
        <v>34</v>
      </c>
      <c r="J20">
        <f t="shared" si="2"/>
        <v>-3</v>
      </c>
    </row>
    <row r="21" spans="1:10" x14ac:dyDescent="0.3">
      <c r="A21" t="s">
        <v>51</v>
      </c>
      <c r="B21" t="s">
        <v>104</v>
      </c>
      <c r="C21" s="2">
        <f t="shared" si="0"/>
        <v>24</v>
      </c>
      <c r="D21">
        <v>23</v>
      </c>
      <c r="E21">
        <v>7</v>
      </c>
      <c r="F21">
        <v>3</v>
      </c>
      <c r="G21">
        <f t="shared" si="1"/>
        <v>13</v>
      </c>
      <c r="H21">
        <v>31</v>
      </c>
      <c r="I21">
        <v>45</v>
      </c>
      <c r="J21">
        <f t="shared" si="2"/>
        <v>-14</v>
      </c>
    </row>
    <row r="22" spans="1:10" x14ac:dyDescent="0.3">
      <c r="A22" t="s">
        <v>96</v>
      </c>
      <c r="B22" t="s">
        <v>82</v>
      </c>
      <c r="C22" s="2">
        <f t="shared" si="0"/>
        <v>24</v>
      </c>
      <c r="D22">
        <v>23</v>
      </c>
      <c r="E22">
        <v>6</v>
      </c>
      <c r="F22">
        <v>6</v>
      </c>
      <c r="G22">
        <f t="shared" si="1"/>
        <v>11</v>
      </c>
      <c r="H22">
        <v>31</v>
      </c>
      <c r="I22">
        <v>42</v>
      </c>
      <c r="J22">
        <f t="shared" si="2"/>
        <v>-11</v>
      </c>
    </row>
    <row r="23" spans="1:10" x14ac:dyDescent="0.3">
      <c r="A23" t="s">
        <v>97</v>
      </c>
      <c r="B23" t="s">
        <v>93</v>
      </c>
      <c r="C23" s="2">
        <f t="shared" si="0"/>
        <v>23</v>
      </c>
      <c r="D23">
        <v>23</v>
      </c>
      <c r="E23">
        <v>7</v>
      </c>
      <c r="F23">
        <v>2</v>
      </c>
      <c r="G23">
        <f t="shared" si="1"/>
        <v>14</v>
      </c>
      <c r="H23">
        <v>26</v>
      </c>
      <c r="I23">
        <v>44</v>
      </c>
      <c r="J23">
        <f t="shared" si="2"/>
        <v>-18</v>
      </c>
    </row>
    <row r="24" spans="1:10" x14ac:dyDescent="0.3">
      <c r="A24" s="6" t="s">
        <v>98</v>
      </c>
      <c r="B24" t="s">
        <v>72</v>
      </c>
      <c r="C24" s="2">
        <f t="shared" si="0"/>
        <v>22</v>
      </c>
      <c r="D24">
        <v>23</v>
      </c>
      <c r="E24">
        <v>6</v>
      </c>
      <c r="F24">
        <v>4</v>
      </c>
      <c r="G24">
        <f t="shared" si="1"/>
        <v>13</v>
      </c>
      <c r="H24">
        <v>26</v>
      </c>
      <c r="I24">
        <v>36</v>
      </c>
      <c r="J24">
        <f t="shared" si="2"/>
        <v>-10</v>
      </c>
    </row>
    <row r="25" spans="1:10" x14ac:dyDescent="0.3">
      <c r="A25" s="6" t="s">
        <v>99</v>
      </c>
      <c r="B25" t="s">
        <v>91</v>
      </c>
      <c r="C25" s="2">
        <f t="shared" si="0"/>
        <v>20</v>
      </c>
      <c r="D25">
        <v>23</v>
      </c>
      <c r="E25">
        <v>5</v>
      </c>
      <c r="F25">
        <v>5</v>
      </c>
      <c r="G25">
        <f t="shared" si="1"/>
        <v>13</v>
      </c>
      <c r="H25">
        <v>31</v>
      </c>
      <c r="I25">
        <v>42</v>
      </c>
      <c r="J25">
        <f t="shared" si="2"/>
        <v>-11</v>
      </c>
    </row>
    <row r="27" spans="1:10" x14ac:dyDescent="0.3">
      <c r="A27" t="s">
        <v>105</v>
      </c>
    </row>
    <row r="28" spans="1:10" x14ac:dyDescent="0.3">
      <c r="A28" t="s">
        <v>106</v>
      </c>
    </row>
    <row r="29" spans="1:10" x14ac:dyDescent="0.3">
      <c r="A29" t="s">
        <v>4</v>
      </c>
      <c r="B29" t="s">
        <v>5</v>
      </c>
      <c r="C29" t="s">
        <v>6</v>
      </c>
      <c r="D29" t="s">
        <v>7</v>
      </c>
      <c r="E29" t="s">
        <v>8</v>
      </c>
      <c r="F29" t="s">
        <v>9</v>
      </c>
      <c r="G29" t="s">
        <v>10</v>
      </c>
      <c r="H29" t="s">
        <v>11</v>
      </c>
      <c r="I29" t="s">
        <v>12</v>
      </c>
      <c r="J29" t="s">
        <v>13</v>
      </c>
    </row>
    <row r="30" spans="1:10" x14ac:dyDescent="0.3">
      <c r="A30" s="7" t="s">
        <v>14</v>
      </c>
      <c r="B30" t="s">
        <v>102</v>
      </c>
      <c r="C30" s="2">
        <f>E30*3+F30</f>
        <v>11</v>
      </c>
      <c r="D30">
        <v>6</v>
      </c>
      <c r="E30">
        <v>3</v>
      </c>
      <c r="F30">
        <v>2</v>
      </c>
      <c r="G30">
        <f>D30-E30-F30</f>
        <v>1</v>
      </c>
      <c r="H30">
        <v>12</v>
      </c>
      <c r="I30">
        <v>9</v>
      </c>
      <c r="J30">
        <f>H30-I30</f>
        <v>3</v>
      </c>
    </row>
    <row r="31" spans="1:10" x14ac:dyDescent="0.3">
      <c r="A31" s="8" t="s">
        <v>15</v>
      </c>
      <c r="B31" t="s">
        <v>100</v>
      </c>
      <c r="C31" s="2">
        <f>E31*3+F31</f>
        <v>8</v>
      </c>
      <c r="D31">
        <v>6</v>
      </c>
      <c r="E31">
        <v>2</v>
      </c>
      <c r="F31">
        <v>2</v>
      </c>
      <c r="G31">
        <f t="shared" ref="G31:G33" si="3">D31-E31-F31</f>
        <v>2</v>
      </c>
      <c r="H31">
        <v>7</v>
      </c>
      <c r="I31">
        <v>7</v>
      </c>
      <c r="J31">
        <f t="shared" ref="J31:J33" si="4">H31-I31</f>
        <v>0</v>
      </c>
    </row>
    <row r="32" spans="1:10" x14ac:dyDescent="0.3">
      <c r="A32" s="5" t="s">
        <v>17</v>
      </c>
      <c r="B32" t="s">
        <v>1</v>
      </c>
      <c r="C32" s="2">
        <f>E32*3+F32</f>
        <v>7</v>
      </c>
      <c r="D32">
        <v>6</v>
      </c>
      <c r="E32">
        <v>2</v>
      </c>
      <c r="F32">
        <v>1</v>
      </c>
      <c r="G32">
        <f t="shared" si="3"/>
        <v>3</v>
      </c>
      <c r="H32">
        <v>6</v>
      </c>
      <c r="I32">
        <v>7</v>
      </c>
      <c r="J32">
        <f t="shared" si="4"/>
        <v>-1</v>
      </c>
    </row>
    <row r="33" spans="1:10" x14ac:dyDescent="0.3">
      <c r="A33" s="5" t="s">
        <v>19</v>
      </c>
      <c r="B33" t="s">
        <v>109</v>
      </c>
      <c r="C33" s="2">
        <f>E33*3+F33</f>
        <v>6</v>
      </c>
      <c r="D33">
        <v>6</v>
      </c>
      <c r="E33">
        <v>1</v>
      </c>
      <c r="F33">
        <v>3</v>
      </c>
      <c r="G33">
        <f t="shared" si="3"/>
        <v>2</v>
      </c>
      <c r="H33">
        <v>9</v>
      </c>
      <c r="I33">
        <v>11</v>
      </c>
      <c r="J33">
        <f t="shared" si="4"/>
        <v>-2</v>
      </c>
    </row>
    <row r="35" spans="1:10" x14ac:dyDescent="0.3">
      <c r="A35" t="s">
        <v>107</v>
      </c>
    </row>
    <row r="36" spans="1:10" x14ac:dyDescent="0.3">
      <c r="A36" t="s">
        <v>4</v>
      </c>
      <c r="B36" t="s">
        <v>5</v>
      </c>
      <c r="C36" t="s">
        <v>6</v>
      </c>
      <c r="D36" t="s">
        <v>7</v>
      </c>
      <c r="E36" t="s">
        <v>8</v>
      </c>
      <c r="F36" t="s">
        <v>9</v>
      </c>
      <c r="G36" t="s">
        <v>10</v>
      </c>
      <c r="H36" t="s">
        <v>11</v>
      </c>
      <c r="I36" t="s">
        <v>12</v>
      </c>
      <c r="J36" t="s">
        <v>13</v>
      </c>
    </row>
    <row r="37" spans="1:10" x14ac:dyDescent="0.3">
      <c r="A37" s="7" t="s">
        <v>14</v>
      </c>
      <c r="B37" t="s">
        <v>92</v>
      </c>
      <c r="C37" s="2">
        <f>E37*3+F37</f>
        <v>10</v>
      </c>
      <c r="D37">
        <v>6</v>
      </c>
      <c r="E37">
        <v>3</v>
      </c>
      <c r="F37">
        <v>1</v>
      </c>
      <c r="G37">
        <f>D37-E37-F37</f>
        <v>2</v>
      </c>
      <c r="H37">
        <v>11</v>
      </c>
      <c r="I37">
        <v>10</v>
      </c>
      <c r="J37">
        <f>H37-I37</f>
        <v>1</v>
      </c>
    </row>
    <row r="38" spans="1:10" x14ac:dyDescent="0.3">
      <c r="A38" s="8" t="s">
        <v>15</v>
      </c>
      <c r="B38" t="s">
        <v>84</v>
      </c>
      <c r="C38" s="2">
        <f>E38*3+F38</f>
        <v>9</v>
      </c>
      <c r="D38">
        <v>6</v>
      </c>
      <c r="E38">
        <v>3</v>
      </c>
      <c r="F38">
        <v>0</v>
      </c>
      <c r="G38">
        <f t="shared" ref="G38:G40" si="5">D38-E38-F38</f>
        <v>3</v>
      </c>
      <c r="H38">
        <v>10</v>
      </c>
      <c r="I38">
        <v>9</v>
      </c>
      <c r="J38">
        <f t="shared" ref="J38:J40" si="6">H38-I38</f>
        <v>1</v>
      </c>
    </row>
    <row r="39" spans="1:10" x14ac:dyDescent="0.3">
      <c r="A39" s="5" t="s">
        <v>17</v>
      </c>
      <c r="B39" t="s">
        <v>101</v>
      </c>
      <c r="C39" s="2">
        <f>E39*3+F39</f>
        <v>9</v>
      </c>
      <c r="D39">
        <v>6</v>
      </c>
      <c r="E39">
        <v>3</v>
      </c>
      <c r="F39">
        <v>0</v>
      </c>
      <c r="G39">
        <f t="shared" si="5"/>
        <v>3</v>
      </c>
      <c r="H39">
        <v>7</v>
      </c>
      <c r="I39">
        <v>7</v>
      </c>
      <c r="J39">
        <f t="shared" si="6"/>
        <v>0</v>
      </c>
    </row>
    <row r="40" spans="1:10" x14ac:dyDescent="0.3">
      <c r="A40" s="5" t="s">
        <v>19</v>
      </c>
      <c r="B40" t="s">
        <v>103</v>
      </c>
      <c r="C40" s="2">
        <f>E40*3+F40</f>
        <v>7</v>
      </c>
      <c r="D40">
        <v>6</v>
      </c>
      <c r="E40">
        <v>2</v>
      </c>
      <c r="F40">
        <v>1</v>
      </c>
      <c r="G40">
        <f t="shared" si="5"/>
        <v>3</v>
      </c>
      <c r="H40">
        <v>12</v>
      </c>
      <c r="I40">
        <v>14</v>
      </c>
      <c r="J40">
        <f t="shared" si="6"/>
        <v>-2</v>
      </c>
    </row>
    <row r="42" spans="1:10" x14ac:dyDescent="0.3">
      <c r="A42" t="s">
        <v>108</v>
      </c>
    </row>
    <row r="43" spans="1:10" x14ac:dyDescent="0.3">
      <c r="A43" t="s">
        <v>92</v>
      </c>
      <c r="B43" t="s">
        <v>110</v>
      </c>
      <c r="C43" t="s">
        <v>102</v>
      </c>
      <c r="E43" t="s">
        <v>102</v>
      </c>
      <c r="F43" t="s">
        <v>111</v>
      </c>
      <c r="G43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7A84E-3C3F-45A2-BF2E-B93682DFF609}">
  <dimension ref="A1:AS143"/>
  <sheetViews>
    <sheetView workbookViewId="0">
      <selection activeCell="AB19" sqref="AB19:AB24"/>
    </sheetView>
  </sheetViews>
  <sheetFormatPr defaultRowHeight="14.4" x14ac:dyDescent="0.3"/>
  <cols>
    <col min="2" max="2" width="18" customWidth="1"/>
    <col min="12" max="12" width="14.21875" customWidth="1"/>
    <col min="14" max="14" width="17" customWidth="1"/>
    <col min="16" max="16" width="17.77734375" customWidth="1"/>
    <col min="18" max="18" width="13.5546875" customWidth="1"/>
    <col min="20" max="20" width="12.109375" customWidth="1"/>
    <col min="22" max="22" width="15.88671875" customWidth="1"/>
    <col min="24" max="24" width="17" customWidth="1"/>
    <col min="26" max="26" width="12.5546875" customWidth="1"/>
    <col min="28" max="28" width="10.21875" customWidth="1"/>
    <col min="29" max="29" width="17" customWidth="1"/>
    <col min="30" max="30" width="16.21875" customWidth="1"/>
    <col min="32" max="32" width="15.109375" customWidth="1"/>
    <col min="34" max="34" width="11.5546875" customWidth="1"/>
    <col min="36" max="36" width="11.88671875" customWidth="1"/>
    <col min="38" max="38" width="11.6640625" customWidth="1"/>
    <col min="40" max="40" width="11.5546875" customWidth="1"/>
    <col min="42" max="42" width="11.6640625" customWidth="1"/>
  </cols>
  <sheetData>
    <row r="1" spans="1:45" x14ac:dyDescent="0.3">
      <c r="A1" t="s">
        <v>165</v>
      </c>
      <c r="L1" t="s">
        <v>105</v>
      </c>
      <c r="T1" t="s">
        <v>238</v>
      </c>
      <c r="AB1" t="s">
        <v>245</v>
      </c>
      <c r="AJ1" t="s">
        <v>246</v>
      </c>
      <c r="AR1" t="s">
        <v>3</v>
      </c>
    </row>
    <row r="2" spans="1:45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L2" t="str">
        <f>B15</f>
        <v>Ji-Paraná</v>
      </c>
      <c r="M2" t="s">
        <v>220</v>
      </c>
      <c r="N2" t="str">
        <f>B3</f>
        <v>São Raimundo-RR</v>
      </c>
      <c r="P2" t="str">
        <f>B3</f>
        <v>São Raimundo-RR</v>
      </c>
      <c r="Q2" t="s">
        <v>80</v>
      </c>
      <c r="R2" t="str">
        <f>B15</f>
        <v>Ji-Paraná</v>
      </c>
      <c r="T2" t="s">
        <v>140</v>
      </c>
      <c r="U2" t="s">
        <v>224</v>
      </c>
      <c r="V2" t="s">
        <v>117</v>
      </c>
      <c r="X2" t="s">
        <v>117</v>
      </c>
      <c r="Y2" t="s">
        <v>236</v>
      </c>
      <c r="Z2" t="s">
        <v>140</v>
      </c>
      <c r="AB2" t="s">
        <v>145</v>
      </c>
      <c r="AC2" t="s">
        <v>79</v>
      </c>
      <c r="AD2" t="s">
        <v>140</v>
      </c>
      <c r="AF2" t="s">
        <v>140</v>
      </c>
      <c r="AG2" t="s">
        <v>78</v>
      </c>
      <c r="AH2" t="s">
        <v>145</v>
      </c>
      <c r="AJ2" t="s">
        <v>116</v>
      </c>
      <c r="AK2" t="s">
        <v>223</v>
      </c>
      <c r="AL2" t="s">
        <v>207</v>
      </c>
      <c r="AN2" t="s">
        <v>207</v>
      </c>
      <c r="AO2" t="s">
        <v>234</v>
      </c>
      <c r="AP2" t="s">
        <v>116</v>
      </c>
      <c r="AR2" t="s">
        <v>195</v>
      </c>
      <c r="AS2">
        <v>1</v>
      </c>
    </row>
    <row r="3" spans="1:45" x14ac:dyDescent="0.3">
      <c r="A3" s="8" t="s">
        <v>14</v>
      </c>
      <c r="B3" t="s">
        <v>117</v>
      </c>
      <c r="C3" s="2">
        <f t="shared" ref="C3:C8" si="0">E3*3+F3</f>
        <v>22</v>
      </c>
      <c r="D3">
        <v>10</v>
      </c>
      <c r="E3">
        <v>7</v>
      </c>
      <c r="F3">
        <v>1</v>
      </c>
      <c r="G3">
        <f t="shared" ref="G3:G8" si="1">D3-E3-F3</f>
        <v>2</v>
      </c>
      <c r="H3">
        <v>16</v>
      </c>
      <c r="I3">
        <v>10</v>
      </c>
      <c r="J3">
        <f t="shared" ref="J3:J8" si="2">H3-I3</f>
        <v>6</v>
      </c>
      <c r="L3" t="str">
        <f>B23</f>
        <v>Mixto</v>
      </c>
      <c r="M3" t="s">
        <v>78</v>
      </c>
      <c r="N3" t="str">
        <f>B31</f>
        <v>Nova Mutum</v>
      </c>
      <c r="P3" t="str">
        <f>B31</f>
        <v>Nova Mutum</v>
      </c>
      <c r="Q3" t="s">
        <v>221</v>
      </c>
      <c r="R3" t="str">
        <f>B23</f>
        <v>Mixto</v>
      </c>
      <c r="T3" t="s">
        <v>185</v>
      </c>
      <c r="U3" t="s">
        <v>78</v>
      </c>
      <c r="V3" t="s">
        <v>145</v>
      </c>
      <c r="X3" t="s">
        <v>145</v>
      </c>
      <c r="Y3" t="s">
        <v>239</v>
      </c>
      <c r="Z3" t="s">
        <v>185</v>
      </c>
      <c r="AJ3" t="s">
        <v>158</v>
      </c>
      <c r="AK3" t="s">
        <v>79</v>
      </c>
      <c r="AL3" t="s">
        <v>195</v>
      </c>
      <c r="AN3" t="s">
        <v>195</v>
      </c>
      <c r="AO3" t="s">
        <v>242</v>
      </c>
      <c r="AP3" t="s">
        <v>158</v>
      </c>
    </row>
    <row r="4" spans="1:45" x14ac:dyDescent="0.3">
      <c r="A4" s="8" t="s">
        <v>15</v>
      </c>
      <c r="B4" t="s">
        <v>115</v>
      </c>
      <c r="C4" s="2">
        <f t="shared" si="0"/>
        <v>15</v>
      </c>
      <c r="D4">
        <v>10</v>
      </c>
      <c r="E4">
        <v>4</v>
      </c>
      <c r="F4">
        <v>3</v>
      </c>
      <c r="G4">
        <f t="shared" si="1"/>
        <v>3</v>
      </c>
      <c r="H4">
        <v>11</v>
      </c>
      <c r="I4">
        <v>11</v>
      </c>
      <c r="J4">
        <f t="shared" si="2"/>
        <v>0</v>
      </c>
      <c r="AB4" t="s">
        <v>144</v>
      </c>
      <c r="AC4" t="s">
        <v>220</v>
      </c>
      <c r="AD4" t="s">
        <v>158</v>
      </c>
      <c r="AF4" t="s">
        <v>158</v>
      </c>
      <c r="AG4" t="s">
        <v>223</v>
      </c>
      <c r="AH4" t="s">
        <v>144</v>
      </c>
      <c r="AJ4" t="s">
        <v>140</v>
      </c>
      <c r="AK4" t="s">
        <v>242</v>
      </c>
      <c r="AL4" t="s">
        <v>132</v>
      </c>
      <c r="AN4" t="s">
        <v>132</v>
      </c>
      <c r="AO4" t="s">
        <v>227</v>
      </c>
      <c r="AP4" t="s">
        <v>140</v>
      </c>
    </row>
    <row r="5" spans="1:45" x14ac:dyDescent="0.3">
      <c r="A5" s="8" t="s">
        <v>17</v>
      </c>
      <c r="B5" t="s">
        <v>112</v>
      </c>
      <c r="C5" s="2">
        <f t="shared" si="0"/>
        <v>14</v>
      </c>
      <c r="D5">
        <v>10</v>
      </c>
      <c r="E5">
        <v>4</v>
      </c>
      <c r="F5">
        <v>2</v>
      </c>
      <c r="G5">
        <f t="shared" si="1"/>
        <v>4</v>
      </c>
      <c r="H5">
        <v>12</v>
      </c>
      <c r="I5">
        <v>11</v>
      </c>
      <c r="J5">
        <f t="shared" si="2"/>
        <v>1</v>
      </c>
      <c r="L5" t="str">
        <f>B14</f>
        <v>Rondoniense</v>
      </c>
      <c r="M5" t="s">
        <v>80</v>
      </c>
      <c r="N5" t="str">
        <f>B4</f>
        <v>Manaus</v>
      </c>
      <c r="P5" t="str">
        <f>B4</f>
        <v>Manaus</v>
      </c>
      <c r="Q5" t="s">
        <v>222</v>
      </c>
      <c r="R5" t="str">
        <f>B14</f>
        <v>Rondoniense</v>
      </c>
      <c r="T5" t="s">
        <v>144</v>
      </c>
      <c r="U5" t="s">
        <v>111</v>
      </c>
      <c r="V5" t="s">
        <v>112</v>
      </c>
      <c r="X5" t="s">
        <v>112</v>
      </c>
      <c r="Y5" t="s">
        <v>240</v>
      </c>
      <c r="Z5" t="s">
        <v>144</v>
      </c>
      <c r="AJ5" t="s">
        <v>159</v>
      </c>
      <c r="AK5" t="s">
        <v>79</v>
      </c>
      <c r="AL5" t="s">
        <v>216</v>
      </c>
      <c r="AN5" t="s">
        <v>216</v>
      </c>
      <c r="AO5" t="s">
        <v>240</v>
      </c>
      <c r="AP5" t="s">
        <v>159</v>
      </c>
    </row>
    <row r="6" spans="1:45" x14ac:dyDescent="0.3">
      <c r="A6" s="8" t="s">
        <v>19</v>
      </c>
      <c r="B6" t="s">
        <v>181</v>
      </c>
      <c r="C6" s="2">
        <f t="shared" si="0"/>
        <v>13</v>
      </c>
      <c r="D6">
        <v>10</v>
      </c>
      <c r="E6">
        <v>4</v>
      </c>
      <c r="F6">
        <v>1</v>
      </c>
      <c r="G6">
        <f t="shared" si="1"/>
        <v>5</v>
      </c>
      <c r="H6">
        <v>14</v>
      </c>
      <c r="I6">
        <v>18</v>
      </c>
      <c r="J6">
        <f t="shared" si="2"/>
        <v>-4</v>
      </c>
      <c r="L6" t="str">
        <f>B24</f>
        <v>Brasiliense</v>
      </c>
      <c r="M6" t="s">
        <v>111</v>
      </c>
      <c r="N6" t="str">
        <f>B30</f>
        <v>Jataiense</v>
      </c>
      <c r="P6" t="str">
        <f>B30</f>
        <v>Jataiense</v>
      </c>
      <c r="Q6" t="s">
        <v>110</v>
      </c>
      <c r="R6" t="str">
        <f>B24</f>
        <v>Brasiliense</v>
      </c>
      <c r="T6" t="s">
        <v>181</v>
      </c>
      <c r="U6" t="s">
        <v>79</v>
      </c>
      <c r="V6" t="s">
        <v>158</v>
      </c>
      <c r="X6" t="s">
        <v>158</v>
      </c>
      <c r="Y6" t="s">
        <v>241</v>
      </c>
      <c r="Z6" t="s">
        <v>181</v>
      </c>
      <c r="AB6" t="s">
        <v>195</v>
      </c>
      <c r="AC6" t="s">
        <v>224</v>
      </c>
      <c r="AD6" t="s">
        <v>194</v>
      </c>
      <c r="AF6" t="s">
        <v>194</v>
      </c>
      <c r="AG6" t="s">
        <v>111</v>
      </c>
      <c r="AH6" t="s">
        <v>195</v>
      </c>
    </row>
    <row r="7" spans="1:45" x14ac:dyDescent="0.3">
      <c r="A7" s="5" t="s">
        <v>21</v>
      </c>
      <c r="B7" t="s">
        <v>182</v>
      </c>
      <c r="C7" s="2">
        <f t="shared" si="0"/>
        <v>13</v>
      </c>
      <c r="D7">
        <v>10</v>
      </c>
      <c r="E7">
        <v>3</v>
      </c>
      <c r="F7">
        <v>4</v>
      </c>
      <c r="G7">
        <f t="shared" si="1"/>
        <v>3</v>
      </c>
      <c r="H7">
        <v>13</v>
      </c>
      <c r="I7">
        <v>12</v>
      </c>
      <c r="J7">
        <f t="shared" si="2"/>
        <v>1</v>
      </c>
      <c r="AJ7" t="s">
        <v>247</v>
      </c>
    </row>
    <row r="8" spans="1:45" x14ac:dyDescent="0.3">
      <c r="A8" s="5" t="s">
        <v>23</v>
      </c>
      <c r="B8" t="s">
        <v>113</v>
      </c>
      <c r="C8" s="2">
        <f t="shared" si="0"/>
        <v>6</v>
      </c>
      <c r="D8">
        <v>10</v>
      </c>
      <c r="E8">
        <v>1</v>
      </c>
      <c r="F8">
        <v>3</v>
      </c>
      <c r="G8">
        <f t="shared" si="1"/>
        <v>6</v>
      </c>
      <c r="H8">
        <v>12</v>
      </c>
      <c r="I8">
        <v>16</v>
      </c>
      <c r="J8">
        <f t="shared" si="2"/>
        <v>-4</v>
      </c>
      <c r="L8" t="str">
        <f>B5</f>
        <v>Nacional-AM</v>
      </c>
      <c r="M8" t="s">
        <v>223</v>
      </c>
      <c r="N8" t="str">
        <f>B13</f>
        <v>Capital-TO</v>
      </c>
      <c r="P8" t="str">
        <f>B13</f>
        <v>Capital-TO</v>
      </c>
      <c r="Q8" t="s">
        <v>220</v>
      </c>
      <c r="R8" t="str">
        <f>B5</f>
        <v>Nacional-AM</v>
      </c>
      <c r="T8" t="s">
        <v>195</v>
      </c>
      <c r="U8" t="s">
        <v>242</v>
      </c>
      <c r="V8" t="s">
        <v>127</v>
      </c>
      <c r="X8" t="s">
        <v>127</v>
      </c>
      <c r="Y8" t="s">
        <v>243</v>
      </c>
      <c r="Z8" t="s">
        <v>195</v>
      </c>
      <c r="AB8" t="s">
        <v>116</v>
      </c>
      <c r="AC8" t="s">
        <v>220</v>
      </c>
      <c r="AD8" t="s">
        <v>125</v>
      </c>
      <c r="AF8" t="s">
        <v>125</v>
      </c>
      <c r="AG8" t="s">
        <v>228</v>
      </c>
      <c r="AH8" t="s">
        <v>116</v>
      </c>
      <c r="AJ8" t="s">
        <v>116</v>
      </c>
      <c r="AK8" t="s">
        <v>79</v>
      </c>
      <c r="AL8" t="s">
        <v>216</v>
      </c>
      <c r="AN8" t="s">
        <v>216</v>
      </c>
      <c r="AO8" t="s">
        <v>248</v>
      </c>
      <c r="AP8" t="s">
        <v>116</v>
      </c>
    </row>
    <row r="9" spans="1:45" x14ac:dyDescent="0.3">
      <c r="L9" t="str">
        <f>B33</f>
        <v>Ceilândia</v>
      </c>
      <c r="M9" t="s">
        <v>224</v>
      </c>
      <c r="N9" t="str">
        <f>B21</f>
        <v>Sobradinho</v>
      </c>
      <c r="P9" t="str">
        <f>B21</f>
        <v>Sobradinho</v>
      </c>
      <c r="Q9" t="s">
        <v>79</v>
      </c>
      <c r="R9" t="str">
        <f>B33</f>
        <v>Ceilândia</v>
      </c>
      <c r="T9" t="s">
        <v>194</v>
      </c>
      <c r="U9" t="s">
        <v>111</v>
      </c>
      <c r="V9" t="s">
        <v>131</v>
      </c>
      <c r="X9" t="s">
        <v>131</v>
      </c>
      <c r="Y9" t="s">
        <v>220</v>
      </c>
      <c r="Z9" t="s">
        <v>194</v>
      </c>
      <c r="AJ9" t="s">
        <v>132</v>
      </c>
      <c r="AK9" t="s">
        <v>223</v>
      </c>
      <c r="AL9" t="s">
        <v>158</v>
      </c>
      <c r="AN9" t="s">
        <v>158</v>
      </c>
      <c r="AO9" t="s">
        <v>228</v>
      </c>
      <c r="AP9" t="s">
        <v>132</v>
      </c>
    </row>
    <row r="10" spans="1:45" x14ac:dyDescent="0.3">
      <c r="A10" t="s">
        <v>166</v>
      </c>
      <c r="AB10" t="s">
        <v>207</v>
      </c>
      <c r="AC10" t="s">
        <v>224</v>
      </c>
      <c r="AD10" t="s">
        <v>133</v>
      </c>
      <c r="AF10" t="s">
        <v>133</v>
      </c>
      <c r="AG10" t="s">
        <v>110</v>
      </c>
      <c r="AH10" t="s">
        <v>207</v>
      </c>
    </row>
    <row r="11" spans="1:45" x14ac:dyDescent="0.3">
      <c r="A11" t="s">
        <v>4</v>
      </c>
      <c r="B11" t="s">
        <v>5</v>
      </c>
      <c r="C11" t="s">
        <v>6</v>
      </c>
      <c r="D11" t="s">
        <v>7</v>
      </c>
      <c r="E11" t="s">
        <v>8</v>
      </c>
      <c r="F11" t="s">
        <v>9</v>
      </c>
      <c r="G11" t="s">
        <v>10</v>
      </c>
      <c r="H11" t="s">
        <v>11</v>
      </c>
      <c r="I11" t="s">
        <v>12</v>
      </c>
      <c r="J11" t="s">
        <v>13</v>
      </c>
      <c r="L11" t="str">
        <f>B6</f>
        <v>Baré</v>
      </c>
      <c r="M11" t="s">
        <v>79</v>
      </c>
      <c r="N11" t="str">
        <f>B12</f>
        <v>Itacoatiara</v>
      </c>
      <c r="P11" t="str">
        <f>B12</f>
        <v>Itacoatiara</v>
      </c>
      <c r="Q11" t="s">
        <v>223</v>
      </c>
      <c r="R11" t="str">
        <f>B6</f>
        <v>Baré</v>
      </c>
      <c r="T11" t="s">
        <v>125</v>
      </c>
      <c r="U11" t="s">
        <v>79</v>
      </c>
      <c r="V11" t="s">
        <v>229</v>
      </c>
      <c r="X11" t="s">
        <v>229</v>
      </c>
      <c r="Y11" t="s">
        <v>223</v>
      </c>
      <c r="Z11" t="s">
        <v>125</v>
      </c>
      <c r="AJ11" t="s">
        <v>249</v>
      </c>
    </row>
    <row r="12" spans="1:45" x14ac:dyDescent="0.3">
      <c r="A12" s="8" t="s">
        <v>14</v>
      </c>
      <c r="B12" t="s">
        <v>183</v>
      </c>
      <c r="C12" s="2">
        <f t="shared" ref="C12:C17" si="3">E12*3+F12</f>
        <v>17</v>
      </c>
      <c r="D12">
        <v>10</v>
      </c>
      <c r="E12">
        <v>5</v>
      </c>
      <c r="F12">
        <v>2</v>
      </c>
      <c r="G12">
        <f t="shared" ref="G12:G17" si="4">D12-E12-F12</f>
        <v>3</v>
      </c>
      <c r="H12">
        <v>15</v>
      </c>
      <c r="I12">
        <v>8</v>
      </c>
      <c r="J12">
        <f t="shared" ref="J12:J17" si="5">H12-I12</f>
        <v>7</v>
      </c>
      <c r="L12" t="str">
        <f>B32</f>
        <v>Capital-DF</v>
      </c>
      <c r="M12" t="s">
        <v>111</v>
      </c>
      <c r="N12" t="str">
        <f>B22</f>
        <v>Ouvidorense</v>
      </c>
      <c r="P12" t="str">
        <f>B22</f>
        <v>Ouvidorense</v>
      </c>
      <c r="Q12" t="s">
        <v>78</v>
      </c>
      <c r="R12" t="str">
        <f>B32</f>
        <v>Capital-DF</v>
      </c>
      <c r="T12" t="s">
        <v>116</v>
      </c>
      <c r="U12" t="s">
        <v>224</v>
      </c>
      <c r="V12" t="s">
        <v>230</v>
      </c>
      <c r="X12" t="s">
        <v>230</v>
      </c>
      <c r="Y12" t="s">
        <v>78</v>
      </c>
      <c r="Z12" t="s">
        <v>116</v>
      </c>
      <c r="AB12" t="s">
        <v>132</v>
      </c>
      <c r="AC12" t="s">
        <v>78</v>
      </c>
      <c r="AD12" t="s">
        <v>201</v>
      </c>
      <c r="AF12" t="s">
        <v>201</v>
      </c>
      <c r="AG12" t="s">
        <v>223</v>
      </c>
      <c r="AH12" t="s">
        <v>132</v>
      </c>
      <c r="AJ12" t="s">
        <v>195</v>
      </c>
      <c r="AK12" t="s">
        <v>79</v>
      </c>
      <c r="AL12" t="s">
        <v>207</v>
      </c>
      <c r="AN12" t="s">
        <v>207</v>
      </c>
      <c r="AO12" t="s">
        <v>221</v>
      </c>
      <c r="AP12" t="s">
        <v>195</v>
      </c>
    </row>
    <row r="13" spans="1:45" x14ac:dyDescent="0.3">
      <c r="A13" s="8" t="s">
        <v>15</v>
      </c>
      <c r="B13" t="s">
        <v>184</v>
      </c>
      <c r="C13" s="2">
        <f t="shared" si="3"/>
        <v>15</v>
      </c>
      <c r="D13">
        <v>10</v>
      </c>
      <c r="E13">
        <v>5</v>
      </c>
      <c r="F13">
        <v>0</v>
      </c>
      <c r="G13">
        <f t="shared" si="4"/>
        <v>5</v>
      </c>
      <c r="H13">
        <v>9</v>
      </c>
      <c r="I13">
        <v>10</v>
      </c>
      <c r="J13">
        <f t="shared" si="5"/>
        <v>-1</v>
      </c>
      <c r="AJ13" t="s">
        <v>159</v>
      </c>
      <c r="AK13" t="s">
        <v>250</v>
      </c>
      <c r="AL13" t="s">
        <v>140</v>
      </c>
      <c r="AN13" t="s">
        <v>140</v>
      </c>
      <c r="AO13" t="s">
        <v>220</v>
      </c>
      <c r="AP13" t="s">
        <v>159</v>
      </c>
    </row>
    <row r="14" spans="1:45" x14ac:dyDescent="0.3">
      <c r="A14" s="8" t="s">
        <v>17</v>
      </c>
      <c r="B14" t="s">
        <v>185</v>
      </c>
      <c r="C14" s="2">
        <f t="shared" si="3"/>
        <v>15</v>
      </c>
      <c r="D14">
        <v>10</v>
      </c>
      <c r="E14">
        <v>5</v>
      </c>
      <c r="F14">
        <v>0</v>
      </c>
      <c r="G14">
        <f t="shared" si="4"/>
        <v>5</v>
      </c>
      <c r="H14">
        <v>9</v>
      </c>
      <c r="I14">
        <v>10</v>
      </c>
      <c r="J14">
        <f t="shared" si="5"/>
        <v>-1</v>
      </c>
      <c r="L14" t="str">
        <f>B51</f>
        <v>Quixadá</v>
      </c>
      <c r="M14" t="s">
        <v>78</v>
      </c>
      <c r="N14" t="str">
        <f>B39</f>
        <v>Tuna Luso</v>
      </c>
      <c r="P14" t="str">
        <f>B39</f>
        <v>Tuna Luso</v>
      </c>
      <c r="Q14" t="s">
        <v>110</v>
      </c>
      <c r="R14" t="str">
        <f>B51</f>
        <v>Quixadá</v>
      </c>
      <c r="T14" t="s">
        <v>208</v>
      </c>
      <c r="U14" t="s">
        <v>221</v>
      </c>
      <c r="V14" t="s">
        <v>133</v>
      </c>
      <c r="X14" t="s">
        <v>133</v>
      </c>
      <c r="Y14" t="s">
        <v>225</v>
      </c>
      <c r="Z14" t="s">
        <v>208</v>
      </c>
      <c r="AB14" t="s">
        <v>210</v>
      </c>
      <c r="AC14" t="s">
        <v>79</v>
      </c>
      <c r="AD14" t="s">
        <v>159</v>
      </c>
      <c r="AF14" t="s">
        <v>159</v>
      </c>
      <c r="AG14" t="s">
        <v>224</v>
      </c>
      <c r="AH14" t="s">
        <v>210</v>
      </c>
    </row>
    <row r="15" spans="1:45" x14ac:dyDescent="0.3">
      <c r="A15" s="8" t="s">
        <v>19</v>
      </c>
      <c r="B15" t="s">
        <v>186</v>
      </c>
      <c r="C15" s="2">
        <f t="shared" si="3"/>
        <v>14</v>
      </c>
      <c r="D15">
        <v>10</v>
      </c>
      <c r="E15">
        <v>4</v>
      </c>
      <c r="F15">
        <v>2</v>
      </c>
      <c r="G15">
        <f t="shared" si="4"/>
        <v>4</v>
      </c>
      <c r="H15">
        <v>17</v>
      </c>
      <c r="I15">
        <v>16</v>
      </c>
      <c r="J15">
        <f t="shared" si="5"/>
        <v>1</v>
      </c>
      <c r="L15" t="str">
        <f>B59</f>
        <v>Tirol</v>
      </c>
      <c r="M15" t="s">
        <v>225</v>
      </c>
      <c r="N15" t="str">
        <f>B67</f>
        <v>Sousa</v>
      </c>
      <c r="P15" t="str">
        <f>B67</f>
        <v>Sousa</v>
      </c>
      <c r="Q15" t="s">
        <v>111</v>
      </c>
      <c r="R15" t="str">
        <f>B59</f>
        <v>Tirol</v>
      </c>
      <c r="T15" t="s">
        <v>207</v>
      </c>
      <c r="U15" t="s">
        <v>111</v>
      </c>
      <c r="V15" t="s">
        <v>136</v>
      </c>
      <c r="X15" t="s">
        <v>136</v>
      </c>
      <c r="Y15" t="s">
        <v>221</v>
      </c>
      <c r="Z15" t="s">
        <v>207</v>
      </c>
      <c r="AJ15" t="s">
        <v>108</v>
      </c>
    </row>
    <row r="16" spans="1:45" x14ac:dyDescent="0.3">
      <c r="A16" s="5" t="s">
        <v>21</v>
      </c>
      <c r="B16" t="s">
        <v>114</v>
      </c>
      <c r="C16" s="2">
        <f t="shared" si="3"/>
        <v>13</v>
      </c>
      <c r="D16">
        <v>10</v>
      </c>
      <c r="E16">
        <v>4</v>
      </c>
      <c r="F16">
        <v>1</v>
      </c>
      <c r="G16">
        <f t="shared" si="4"/>
        <v>5</v>
      </c>
      <c r="H16">
        <v>11</v>
      </c>
      <c r="I16">
        <v>13</v>
      </c>
      <c r="J16">
        <f t="shared" si="5"/>
        <v>-2</v>
      </c>
      <c r="AB16" t="s">
        <v>212</v>
      </c>
      <c r="AC16" t="s">
        <v>110</v>
      </c>
      <c r="AD16" t="s">
        <v>216</v>
      </c>
      <c r="AF16" t="s">
        <v>216</v>
      </c>
      <c r="AG16" t="s">
        <v>79</v>
      </c>
      <c r="AH16" t="s">
        <v>212</v>
      </c>
      <c r="AJ16" t="s">
        <v>195</v>
      </c>
      <c r="AK16" t="s">
        <v>79</v>
      </c>
      <c r="AL16" t="s">
        <v>140</v>
      </c>
      <c r="AN16" t="s">
        <v>140</v>
      </c>
      <c r="AO16" t="s">
        <v>251</v>
      </c>
      <c r="AP16" t="s">
        <v>195</v>
      </c>
    </row>
    <row r="17" spans="1:29" x14ac:dyDescent="0.3">
      <c r="A17" s="5" t="s">
        <v>23</v>
      </c>
      <c r="B17" t="s">
        <v>187</v>
      </c>
      <c r="C17" s="2">
        <f t="shared" si="3"/>
        <v>13</v>
      </c>
      <c r="D17">
        <v>10</v>
      </c>
      <c r="E17">
        <v>4</v>
      </c>
      <c r="F17">
        <v>1</v>
      </c>
      <c r="G17">
        <f t="shared" si="4"/>
        <v>5</v>
      </c>
      <c r="H17">
        <v>9</v>
      </c>
      <c r="I17">
        <v>13</v>
      </c>
      <c r="J17">
        <f t="shared" si="5"/>
        <v>-4</v>
      </c>
      <c r="L17" t="str">
        <f>B50</f>
        <v>Teresina</v>
      </c>
      <c r="M17" t="s">
        <v>226</v>
      </c>
      <c r="N17" t="str">
        <f>B40</f>
        <v>Tocantinópolis</v>
      </c>
      <c r="P17" t="str">
        <f>B40</f>
        <v>Tocantinópolis</v>
      </c>
      <c r="Q17" t="s">
        <v>227</v>
      </c>
      <c r="R17" t="str">
        <f>B50</f>
        <v>Teresina</v>
      </c>
      <c r="T17" t="s">
        <v>148</v>
      </c>
      <c r="U17" t="s">
        <v>243</v>
      </c>
      <c r="V17" t="s">
        <v>132</v>
      </c>
      <c r="X17" t="s">
        <v>132</v>
      </c>
      <c r="Y17" t="s">
        <v>220</v>
      </c>
      <c r="Z17" t="s">
        <v>148</v>
      </c>
    </row>
    <row r="18" spans="1:29" x14ac:dyDescent="0.3">
      <c r="L18" t="str">
        <f>B60</f>
        <v>Maranhão</v>
      </c>
      <c r="M18" t="s">
        <v>228</v>
      </c>
      <c r="N18" t="str">
        <f>B66</f>
        <v>Treze</v>
      </c>
      <c r="P18" t="str">
        <f>B66</f>
        <v>Treze</v>
      </c>
      <c r="Q18" t="s">
        <v>111</v>
      </c>
      <c r="R18" t="str">
        <f>B60</f>
        <v>Maranhão</v>
      </c>
      <c r="T18" t="s">
        <v>146</v>
      </c>
      <c r="U18" t="s">
        <v>223</v>
      </c>
      <c r="V18" t="s">
        <v>201</v>
      </c>
      <c r="X18" t="s">
        <v>201</v>
      </c>
      <c r="Y18" t="s">
        <v>225</v>
      </c>
      <c r="Z18" t="s">
        <v>146</v>
      </c>
      <c r="AB18" t="s">
        <v>252</v>
      </c>
    </row>
    <row r="19" spans="1:29" x14ac:dyDescent="0.3">
      <c r="A19" t="s">
        <v>167</v>
      </c>
      <c r="AB19" s="10" t="s">
        <v>14</v>
      </c>
      <c r="AC19" t="s">
        <v>195</v>
      </c>
    </row>
    <row r="20" spans="1:29" x14ac:dyDescent="0.3">
      <c r="A20" t="s">
        <v>4</v>
      </c>
      <c r="B20" t="s">
        <v>5</v>
      </c>
      <c r="C20" t="s">
        <v>6</v>
      </c>
      <c r="D20" t="s">
        <v>7</v>
      </c>
      <c r="E20" t="s">
        <v>8</v>
      </c>
      <c r="F20" t="s">
        <v>9</v>
      </c>
      <c r="G20" t="s">
        <v>10</v>
      </c>
      <c r="H20" t="s">
        <v>11</v>
      </c>
      <c r="I20" t="s">
        <v>12</v>
      </c>
      <c r="J20" t="s">
        <v>13</v>
      </c>
      <c r="L20" t="str">
        <f>B41</f>
        <v>Ypiranga-AP</v>
      </c>
      <c r="M20" t="s">
        <v>224</v>
      </c>
      <c r="N20" t="str">
        <f>B49</f>
        <v>IAPE</v>
      </c>
      <c r="P20" t="str">
        <f>B49</f>
        <v>IAPE</v>
      </c>
      <c r="Q20" t="s">
        <v>79</v>
      </c>
      <c r="R20" t="str">
        <f>B41</f>
        <v>Ypiranga-AP</v>
      </c>
      <c r="T20" t="s">
        <v>159</v>
      </c>
      <c r="U20" t="s">
        <v>79</v>
      </c>
      <c r="V20" t="s">
        <v>150</v>
      </c>
      <c r="X20" t="s">
        <v>150</v>
      </c>
      <c r="Y20" t="s">
        <v>220</v>
      </c>
      <c r="Z20" t="s">
        <v>159</v>
      </c>
      <c r="AB20" s="10" t="s">
        <v>15</v>
      </c>
      <c r="AC20" t="s">
        <v>140</v>
      </c>
    </row>
    <row r="21" spans="1:29" x14ac:dyDescent="0.3">
      <c r="A21" s="8" t="s">
        <v>14</v>
      </c>
      <c r="B21" t="s">
        <v>188</v>
      </c>
      <c r="C21" s="2">
        <f t="shared" ref="C21:C26" si="6">E21*3+F21</f>
        <v>19</v>
      </c>
      <c r="D21">
        <v>10</v>
      </c>
      <c r="E21">
        <v>5</v>
      </c>
      <c r="F21">
        <v>4</v>
      </c>
      <c r="G21">
        <f t="shared" ref="G21:G26" si="7">D21-E21-F21</f>
        <v>1</v>
      </c>
      <c r="H21">
        <v>18</v>
      </c>
      <c r="I21">
        <v>11</v>
      </c>
      <c r="J21">
        <f t="shared" ref="J21:J26" si="8">H21-I21</f>
        <v>7</v>
      </c>
      <c r="L21" t="str">
        <f>B69</f>
        <v>ABC</v>
      </c>
      <c r="M21" t="s">
        <v>223</v>
      </c>
      <c r="N21" t="str">
        <f>B57</f>
        <v>Potiguar</v>
      </c>
      <c r="P21" t="str">
        <f>B57</f>
        <v>Potiguar</v>
      </c>
      <c r="Q21" t="s">
        <v>228</v>
      </c>
      <c r="R21" t="str">
        <f>B69</f>
        <v>ABC</v>
      </c>
      <c r="T21" t="s">
        <v>210</v>
      </c>
      <c r="U21" t="s">
        <v>79</v>
      </c>
      <c r="V21" t="s">
        <v>164</v>
      </c>
      <c r="X21" t="s">
        <v>164</v>
      </c>
      <c r="Y21" t="s">
        <v>221</v>
      </c>
      <c r="Z21" t="s">
        <v>210</v>
      </c>
      <c r="AB21" s="10" t="s">
        <v>17</v>
      </c>
      <c r="AC21" t="s">
        <v>207</v>
      </c>
    </row>
    <row r="22" spans="1:29" x14ac:dyDescent="0.3">
      <c r="A22" s="8" t="s">
        <v>15</v>
      </c>
      <c r="B22" t="s">
        <v>158</v>
      </c>
      <c r="C22" s="2">
        <f t="shared" si="6"/>
        <v>16</v>
      </c>
      <c r="D22">
        <v>10</v>
      </c>
      <c r="E22">
        <v>5</v>
      </c>
      <c r="F22">
        <v>1</v>
      </c>
      <c r="G22">
        <f t="shared" si="7"/>
        <v>4</v>
      </c>
      <c r="H22">
        <v>10</v>
      </c>
      <c r="I22">
        <v>8</v>
      </c>
      <c r="J22">
        <f t="shared" si="8"/>
        <v>2</v>
      </c>
      <c r="AB22" s="10" t="s">
        <v>19</v>
      </c>
      <c r="AC22" t="s">
        <v>159</v>
      </c>
    </row>
    <row r="23" spans="1:29" x14ac:dyDescent="0.3">
      <c r="A23" s="8" t="s">
        <v>17</v>
      </c>
      <c r="B23" t="s">
        <v>140</v>
      </c>
      <c r="C23" s="2">
        <f t="shared" si="6"/>
        <v>15</v>
      </c>
      <c r="D23">
        <v>10</v>
      </c>
      <c r="E23">
        <v>4</v>
      </c>
      <c r="F23">
        <v>3</v>
      </c>
      <c r="G23">
        <f t="shared" si="7"/>
        <v>3</v>
      </c>
      <c r="H23">
        <v>13</v>
      </c>
      <c r="I23">
        <v>12</v>
      </c>
      <c r="J23">
        <f t="shared" si="8"/>
        <v>1</v>
      </c>
      <c r="L23" t="str">
        <f>B42</f>
        <v>Trem</v>
      </c>
      <c r="M23" t="s">
        <v>78</v>
      </c>
      <c r="N23" t="str">
        <f>B48</f>
        <v>Atlético-PI</v>
      </c>
      <c r="P23" t="str">
        <f>B48</f>
        <v>Atlético-PI</v>
      </c>
      <c r="Q23" t="s">
        <v>111</v>
      </c>
      <c r="R23" t="str">
        <f>B42</f>
        <v>Trem</v>
      </c>
      <c r="T23" t="s">
        <v>217</v>
      </c>
      <c r="U23" t="s">
        <v>111</v>
      </c>
      <c r="V23" t="s">
        <v>212</v>
      </c>
      <c r="X23" t="s">
        <v>212</v>
      </c>
      <c r="Y23" t="s">
        <v>244</v>
      </c>
      <c r="Z23" t="s">
        <v>217</v>
      </c>
      <c r="AB23" s="10" t="s">
        <v>21</v>
      </c>
      <c r="AC23" t="s">
        <v>132</v>
      </c>
    </row>
    <row r="24" spans="1:29" x14ac:dyDescent="0.3">
      <c r="A24" s="8" t="s">
        <v>19</v>
      </c>
      <c r="B24" t="s">
        <v>145</v>
      </c>
      <c r="C24" s="2">
        <f t="shared" si="6"/>
        <v>12</v>
      </c>
      <c r="D24">
        <v>10</v>
      </c>
      <c r="E24">
        <v>3</v>
      </c>
      <c r="F24">
        <v>3</v>
      </c>
      <c r="G24">
        <f t="shared" si="7"/>
        <v>4</v>
      </c>
      <c r="H24">
        <v>9</v>
      </c>
      <c r="I24">
        <v>10</v>
      </c>
      <c r="J24">
        <f t="shared" si="8"/>
        <v>-1</v>
      </c>
      <c r="L24" t="str">
        <f>B68</f>
        <v>América-RN</v>
      </c>
      <c r="M24" t="s">
        <v>220</v>
      </c>
      <c r="N24" t="str">
        <f>B58</f>
        <v>Sampaio Corrêa-MA</v>
      </c>
      <c r="P24" t="str">
        <f>B58</f>
        <v>Sampaio Corrêa-MA</v>
      </c>
      <c r="Q24" t="s">
        <v>231</v>
      </c>
      <c r="R24" t="str">
        <f>B68</f>
        <v>América-RN</v>
      </c>
      <c r="T24" t="s">
        <v>216</v>
      </c>
      <c r="U24" t="s">
        <v>79</v>
      </c>
      <c r="V24" t="s">
        <v>211</v>
      </c>
      <c r="X24" t="s">
        <v>211</v>
      </c>
      <c r="Y24" t="s">
        <v>220</v>
      </c>
      <c r="Z24" t="s">
        <v>216</v>
      </c>
      <c r="AB24" s="10" t="s">
        <v>23</v>
      </c>
      <c r="AC24" t="s">
        <v>116</v>
      </c>
    </row>
    <row r="25" spans="1:29" x14ac:dyDescent="0.3">
      <c r="A25" s="5" t="s">
        <v>21</v>
      </c>
      <c r="B25" t="s">
        <v>154</v>
      </c>
      <c r="C25" s="2">
        <f t="shared" si="6"/>
        <v>11</v>
      </c>
      <c r="D25">
        <v>10</v>
      </c>
      <c r="E25">
        <v>2</v>
      </c>
      <c r="F25">
        <v>5</v>
      </c>
      <c r="G25">
        <f t="shared" si="7"/>
        <v>3</v>
      </c>
      <c r="H25">
        <v>10</v>
      </c>
      <c r="I25">
        <v>13</v>
      </c>
      <c r="J25">
        <f t="shared" si="8"/>
        <v>-3</v>
      </c>
      <c r="AB25" t="s">
        <v>25</v>
      </c>
      <c r="AC25" t="s">
        <v>216</v>
      </c>
    </row>
    <row r="26" spans="1:29" x14ac:dyDescent="0.3">
      <c r="A26" s="5" t="s">
        <v>23</v>
      </c>
      <c r="B26" t="s">
        <v>141</v>
      </c>
      <c r="C26" s="2">
        <f t="shared" si="6"/>
        <v>7</v>
      </c>
      <c r="D26">
        <v>10</v>
      </c>
      <c r="E26">
        <v>1</v>
      </c>
      <c r="F26">
        <v>4</v>
      </c>
      <c r="G26">
        <f t="shared" si="7"/>
        <v>5</v>
      </c>
      <c r="H26">
        <v>10</v>
      </c>
      <c r="I26">
        <v>16</v>
      </c>
      <c r="J26">
        <f t="shared" si="8"/>
        <v>-6</v>
      </c>
      <c r="L26" t="str">
        <f>B87</f>
        <v>Atlético-BA</v>
      </c>
      <c r="M26" t="s">
        <v>223</v>
      </c>
      <c r="N26" t="str">
        <f>B75</f>
        <v>CSE</v>
      </c>
      <c r="P26" t="str">
        <f>B75</f>
        <v>CSE</v>
      </c>
      <c r="Q26" t="s">
        <v>79</v>
      </c>
      <c r="R26" t="str">
        <f>B87</f>
        <v>Atlético-BA</v>
      </c>
      <c r="AB26" t="s">
        <v>27</v>
      </c>
      <c r="AC26" t="s">
        <v>158</v>
      </c>
    </row>
    <row r="27" spans="1:29" x14ac:dyDescent="0.3">
      <c r="L27" t="str">
        <f>B95</f>
        <v>Dourados</v>
      </c>
      <c r="M27" t="s">
        <v>227</v>
      </c>
      <c r="N27" t="str">
        <f>B103</f>
        <v>Capixaba</v>
      </c>
      <c r="P27" t="str">
        <f>B103</f>
        <v>Capixaba</v>
      </c>
      <c r="Q27" t="s">
        <v>110</v>
      </c>
      <c r="R27" t="str">
        <f>B95</f>
        <v>Dourados</v>
      </c>
      <c r="AB27" t="s">
        <v>29</v>
      </c>
      <c r="AC27" t="s">
        <v>133</v>
      </c>
    </row>
    <row r="28" spans="1:29" x14ac:dyDescent="0.3">
      <c r="A28" t="s">
        <v>168</v>
      </c>
      <c r="AB28" t="s">
        <v>31</v>
      </c>
      <c r="AC28" t="s">
        <v>201</v>
      </c>
    </row>
    <row r="29" spans="1:29" x14ac:dyDescent="0.3">
      <c r="A29" t="s">
        <v>4</v>
      </c>
      <c r="B29" t="s">
        <v>5</v>
      </c>
      <c r="C29" t="s">
        <v>6</v>
      </c>
      <c r="D29" t="s">
        <v>7</v>
      </c>
      <c r="E29" t="s">
        <v>8</v>
      </c>
      <c r="F29" t="s">
        <v>9</v>
      </c>
      <c r="G29" t="s">
        <v>10</v>
      </c>
      <c r="H29" t="s">
        <v>11</v>
      </c>
      <c r="I29" t="s">
        <v>12</v>
      </c>
      <c r="J29" t="s">
        <v>13</v>
      </c>
      <c r="L29" t="str">
        <f>B86</f>
        <v>Lagarto</v>
      </c>
      <c r="M29" t="s">
        <v>224</v>
      </c>
      <c r="N29" t="str">
        <f>B76</f>
        <v>Decisão</v>
      </c>
      <c r="P29" t="str">
        <f>B76</f>
        <v>Decisão</v>
      </c>
      <c r="Q29" t="s">
        <v>228</v>
      </c>
      <c r="R29" t="str">
        <f>B86</f>
        <v>Lagarto</v>
      </c>
      <c r="AB29" t="s">
        <v>33</v>
      </c>
      <c r="AC29" t="s">
        <v>194</v>
      </c>
    </row>
    <row r="30" spans="1:29" x14ac:dyDescent="0.3">
      <c r="A30" s="8" t="s">
        <v>14</v>
      </c>
      <c r="B30" t="s">
        <v>189</v>
      </c>
      <c r="C30" s="2">
        <f t="shared" ref="C30:C35" si="9">E30*3+F30</f>
        <v>18</v>
      </c>
      <c r="D30">
        <v>10</v>
      </c>
      <c r="E30">
        <v>5</v>
      </c>
      <c r="F30">
        <v>3</v>
      </c>
      <c r="G30">
        <f t="shared" ref="G30:G35" si="10">D30-E30-F30</f>
        <v>2</v>
      </c>
      <c r="H30">
        <v>12</v>
      </c>
      <c r="I30">
        <v>8</v>
      </c>
      <c r="J30">
        <f t="shared" ref="J30:J35" si="11">H30-I30</f>
        <v>4</v>
      </c>
      <c r="L30" t="str">
        <f>B96</f>
        <v>Itabirito</v>
      </c>
      <c r="M30" t="s">
        <v>223</v>
      </c>
      <c r="N30" t="str">
        <f>B102</f>
        <v>Macaé</v>
      </c>
      <c r="P30" t="str">
        <f>B102</f>
        <v>Macaé</v>
      </c>
      <c r="Q30" t="s">
        <v>232</v>
      </c>
      <c r="R30" t="str">
        <f>B96</f>
        <v>Itabirito</v>
      </c>
      <c r="AB30" t="s">
        <v>35</v>
      </c>
      <c r="AC30" t="s">
        <v>210</v>
      </c>
    </row>
    <row r="31" spans="1:29" x14ac:dyDescent="0.3">
      <c r="A31" s="8" t="s">
        <v>15</v>
      </c>
      <c r="B31" t="s">
        <v>190</v>
      </c>
      <c r="C31" s="2">
        <f t="shared" si="9"/>
        <v>17</v>
      </c>
      <c r="D31">
        <v>10</v>
      </c>
      <c r="E31">
        <v>5</v>
      </c>
      <c r="F31">
        <v>2</v>
      </c>
      <c r="G31">
        <f t="shared" si="10"/>
        <v>3</v>
      </c>
      <c r="H31">
        <v>12</v>
      </c>
      <c r="I31">
        <v>9</v>
      </c>
      <c r="J31">
        <f t="shared" si="11"/>
        <v>3</v>
      </c>
      <c r="AB31" t="s">
        <v>37</v>
      </c>
      <c r="AC31" t="s">
        <v>145</v>
      </c>
    </row>
    <row r="32" spans="1:29" x14ac:dyDescent="0.3">
      <c r="A32" s="8" t="s">
        <v>17</v>
      </c>
      <c r="B32" t="s">
        <v>143</v>
      </c>
      <c r="C32" s="2">
        <f t="shared" si="9"/>
        <v>13</v>
      </c>
      <c r="D32">
        <v>10</v>
      </c>
      <c r="E32">
        <v>4</v>
      </c>
      <c r="F32">
        <v>1</v>
      </c>
      <c r="G32">
        <f t="shared" si="10"/>
        <v>5</v>
      </c>
      <c r="H32">
        <v>9</v>
      </c>
      <c r="I32">
        <v>9</v>
      </c>
      <c r="J32">
        <f t="shared" si="11"/>
        <v>0</v>
      </c>
      <c r="L32" t="str">
        <f>B77</f>
        <v>Murici</v>
      </c>
      <c r="M32" t="s">
        <v>220</v>
      </c>
      <c r="N32" t="str">
        <f>B85</f>
        <v>Sergipe</v>
      </c>
      <c r="P32" t="str">
        <f>B85</f>
        <v>Sergipe</v>
      </c>
      <c r="Q32" t="s">
        <v>223</v>
      </c>
      <c r="R32" t="str">
        <f>B77</f>
        <v>Murici</v>
      </c>
      <c r="AB32" t="s">
        <v>39</v>
      </c>
      <c r="AC32" t="s">
        <v>125</v>
      </c>
    </row>
    <row r="33" spans="1:29" x14ac:dyDescent="0.3">
      <c r="A33" s="8" t="s">
        <v>19</v>
      </c>
      <c r="B33" t="s">
        <v>144</v>
      </c>
      <c r="C33" s="2">
        <f t="shared" si="9"/>
        <v>12</v>
      </c>
      <c r="D33">
        <v>10</v>
      </c>
      <c r="E33">
        <v>3</v>
      </c>
      <c r="F33">
        <v>3</v>
      </c>
      <c r="G33">
        <f t="shared" si="10"/>
        <v>4</v>
      </c>
      <c r="H33">
        <v>9</v>
      </c>
      <c r="I33">
        <v>11</v>
      </c>
      <c r="J33">
        <f t="shared" si="11"/>
        <v>-2</v>
      </c>
      <c r="L33" t="str">
        <f>B105</f>
        <v>Vitória-ES</v>
      </c>
      <c r="M33" t="s">
        <v>224</v>
      </c>
      <c r="N33" t="str">
        <f>B93</f>
        <v>Operário-MS</v>
      </c>
      <c r="P33" t="str">
        <f>B93</f>
        <v>Operário-MS</v>
      </c>
      <c r="Q33" t="s">
        <v>228</v>
      </c>
      <c r="R33" t="str">
        <f>B105</f>
        <v>Vitória-ES</v>
      </c>
      <c r="AB33" t="s">
        <v>41</v>
      </c>
      <c r="AC33" t="s">
        <v>212</v>
      </c>
    </row>
    <row r="34" spans="1:29" x14ac:dyDescent="0.3">
      <c r="A34" s="5" t="s">
        <v>21</v>
      </c>
      <c r="B34" t="s">
        <v>191</v>
      </c>
      <c r="C34" s="2">
        <f t="shared" si="9"/>
        <v>12</v>
      </c>
      <c r="D34">
        <v>10</v>
      </c>
      <c r="E34">
        <v>3</v>
      </c>
      <c r="F34">
        <v>3</v>
      </c>
      <c r="G34">
        <f t="shared" si="10"/>
        <v>4</v>
      </c>
      <c r="H34">
        <v>10</v>
      </c>
      <c r="I34">
        <v>13</v>
      </c>
      <c r="J34">
        <f t="shared" si="11"/>
        <v>-3</v>
      </c>
      <c r="AB34" t="s">
        <v>43</v>
      </c>
      <c r="AC34" t="s">
        <v>144</v>
      </c>
    </row>
    <row r="35" spans="1:29" x14ac:dyDescent="0.3">
      <c r="A35" s="5" t="s">
        <v>23</v>
      </c>
      <c r="B35" t="s">
        <v>142</v>
      </c>
      <c r="C35" s="2">
        <f t="shared" si="9"/>
        <v>11</v>
      </c>
      <c r="D35">
        <v>10</v>
      </c>
      <c r="E35">
        <v>3</v>
      </c>
      <c r="F35">
        <v>2</v>
      </c>
      <c r="G35">
        <f t="shared" si="10"/>
        <v>5</v>
      </c>
      <c r="H35">
        <v>9</v>
      </c>
      <c r="I35">
        <v>11</v>
      </c>
      <c r="J35">
        <f t="shared" si="11"/>
        <v>-2</v>
      </c>
      <c r="L35" t="str">
        <f>B78</f>
        <v>Maguary</v>
      </c>
      <c r="M35" t="s">
        <v>233</v>
      </c>
      <c r="N35" t="str">
        <f>B84</f>
        <v>Atlético Gloriense</v>
      </c>
      <c r="P35" t="str">
        <f>B84</f>
        <v>Atlético Gloriense</v>
      </c>
      <c r="Q35" t="s">
        <v>111</v>
      </c>
      <c r="R35" t="str">
        <f>B78</f>
        <v>Maguary</v>
      </c>
      <c r="AB35" t="s">
        <v>45</v>
      </c>
      <c r="AC35" t="s">
        <v>131</v>
      </c>
    </row>
    <row r="36" spans="1:29" x14ac:dyDescent="0.3">
      <c r="L36" t="str">
        <f>B104</f>
        <v>Tombense</v>
      </c>
      <c r="M36" t="s">
        <v>225</v>
      </c>
      <c r="N36" t="str">
        <f>B94</f>
        <v>Goiatuba</v>
      </c>
      <c r="P36" t="str">
        <f>B94</f>
        <v>Goiatuba</v>
      </c>
      <c r="Q36" t="s">
        <v>223</v>
      </c>
      <c r="R36" t="str">
        <f>B104</f>
        <v>Tombense</v>
      </c>
      <c r="AB36" t="s">
        <v>47</v>
      </c>
      <c r="AC36" t="s">
        <v>117</v>
      </c>
    </row>
    <row r="37" spans="1:29" x14ac:dyDescent="0.3">
      <c r="A37" t="s">
        <v>169</v>
      </c>
      <c r="AB37" t="s">
        <v>49</v>
      </c>
      <c r="AC37" t="s">
        <v>136</v>
      </c>
    </row>
    <row r="38" spans="1:29" x14ac:dyDescent="0.3">
      <c r="A38" t="s">
        <v>4</v>
      </c>
      <c r="B38" t="s">
        <v>5</v>
      </c>
      <c r="C38" t="s">
        <v>6</v>
      </c>
      <c r="D38" t="s">
        <v>7</v>
      </c>
      <c r="E38" t="s">
        <v>8</v>
      </c>
      <c r="F38" t="s">
        <v>9</v>
      </c>
      <c r="G38" t="s">
        <v>10</v>
      </c>
      <c r="H38" t="s">
        <v>11</v>
      </c>
      <c r="I38" t="s">
        <v>12</v>
      </c>
      <c r="J38" t="s">
        <v>13</v>
      </c>
      <c r="L38" t="str">
        <f>B123</f>
        <v>Nova Iguaçu</v>
      </c>
      <c r="M38" t="s">
        <v>234</v>
      </c>
      <c r="N38" t="str">
        <f>B111</f>
        <v>Pouso Alegre</v>
      </c>
      <c r="P38" t="str">
        <f>B111</f>
        <v>Pouso Alegre</v>
      </c>
      <c r="Q38" t="s">
        <v>220</v>
      </c>
      <c r="R38" t="str">
        <f>B123</f>
        <v>Nova Iguaçu</v>
      </c>
      <c r="AB38" t="s">
        <v>51</v>
      </c>
      <c r="AC38" t="s">
        <v>148</v>
      </c>
    </row>
    <row r="39" spans="1:29" x14ac:dyDescent="0.3">
      <c r="A39" s="8" t="s">
        <v>14</v>
      </c>
      <c r="B39" t="s">
        <v>118</v>
      </c>
      <c r="C39" s="2">
        <f t="shared" ref="C39:C44" si="12">E39*3+F39</f>
        <v>19</v>
      </c>
      <c r="D39">
        <v>10</v>
      </c>
      <c r="E39">
        <v>6</v>
      </c>
      <c r="F39">
        <v>1</v>
      </c>
      <c r="G39">
        <f t="shared" ref="G39:G44" si="13">D39-E39-F39</f>
        <v>3</v>
      </c>
      <c r="H39">
        <v>11</v>
      </c>
      <c r="I39">
        <v>8</v>
      </c>
      <c r="J39">
        <f t="shared" ref="J39:J44" si="14">H39-I39</f>
        <v>3</v>
      </c>
      <c r="L39" t="str">
        <f>B131</f>
        <v>Joinville</v>
      </c>
      <c r="M39" t="s">
        <v>233</v>
      </c>
      <c r="N39" t="str">
        <f>B139</f>
        <v>São Luiz</v>
      </c>
      <c r="P39" t="str">
        <f>B139</f>
        <v>São Luiz</v>
      </c>
      <c r="Q39" t="s">
        <v>235</v>
      </c>
      <c r="R39" t="str">
        <f>B131</f>
        <v>Joinville</v>
      </c>
      <c r="AB39" t="s">
        <v>96</v>
      </c>
      <c r="AC39" t="s">
        <v>211</v>
      </c>
    </row>
    <row r="40" spans="1:29" x14ac:dyDescent="0.3">
      <c r="A40" s="8" t="s">
        <v>15</v>
      </c>
      <c r="B40" t="s">
        <v>122</v>
      </c>
      <c r="C40" s="2">
        <f t="shared" si="12"/>
        <v>17</v>
      </c>
      <c r="D40">
        <v>10</v>
      </c>
      <c r="E40">
        <v>5</v>
      </c>
      <c r="F40">
        <v>2</v>
      </c>
      <c r="G40">
        <f t="shared" si="13"/>
        <v>3</v>
      </c>
      <c r="H40">
        <v>17</v>
      </c>
      <c r="I40">
        <v>11</v>
      </c>
      <c r="J40">
        <f t="shared" si="14"/>
        <v>6</v>
      </c>
      <c r="AB40" t="s">
        <v>97</v>
      </c>
      <c r="AC40" t="s">
        <v>112</v>
      </c>
    </row>
    <row r="41" spans="1:29" x14ac:dyDescent="0.3">
      <c r="A41" s="8" t="s">
        <v>17</v>
      </c>
      <c r="B41" t="s">
        <v>229</v>
      </c>
      <c r="C41" s="2">
        <f t="shared" si="12"/>
        <v>15</v>
      </c>
      <c r="D41">
        <v>10</v>
      </c>
      <c r="E41">
        <v>4</v>
      </c>
      <c r="F41">
        <v>3</v>
      </c>
      <c r="G41">
        <f t="shared" si="13"/>
        <v>3</v>
      </c>
      <c r="H41">
        <v>12</v>
      </c>
      <c r="I41">
        <v>13</v>
      </c>
      <c r="J41">
        <f t="shared" si="14"/>
        <v>-1</v>
      </c>
      <c r="L41" t="str">
        <f>B122</f>
        <v>Velo Clube</v>
      </c>
      <c r="M41" t="s">
        <v>224</v>
      </c>
      <c r="N41" t="str">
        <f>B112</f>
        <v>Boavista</v>
      </c>
      <c r="P41" t="str">
        <f>B112</f>
        <v>Boavista</v>
      </c>
      <c r="Q41" t="s">
        <v>225</v>
      </c>
      <c r="R41" t="str">
        <f>B122</f>
        <v>Velo Clube</v>
      </c>
    </row>
    <row r="42" spans="1:29" x14ac:dyDescent="0.3">
      <c r="A42" s="8" t="s">
        <v>19</v>
      </c>
      <c r="B42" t="s">
        <v>116</v>
      </c>
      <c r="C42" s="2">
        <f t="shared" si="12"/>
        <v>13</v>
      </c>
      <c r="D42">
        <v>10</v>
      </c>
      <c r="E42">
        <v>4</v>
      </c>
      <c r="F42">
        <v>1</v>
      </c>
      <c r="G42">
        <f t="shared" si="13"/>
        <v>5</v>
      </c>
      <c r="H42">
        <v>9</v>
      </c>
      <c r="I42">
        <v>9</v>
      </c>
      <c r="J42">
        <f t="shared" si="14"/>
        <v>0</v>
      </c>
      <c r="L42" t="str">
        <f>B132</f>
        <v>Carlos Renaux</v>
      </c>
      <c r="M42" t="s">
        <v>110</v>
      </c>
      <c r="N42" t="str">
        <f>B138</f>
        <v>Santa Catarina</v>
      </c>
      <c r="P42" t="str">
        <f>B138</f>
        <v>Santa Catarina</v>
      </c>
      <c r="Q42" t="s">
        <v>223</v>
      </c>
      <c r="R42" t="str">
        <f>B132</f>
        <v>Carlos Renaux</v>
      </c>
    </row>
    <row r="43" spans="1:29" x14ac:dyDescent="0.3">
      <c r="A43" s="5" t="s">
        <v>21</v>
      </c>
      <c r="B43" t="s">
        <v>119</v>
      </c>
      <c r="C43" s="2">
        <f t="shared" si="12"/>
        <v>10</v>
      </c>
      <c r="D43">
        <v>10</v>
      </c>
      <c r="E43">
        <v>3</v>
      </c>
      <c r="F43">
        <v>1</v>
      </c>
      <c r="G43">
        <f t="shared" si="13"/>
        <v>6</v>
      </c>
      <c r="H43">
        <v>8</v>
      </c>
      <c r="I43">
        <v>13</v>
      </c>
      <c r="J43">
        <f t="shared" si="14"/>
        <v>-5</v>
      </c>
    </row>
    <row r="44" spans="1:29" x14ac:dyDescent="0.3">
      <c r="A44" s="5" t="s">
        <v>23</v>
      </c>
      <c r="B44" t="s">
        <v>192</v>
      </c>
      <c r="C44" s="2">
        <f t="shared" si="12"/>
        <v>10</v>
      </c>
      <c r="D44">
        <v>10</v>
      </c>
      <c r="E44">
        <v>2</v>
      </c>
      <c r="F44">
        <v>4</v>
      </c>
      <c r="G44">
        <f t="shared" si="13"/>
        <v>4</v>
      </c>
      <c r="H44">
        <v>10</v>
      </c>
      <c r="I44">
        <v>13</v>
      </c>
      <c r="J44">
        <f t="shared" si="14"/>
        <v>-3</v>
      </c>
      <c r="L44" t="str">
        <f>B113</f>
        <v>Portuguesa-SP</v>
      </c>
      <c r="M44" t="s">
        <v>79</v>
      </c>
      <c r="N44" t="str">
        <f>B121</f>
        <v>Andraus</v>
      </c>
      <c r="P44" t="str">
        <f>B121</f>
        <v>Andraus</v>
      </c>
      <c r="Q44" t="s">
        <v>236</v>
      </c>
      <c r="R44" t="str">
        <f>B113</f>
        <v>Portuguesa-SP</v>
      </c>
    </row>
    <row r="45" spans="1:29" x14ac:dyDescent="0.3">
      <c r="L45" t="str">
        <f>B141</f>
        <v>Tubarão</v>
      </c>
      <c r="M45" t="s">
        <v>223</v>
      </c>
      <c r="N45" t="str">
        <f>B129</f>
        <v>Galo Maringá</v>
      </c>
      <c r="P45" t="str">
        <f>B129</f>
        <v>Galo Maringá</v>
      </c>
      <c r="Q45" t="s">
        <v>220</v>
      </c>
      <c r="R45" t="str">
        <f>B141</f>
        <v>Tubarão</v>
      </c>
    </row>
    <row r="46" spans="1:29" x14ac:dyDescent="0.3">
      <c r="A46" t="s">
        <v>170</v>
      </c>
    </row>
    <row r="47" spans="1:29" x14ac:dyDescent="0.3">
      <c r="A47" t="s">
        <v>4</v>
      </c>
      <c r="B47" t="s">
        <v>5</v>
      </c>
      <c r="C47" t="s">
        <v>6</v>
      </c>
      <c r="D47" t="s">
        <v>7</v>
      </c>
      <c r="E47" t="s">
        <v>8</v>
      </c>
      <c r="F47" t="s">
        <v>9</v>
      </c>
      <c r="G47" t="s">
        <v>10</v>
      </c>
      <c r="H47" t="s">
        <v>11</v>
      </c>
      <c r="I47" t="s">
        <v>12</v>
      </c>
      <c r="J47" t="s">
        <v>13</v>
      </c>
      <c r="L47" t="str">
        <f>B114</f>
        <v>Madureira</v>
      </c>
      <c r="M47" t="s">
        <v>220</v>
      </c>
      <c r="N47" t="str">
        <f>B120</f>
        <v>São-Carlense</v>
      </c>
      <c r="P47" t="str">
        <f>B120</f>
        <v>São-Carlense</v>
      </c>
      <c r="Q47" t="s">
        <v>221</v>
      </c>
      <c r="R47" t="str">
        <f>B114</f>
        <v>Madureira</v>
      </c>
    </row>
    <row r="48" spans="1:29" x14ac:dyDescent="0.3">
      <c r="A48" s="8" t="s">
        <v>14</v>
      </c>
      <c r="B48" t="s">
        <v>193</v>
      </c>
      <c r="C48" s="2">
        <f t="shared" ref="C48:C53" si="15">E48*3+F48</f>
        <v>22</v>
      </c>
      <c r="D48">
        <v>10</v>
      </c>
      <c r="E48">
        <v>6</v>
      </c>
      <c r="F48">
        <v>4</v>
      </c>
      <c r="G48">
        <f t="shared" ref="G48:G53" si="16">D48-E48-F48</f>
        <v>0</v>
      </c>
      <c r="H48">
        <v>15</v>
      </c>
      <c r="I48">
        <v>6</v>
      </c>
      <c r="J48">
        <f t="shared" ref="J48:J53" si="17">H48-I48</f>
        <v>9</v>
      </c>
      <c r="L48" t="str">
        <f>B140</f>
        <v>Concórdia</v>
      </c>
      <c r="M48" t="s">
        <v>223</v>
      </c>
      <c r="N48" t="str">
        <f>B130</f>
        <v>Cascavel</v>
      </c>
      <c r="P48" t="str">
        <f>B130</f>
        <v>Cascavel</v>
      </c>
      <c r="Q48" t="s">
        <v>237</v>
      </c>
      <c r="R48" t="str">
        <f>B140</f>
        <v>Concórdia</v>
      </c>
    </row>
    <row r="49" spans="1:10" x14ac:dyDescent="0.3">
      <c r="A49" s="8" t="s">
        <v>15</v>
      </c>
      <c r="B49" t="s">
        <v>121</v>
      </c>
      <c r="C49" s="2">
        <f t="shared" si="15"/>
        <v>12</v>
      </c>
      <c r="D49">
        <v>10</v>
      </c>
      <c r="E49">
        <v>3</v>
      </c>
      <c r="F49">
        <v>3</v>
      </c>
      <c r="G49">
        <f t="shared" si="16"/>
        <v>4</v>
      </c>
      <c r="H49">
        <v>10</v>
      </c>
      <c r="I49">
        <v>9</v>
      </c>
      <c r="J49">
        <f t="shared" si="17"/>
        <v>1</v>
      </c>
    </row>
    <row r="50" spans="1:10" x14ac:dyDescent="0.3">
      <c r="A50" s="8" t="s">
        <v>17</v>
      </c>
      <c r="B50" t="s">
        <v>194</v>
      </c>
      <c r="C50" s="2">
        <f t="shared" si="15"/>
        <v>12</v>
      </c>
      <c r="D50">
        <v>10</v>
      </c>
      <c r="E50">
        <v>3</v>
      </c>
      <c r="F50">
        <v>3</v>
      </c>
      <c r="G50">
        <f t="shared" si="16"/>
        <v>4</v>
      </c>
      <c r="H50">
        <v>9</v>
      </c>
      <c r="I50">
        <v>12</v>
      </c>
      <c r="J50">
        <f t="shared" si="17"/>
        <v>-3</v>
      </c>
    </row>
    <row r="51" spans="1:10" x14ac:dyDescent="0.3">
      <c r="A51" s="8" t="s">
        <v>19</v>
      </c>
      <c r="B51" t="s">
        <v>195</v>
      </c>
      <c r="C51" s="2">
        <f t="shared" si="15"/>
        <v>12</v>
      </c>
      <c r="D51">
        <v>10</v>
      </c>
      <c r="E51">
        <v>2</v>
      </c>
      <c r="F51">
        <v>6</v>
      </c>
      <c r="G51">
        <f t="shared" si="16"/>
        <v>2</v>
      </c>
      <c r="H51">
        <v>12</v>
      </c>
      <c r="I51">
        <v>13</v>
      </c>
      <c r="J51">
        <f t="shared" si="17"/>
        <v>-1</v>
      </c>
    </row>
    <row r="52" spans="1:10" x14ac:dyDescent="0.3">
      <c r="A52" s="5" t="s">
        <v>21</v>
      </c>
      <c r="B52" t="s">
        <v>124</v>
      </c>
      <c r="C52" s="2">
        <f t="shared" si="15"/>
        <v>11</v>
      </c>
      <c r="D52">
        <v>10</v>
      </c>
      <c r="E52">
        <v>2</v>
      </c>
      <c r="F52">
        <v>5</v>
      </c>
      <c r="G52">
        <f t="shared" si="16"/>
        <v>3</v>
      </c>
      <c r="H52">
        <v>13</v>
      </c>
      <c r="I52">
        <v>14</v>
      </c>
      <c r="J52">
        <f t="shared" si="17"/>
        <v>-1</v>
      </c>
    </row>
    <row r="53" spans="1:10" x14ac:dyDescent="0.3">
      <c r="A53" s="5" t="s">
        <v>23</v>
      </c>
      <c r="B53" t="s">
        <v>196</v>
      </c>
      <c r="C53" s="2">
        <f t="shared" si="15"/>
        <v>7</v>
      </c>
      <c r="D53">
        <v>10</v>
      </c>
      <c r="E53">
        <v>0</v>
      </c>
      <c r="F53">
        <v>7</v>
      </c>
      <c r="G53">
        <f t="shared" si="16"/>
        <v>3</v>
      </c>
      <c r="H53">
        <v>8</v>
      </c>
      <c r="I53">
        <v>13</v>
      </c>
      <c r="J53">
        <f t="shared" si="17"/>
        <v>-5</v>
      </c>
    </row>
    <row r="55" spans="1:10" x14ac:dyDescent="0.3">
      <c r="A55" t="s">
        <v>171</v>
      </c>
    </row>
    <row r="56" spans="1:10" x14ac:dyDescent="0.3">
      <c r="A56" t="s">
        <v>4</v>
      </c>
      <c r="B56" t="s">
        <v>5</v>
      </c>
      <c r="C56" t="s">
        <v>6</v>
      </c>
      <c r="D56" t="s">
        <v>7</v>
      </c>
      <c r="E56" t="s">
        <v>8</v>
      </c>
      <c r="F56" t="s">
        <v>9</v>
      </c>
      <c r="G56" t="s">
        <v>10</v>
      </c>
      <c r="H56" t="s">
        <v>11</v>
      </c>
      <c r="I56" t="s">
        <v>12</v>
      </c>
      <c r="J56" t="s">
        <v>13</v>
      </c>
    </row>
    <row r="57" spans="1:10" x14ac:dyDescent="0.3">
      <c r="A57" s="8" t="s">
        <v>14</v>
      </c>
      <c r="B57" t="s">
        <v>197</v>
      </c>
      <c r="C57" s="2">
        <f t="shared" ref="C57:C62" si="18">E57*3+F57</f>
        <v>18</v>
      </c>
      <c r="D57">
        <v>10</v>
      </c>
      <c r="E57">
        <v>6</v>
      </c>
      <c r="F57">
        <v>0</v>
      </c>
      <c r="G57">
        <f t="shared" ref="G57:G62" si="19">D57-E57-F57</f>
        <v>4</v>
      </c>
      <c r="H57">
        <v>11</v>
      </c>
      <c r="I57">
        <v>13</v>
      </c>
      <c r="J57">
        <f t="shared" ref="J57:J62" si="20">H57-I57</f>
        <v>-2</v>
      </c>
    </row>
    <row r="58" spans="1:10" x14ac:dyDescent="0.3">
      <c r="A58" s="8" t="s">
        <v>15</v>
      </c>
      <c r="B58" t="s">
        <v>120</v>
      </c>
      <c r="C58" s="2">
        <f t="shared" si="18"/>
        <v>17</v>
      </c>
      <c r="D58">
        <v>10</v>
      </c>
      <c r="E58">
        <v>5</v>
      </c>
      <c r="F58">
        <v>2</v>
      </c>
      <c r="G58">
        <f t="shared" si="19"/>
        <v>3</v>
      </c>
      <c r="H58">
        <v>10</v>
      </c>
      <c r="I58">
        <v>7</v>
      </c>
      <c r="J58">
        <f t="shared" si="20"/>
        <v>3</v>
      </c>
    </row>
    <row r="59" spans="1:10" x14ac:dyDescent="0.3">
      <c r="A59" s="8" t="s">
        <v>17</v>
      </c>
      <c r="B59" t="s">
        <v>127</v>
      </c>
      <c r="C59" s="2">
        <f t="shared" si="18"/>
        <v>15</v>
      </c>
      <c r="D59">
        <v>10</v>
      </c>
      <c r="E59">
        <v>4</v>
      </c>
      <c r="F59">
        <v>3</v>
      </c>
      <c r="G59">
        <f t="shared" si="19"/>
        <v>3</v>
      </c>
      <c r="H59">
        <v>12</v>
      </c>
      <c r="I59">
        <v>10</v>
      </c>
      <c r="J59">
        <f t="shared" si="20"/>
        <v>2</v>
      </c>
    </row>
    <row r="60" spans="1:10" x14ac:dyDescent="0.3">
      <c r="A60" s="8" t="s">
        <v>19</v>
      </c>
      <c r="B60" t="s">
        <v>95</v>
      </c>
      <c r="C60" s="2">
        <f t="shared" si="18"/>
        <v>15</v>
      </c>
      <c r="D60">
        <v>10</v>
      </c>
      <c r="E60">
        <v>4</v>
      </c>
      <c r="F60">
        <v>3</v>
      </c>
      <c r="G60">
        <f t="shared" si="19"/>
        <v>3</v>
      </c>
      <c r="H60">
        <v>10</v>
      </c>
      <c r="I60">
        <v>8</v>
      </c>
      <c r="J60">
        <f t="shared" si="20"/>
        <v>2</v>
      </c>
    </row>
    <row r="61" spans="1:10" x14ac:dyDescent="0.3">
      <c r="A61" s="5" t="s">
        <v>21</v>
      </c>
      <c r="B61" t="s">
        <v>198</v>
      </c>
      <c r="C61" s="2">
        <f t="shared" si="18"/>
        <v>10</v>
      </c>
      <c r="D61">
        <v>10</v>
      </c>
      <c r="E61">
        <v>3</v>
      </c>
      <c r="F61">
        <v>1</v>
      </c>
      <c r="G61">
        <f t="shared" si="19"/>
        <v>6</v>
      </c>
      <c r="H61">
        <v>7</v>
      </c>
      <c r="I61">
        <v>10</v>
      </c>
      <c r="J61">
        <f t="shared" si="20"/>
        <v>-3</v>
      </c>
    </row>
    <row r="62" spans="1:10" x14ac:dyDescent="0.3">
      <c r="A62" s="5" t="s">
        <v>23</v>
      </c>
      <c r="B62" t="s">
        <v>199</v>
      </c>
      <c r="C62" s="2">
        <f t="shared" si="18"/>
        <v>9</v>
      </c>
      <c r="D62">
        <v>10</v>
      </c>
      <c r="E62">
        <v>2</v>
      </c>
      <c r="F62">
        <v>3</v>
      </c>
      <c r="G62">
        <f t="shared" si="19"/>
        <v>5</v>
      </c>
      <c r="H62">
        <v>9</v>
      </c>
      <c r="I62">
        <v>11</v>
      </c>
      <c r="J62">
        <f t="shared" si="20"/>
        <v>-2</v>
      </c>
    </row>
    <row r="64" spans="1:10" x14ac:dyDescent="0.3">
      <c r="A64" t="s">
        <v>172</v>
      </c>
    </row>
    <row r="65" spans="1:10" x14ac:dyDescent="0.3">
      <c r="A65" t="s">
        <v>4</v>
      </c>
      <c r="B65" t="s">
        <v>5</v>
      </c>
      <c r="C65" t="s">
        <v>6</v>
      </c>
      <c r="D65" t="s">
        <v>7</v>
      </c>
      <c r="E65" t="s">
        <v>8</v>
      </c>
      <c r="F65" t="s">
        <v>9</v>
      </c>
      <c r="G65" t="s">
        <v>10</v>
      </c>
      <c r="H65" t="s">
        <v>11</v>
      </c>
      <c r="I65" t="s">
        <v>12</v>
      </c>
      <c r="J65" t="s">
        <v>13</v>
      </c>
    </row>
    <row r="66" spans="1:10" x14ac:dyDescent="0.3">
      <c r="A66" s="8" t="s">
        <v>14</v>
      </c>
      <c r="B66" t="s">
        <v>131</v>
      </c>
      <c r="C66" s="2">
        <f t="shared" ref="C66:C71" si="21">E66*3+F66</f>
        <v>23</v>
      </c>
      <c r="D66">
        <v>10</v>
      </c>
      <c r="E66">
        <v>7</v>
      </c>
      <c r="F66">
        <v>2</v>
      </c>
      <c r="G66">
        <f t="shared" ref="G66:G71" si="22">D66-E66-F66</f>
        <v>1</v>
      </c>
      <c r="H66">
        <v>11</v>
      </c>
      <c r="I66">
        <v>5</v>
      </c>
      <c r="J66">
        <f t="shared" ref="J66:J71" si="23">H66-I66</f>
        <v>6</v>
      </c>
    </row>
    <row r="67" spans="1:10" x14ac:dyDescent="0.3">
      <c r="A67" s="8" t="s">
        <v>15</v>
      </c>
      <c r="B67" t="s">
        <v>129</v>
      </c>
      <c r="C67" s="2">
        <f t="shared" si="21"/>
        <v>17</v>
      </c>
      <c r="D67">
        <v>10</v>
      </c>
      <c r="E67">
        <v>5</v>
      </c>
      <c r="F67">
        <v>2</v>
      </c>
      <c r="G67">
        <f t="shared" si="22"/>
        <v>3</v>
      </c>
      <c r="H67">
        <v>8</v>
      </c>
      <c r="I67">
        <v>6</v>
      </c>
      <c r="J67">
        <f t="shared" si="23"/>
        <v>2</v>
      </c>
    </row>
    <row r="68" spans="1:10" x14ac:dyDescent="0.3">
      <c r="A68" s="8" t="s">
        <v>17</v>
      </c>
      <c r="B68" t="s">
        <v>230</v>
      </c>
      <c r="C68" s="2">
        <f t="shared" si="21"/>
        <v>15</v>
      </c>
      <c r="D68">
        <v>10</v>
      </c>
      <c r="E68">
        <v>4</v>
      </c>
      <c r="F68">
        <v>3</v>
      </c>
      <c r="G68">
        <f t="shared" si="22"/>
        <v>3</v>
      </c>
      <c r="H68">
        <v>9</v>
      </c>
      <c r="I68">
        <v>9</v>
      </c>
      <c r="J68">
        <f t="shared" si="23"/>
        <v>0</v>
      </c>
    </row>
    <row r="69" spans="1:10" x14ac:dyDescent="0.3">
      <c r="A69" s="8" t="s">
        <v>19</v>
      </c>
      <c r="B69" t="s">
        <v>125</v>
      </c>
      <c r="C69" s="2">
        <f t="shared" si="21"/>
        <v>12</v>
      </c>
      <c r="D69">
        <v>10</v>
      </c>
      <c r="E69">
        <v>3</v>
      </c>
      <c r="F69">
        <v>3</v>
      </c>
      <c r="G69">
        <f t="shared" si="22"/>
        <v>4</v>
      </c>
      <c r="H69">
        <v>6</v>
      </c>
      <c r="I69">
        <v>7</v>
      </c>
      <c r="J69">
        <f t="shared" si="23"/>
        <v>-1</v>
      </c>
    </row>
    <row r="70" spans="1:10" x14ac:dyDescent="0.3">
      <c r="A70" s="5" t="s">
        <v>21</v>
      </c>
      <c r="B70" t="s">
        <v>126</v>
      </c>
      <c r="C70" s="2">
        <f t="shared" si="21"/>
        <v>9</v>
      </c>
      <c r="D70">
        <v>10</v>
      </c>
      <c r="E70">
        <v>2</v>
      </c>
      <c r="F70">
        <v>3</v>
      </c>
      <c r="G70">
        <f t="shared" si="22"/>
        <v>5</v>
      </c>
      <c r="H70">
        <v>7</v>
      </c>
      <c r="I70">
        <v>10</v>
      </c>
      <c r="J70">
        <f t="shared" si="23"/>
        <v>-3</v>
      </c>
    </row>
    <row r="71" spans="1:10" x14ac:dyDescent="0.3">
      <c r="A71" s="5" t="s">
        <v>23</v>
      </c>
      <c r="B71" t="s">
        <v>123</v>
      </c>
      <c r="C71" s="2">
        <f t="shared" si="21"/>
        <v>7</v>
      </c>
      <c r="D71">
        <v>10</v>
      </c>
      <c r="E71">
        <v>2</v>
      </c>
      <c r="F71">
        <v>1</v>
      </c>
      <c r="G71">
        <f t="shared" si="22"/>
        <v>7</v>
      </c>
      <c r="H71">
        <v>8</v>
      </c>
      <c r="I71">
        <v>12</v>
      </c>
      <c r="J71">
        <f t="shared" si="23"/>
        <v>-4</v>
      </c>
    </row>
    <row r="73" spans="1:10" x14ac:dyDescent="0.3">
      <c r="A73" t="s">
        <v>173</v>
      </c>
    </row>
    <row r="74" spans="1:10" x14ac:dyDescent="0.3">
      <c r="A74" t="s">
        <v>4</v>
      </c>
      <c r="B74" t="s">
        <v>5</v>
      </c>
      <c r="C74" t="s">
        <v>6</v>
      </c>
      <c r="D74" t="s">
        <v>7</v>
      </c>
      <c r="E74" t="s">
        <v>8</v>
      </c>
      <c r="F74" t="s">
        <v>9</v>
      </c>
      <c r="G74" t="s">
        <v>10</v>
      </c>
      <c r="H74" t="s">
        <v>11</v>
      </c>
      <c r="I74" t="s">
        <v>12</v>
      </c>
      <c r="J74" t="s">
        <v>13</v>
      </c>
    </row>
    <row r="75" spans="1:10" x14ac:dyDescent="0.3">
      <c r="A75" s="8" t="s">
        <v>14</v>
      </c>
      <c r="B75" t="s">
        <v>133</v>
      </c>
      <c r="C75" s="2">
        <f t="shared" ref="C75:C80" si="24">E75*3+F75</f>
        <v>25</v>
      </c>
      <c r="D75">
        <v>10</v>
      </c>
      <c r="E75">
        <v>8</v>
      </c>
      <c r="F75">
        <v>1</v>
      </c>
      <c r="G75">
        <f t="shared" ref="G75:G80" si="25">D75-E75-F75</f>
        <v>1</v>
      </c>
      <c r="H75">
        <v>12</v>
      </c>
      <c r="I75">
        <v>2</v>
      </c>
      <c r="J75">
        <f t="shared" ref="J75:J80" si="26">H75-I75</f>
        <v>10</v>
      </c>
    </row>
    <row r="76" spans="1:10" x14ac:dyDescent="0.3">
      <c r="A76" s="8" t="s">
        <v>15</v>
      </c>
      <c r="B76" t="s">
        <v>130</v>
      </c>
      <c r="C76" s="2">
        <f t="shared" si="24"/>
        <v>20</v>
      </c>
      <c r="D76">
        <v>10</v>
      </c>
      <c r="E76">
        <v>6</v>
      </c>
      <c r="F76">
        <v>2</v>
      </c>
      <c r="G76">
        <f t="shared" si="25"/>
        <v>2</v>
      </c>
      <c r="H76">
        <v>11</v>
      </c>
      <c r="I76">
        <v>8</v>
      </c>
      <c r="J76">
        <f t="shared" si="26"/>
        <v>3</v>
      </c>
    </row>
    <row r="77" spans="1:10" x14ac:dyDescent="0.3">
      <c r="A77" s="8" t="s">
        <v>17</v>
      </c>
      <c r="B77" t="s">
        <v>200</v>
      </c>
      <c r="C77" s="2">
        <f t="shared" si="24"/>
        <v>14</v>
      </c>
      <c r="D77">
        <v>10</v>
      </c>
      <c r="E77">
        <v>4</v>
      </c>
      <c r="F77">
        <v>2</v>
      </c>
      <c r="G77">
        <f t="shared" si="25"/>
        <v>4</v>
      </c>
      <c r="H77">
        <v>12</v>
      </c>
      <c r="I77">
        <v>13</v>
      </c>
      <c r="J77">
        <f t="shared" si="26"/>
        <v>-1</v>
      </c>
    </row>
    <row r="78" spans="1:10" x14ac:dyDescent="0.3">
      <c r="A78" s="8" t="s">
        <v>19</v>
      </c>
      <c r="B78" t="s">
        <v>135</v>
      </c>
      <c r="C78" s="2">
        <f t="shared" si="24"/>
        <v>11</v>
      </c>
      <c r="D78">
        <v>10</v>
      </c>
      <c r="E78">
        <v>3</v>
      </c>
      <c r="F78">
        <v>2</v>
      </c>
      <c r="G78">
        <f t="shared" si="25"/>
        <v>5</v>
      </c>
      <c r="H78">
        <v>11</v>
      </c>
      <c r="I78">
        <v>10</v>
      </c>
      <c r="J78">
        <f t="shared" si="26"/>
        <v>1</v>
      </c>
    </row>
    <row r="79" spans="1:10" x14ac:dyDescent="0.3">
      <c r="A79" s="5" t="s">
        <v>21</v>
      </c>
      <c r="B79" t="s">
        <v>134</v>
      </c>
      <c r="C79" s="2">
        <f t="shared" si="24"/>
        <v>10</v>
      </c>
      <c r="D79">
        <v>10</v>
      </c>
      <c r="E79">
        <v>2</v>
      </c>
      <c r="F79">
        <v>4</v>
      </c>
      <c r="G79">
        <f t="shared" si="25"/>
        <v>4</v>
      </c>
      <c r="H79">
        <v>11</v>
      </c>
      <c r="I79">
        <v>13</v>
      </c>
      <c r="J79">
        <f t="shared" si="26"/>
        <v>-2</v>
      </c>
    </row>
    <row r="80" spans="1:10" x14ac:dyDescent="0.3">
      <c r="A80" s="5" t="s">
        <v>23</v>
      </c>
      <c r="B80" t="s">
        <v>128</v>
      </c>
      <c r="C80" s="2">
        <f t="shared" si="24"/>
        <v>4</v>
      </c>
      <c r="D80">
        <v>10</v>
      </c>
      <c r="E80">
        <v>1</v>
      </c>
      <c r="F80">
        <v>1</v>
      </c>
      <c r="G80">
        <f t="shared" si="25"/>
        <v>8</v>
      </c>
      <c r="H80">
        <v>5</v>
      </c>
      <c r="I80">
        <v>16</v>
      </c>
      <c r="J80">
        <f t="shared" si="26"/>
        <v>-11</v>
      </c>
    </row>
    <row r="82" spans="1:10" x14ac:dyDescent="0.3">
      <c r="A82" t="s">
        <v>174</v>
      </c>
    </row>
    <row r="83" spans="1:10" x14ac:dyDescent="0.3">
      <c r="A83" t="s">
        <v>4</v>
      </c>
      <c r="B83" t="s">
        <v>5</v>
      </c>
      <c r="C83" t="s">
        <v>6</v>
      </c>
      <c r="D83" t="s">
        <v>7</v>
      </c>
      <c r="E83" t="s">
        <v>8</v>
      </c>
      <c r="F83" t="s">
        <v>9</v>
      </c>
      <c r="G83" t="s">
        <v>10</v>
      </c>
      <c r="H83" t="s">
        <v>11</v>
      </c>
      <c r="I83" t="s">
        <v>12</v>
      </c>
      <c r="J83" t="s">
        <v>13</v>
      </c>
    </row>
    <row r="84" spans="1:10" x14ac:dyDescent="0.3">
      <c r="A84" s="8" t="s">
        <v>14</v>
      </c>
      <c r="B84" t="s">
        <v>201</v>
      </c>
      <c r="C84" s="2">
        <f t="shared" ref="C84:C89" si="27">E84*3+F84</f>
        <v>18</v>
      </c>
      <c r="D84">
        <v>10</v>
      </c>
      <c r="E84">
        <v>5</v>
      </c>
      <c r="F84">
        <v>3</v>
      </c>
      <c r="G84">
        <f t="shared" ref="G84:G89" si="28">D84-E84-F84</f>
        <v>2</v>
      </c>
      <c r="H84">
        <v>16</v>
      </c>
      <c r="I84">
        <v>10</v>
      </c>
      <c r="J84">
        <f t="shared" ref="J84:J89" si="29">H84-I84</f>
        <v>6</v>
      </c>
    </row>
    <row r="85" spans="1:10" x14ac:dyDescent="0.3">
      <c r="A85" s="8" t="s">
        <v>15</v>
      </c>
      <c r="B85" t="s">
        <v>132</v>
      </c>
      <c r="C85" s="2">
        <f t="shared" si="27"/>
        <v>17</v>
      </c>
      <c r="D85">
        <v>10</v>
      </c>
      <c r="E85">
        <v>5</v>
      </c>
      <c r="F85">
        <v>2</v>
      </c>
      <c r="G85">
        <f t="shared" si="28"/>
        <v>3</v>
      </c>
      <c r="H85">
        <v>18</v>
      </c>
      <c r="I85">
        <v>12</v>
      </c>
      <c r="J85">
        <f t="shared" si="29"/>
        <v>6</v>
      </c>
    </row>
    <row r="86" spans="1:10" x14ac:dyDescent="0.3">
      <c r="A86" s="8" t="s">
        <v>17</v>
      </c>
      <c r="B86" t="s">
        <v>136</v>
      </c>
      <c r="C86" s="2">
        <f t="shared" si="27"/>
        <v>17</v>
      </c>
      <c r="D86">
        <v>10</v>
      </c>
      <c r="E86">
        <v>5</v>
      </c>
      <c r="F86">
        <v>2</v>
      </c>
      <c r="G86">
        <f t="shared" si="28"/>
        <v>3</v>
      </c>
      <c r="H86">
        <v>12</v>
      </c>
      <c r="I86">
        <v>9</v>
      </c>
      <c r="J86">
        <f t="shared" si="29"/>
        <v>3</v>
      </c>
    </row>
    <row r="87" spans="1:10" x14ac:dyDescent="0.3">
      <c r="A87" s="8" t="s">
        <v>19</v>
      </c>
      <c r="B87" t="s">
        <v>137</v>
      </c>
      <c r="C87" s="2">
        <f t="shared" si="27"/>
        <v>12</v>
      </c>
      <c r="D87">
        <v>10</v>
      </c>
      <c r="E87">
        <v>3</v>
      </c>
      <c r="F87">
        <v>3</v>
      </c>
      <c r="G87">
        <f t="shared" si="28"/>
        <v>4</v>
      </c>
      <c r="H87">
        <v>12</v>
      </c>
      <c r="I87">
        <v>15</v>
      </c>
      <c r="J87">
        <f t="shared" si="29"/>
        <v>-3</v>
      </c>
    </row>
    <row r="88" spans="1:10" x14ac:dyDescent="0.3">
      <c r="A88" s="5" t="s">
        <v>21</v>
      </c>
      <c r="B88" t="s">
        <v>138</v>
      </c>
      <c r="C88" s="2">
        <f t="shared" si="27"/>
        <v>11</v>
      </c>
      <c r="D88">
        <v>10</v>
      </c>
      <c r="E88">
        <v>2</v>
      </c>
      <c r="F88">
        <v>5</v>
      </c>
      <c r="G88">
        <f t="shared" si="28"/>
        <v>3</v>
      </c>
      <c r="H88">
        <v>9</v>
      </c>
      <c r="I88">
        <v>13</v>
      </c>
      <c r="J88">
        <f t="shared" si="29"/>
        <v>-4</v>
      </c>
    </row>
    <row r="89" spans="1:10" x14ac:dyDescent="0.3">
      <c r="A89" s="5" t="s">
        <v>23</v>
      </c>
      <c r="B89" t="s">
        <v>202</v>
      </c>
      <c r="C89" s="2">
        <f t="shared" si="27"/>
        <v>6</v>
      </c>
      <c r="D89">
        <v>10</v>
      </c>
      <c r="E89">
        <v>1</v>
      </c>
      <c r="F89">
        <v>3</v>
      </c>
      <c r="G89">
        <f t="shared" si="28"/>
        <v>6</v>
      </c>
      <c r="H89">
        <v>8</v>
      </c>
      <c r="I89">
        <v>16</v>
      </c>
      <c r="J89">
        <f t="shared" si="29"/>
        <v>-8</v>
      </c>
    </row>
    <row r="91" spans="1:10" x14ac:dyDescent="0.3">
      <c r="A91" t="s">
        <v>175</v>
      </c>
    </row>
    <row r="92" spans="1:10" x14ac:dyDescent="0.3">
      <c r="A92" t="s">
        <v>4</v>
      </c>
      <c r="B92" t="s">
        <v>5</v>
      </c>
      <c r="C92" t="s">
        <v>6</v>
      </c>
      <c r="D92" t="s">
        <v>7</v>
      </c>
      <c r="E92" t="s">
        <v>8</v>
      </c>
      <c r="F92" t="s">
        <v>9</v>
      </c>
      <c r="G92" t="s">
        <v>10</v>
      </c>
      <c r="H92" t="s">
        <v>11</v>
      </c>
      <c r="I92" t="s">
        <v>12</v>
      </c>
      <c r="J92" t="s">
        <v>13</v>
      </c>
    </row>
    <row r="93" spans="1:10" x14ac:dyDescent="0.3">
      <c r="A93" s="8" t="s">
        <v>14</v>
      </c>
      <c r="B93" t="s">
        <v>155</v>
      </c>
      <c r="C93" s="2">
        <f t="shared" ref="C93:C98" si="30">E93*3+F93</f>
        <v>18</v>
      </c>
      <c r="D93">
        <v>10</v>
      </c>
      <c r="E93">
        <v>5</v>
      </c>
      <c r="F93">
        <v>3</v>
      </c>
      <c r="G93">
        <f t="shared" ref="G93:G98" si="31">D93-E93-F93</f>
        <v>2</v>
      </c>
      <c r="H93">
        <v>14</v>
      </c>
      <c r="I93">
        <v>9</v>
      </c>
      <c r="J93">
        <f t="shared" ref="J93:J98" si="32">H93-I93</f>
        <v>5</v>
      </c>
    </row>
    <row r="94" spans="1:10" x14ac:dyDescent="0.3">
      <c r="A94" s="8" t="s">
        <v>15</v>
      </c>
      <c r="B94" t="s">
        <v>153</v>
      </c>
      <c r="C94" s="2">
        <f t="shared" si="30"/>
        <v>17</v>
      </c>
      <c r="D94">
        <v>10</v>
      </c>
      <c r="E94">
        <v>4</v>
      </c>
      <c r="F94">
        <v>5</v>
      </c>
      <c r="G94">
        <f t="shared" si="31"/>
        <v>1</v>
      </c>
      <c r="H94">
        <v>19</v>
      </c>
      <c r="I94">
        <v>12</v>
      </c>
      <c r="J94">
        <f t="shared" si="32"/>
        <v>7</v>
      </c>
    </row>
    <row r="95" spans="1:10" x14ac:dyDescent="0.3">
      <c r="A95" s="8" t="s">
        <v>17</v>
      </c>
      <c r="B95" t="s">
        <v>203</v>
      </c>
      <c r="C95" s="2">
        <f t="shared" si="30"/>
        <v>15</v>
      </c>
      <c r="D95">
        <v>10</v>
      </c>
      <c r="E95">
        <v>5</v>
      </c>
      <c r="F95">
        <v>0</v>
      </c>
      <c r="G95">
        <f t="shared" si="31"/>
        <v>5</v>
      </c>
      <c r="H95">
        <v>11</v>
      </c>
      <c r="I95">
        <v>11</v>
      </c>
      <c r="J95">
        <f t="shared" si="32"/>
        <v>0</v>
      </c>
    </row>
    <row r="96" spans="1:10" x14ac:dyDescent="0.3">
      <c r="A96" s="8" t="s">
        <v>19</v>
      </c>
      <c r="B96" t="s">
        <v>204</v>
      </c>
      <c r="C96" s="2">
        <f t="shared" si="30"/>
        <v>12</v>
      </c>
      <c r="D96">
        <v>10</v>
      </c>
      <c r="E96">
        <v>3</v>
      </c>
      <c r="F96">
        <v>3</v>
      </c>
      <c r="G96">
        <f t="shared" si="31"/>
        <v>4</v>
      </c>
      <c r="H96">
        <v>11</v>
      </c>
      <c r="I96">
        <v>16</v>
      </c>
      <c r="J96">
        <f t="shared" si="32"/>
        <v>-5</v>
      </c>
    </row>
    <row r="97" spans="1:10" x14ac:dyDescent="0.3">
      <c r="A97" s="5" t="s">
        <v>21</v>
      </c>
      <c r="B97" t="s">
        <v>205</v>
      </c>
      <c r="C97" s="2">
        <f t="shared" si="30"/>
        <v>11</v>
      </c>
      <c r="D97">
        <v>10</v>
      </c>
      <c r="E97">
        <v>3</v>
      </c>
      <c r="F97">
        <v>2</v>
      </c>
      <c r="G97">
        <f t="shared" si="31"/>
        <v>5</v>
      </c>
      <c r="H97">
        <v>18</v>
      </c>
      <c r="I97">
        <v>21</v>
      </c>
      <c r="J97">
        <f t="shared" si="32"/>
        <v>-3</v>
      </c>
    </row>
    <row r="98" spans="1:10" x14ac:dyDescent="0.3">
      <c r="A98" s="5" t="s">
        <v>23</v>
      </c>
      <c r="B98" t="s">
        <v>206</v>
      </c>
      <c r="C98" s="2">
        <f t="shared" si="30"/>
        <v>9</v>
      </c>
      <c r="D98">
        <v>10</v>
      </c>
      <c r="E98">
        <v>2</v>
      </c>
      <c r="F98">
        <v>3</v>
      </c>
      <c r="G98">
        <f t="shared" si="31"/>
        <v>5</v>
      </c>
      <c r="H98">
        <v>10</v>
      </c>
      <c r="I98">
        <v>14</v>
      </c>
      <c r="J98">
        <f t="shared" si="32"/>
        <v>-4</v>
      </c>
    </row>
    <row r="100" spans="1:10" x14ac:dyDescent="0.3">
      <c r="A100" t="s">
        <v>176</v>
      </c>
    </row>
    <row r="101" spans="1:10" x14ac:dyDescent="0.3">
      <c r="A101" t="s">
        <v>4</v>
      </c>
      <c r="B101" t="s">
        <v>5</v>
      </c>
      <c r="C101" t="s">
        <v>6</v>
      </c>
      <c r="D101" t="s">
        <v>7</v>
      </c>
      <c r="E101" t="s">
        <v>8</v>
      </c>
      <c r="F101" t="s">
        <v>9</v>
      </c>
      <c r="G101" t="s">
        <v>10</v>
      </c>
      <c r="H101" t="s">
        <v>11</v>
      </c>
      <c r="I101" t="s">
        <v>12</v>
      </c>
      <c r="J101" t="s">
        <v>13</v>
      </c>
    </row>
    <row r="102" spans="1:10" x14ac:dyDescent="0.3">
      <c r="A102" s="8" t="s">
        <v>14</v>
      </c>
      <c r="B102" t="s">
        <v>207</v>
      </c>
      <c r="C102" s="2">
        <f t="shared" ref="C102:C107" si="33">E102*3+F102</f>
        <v>17</v>
      </c>
      <c r="D102">
        <v>10</v>
      </c>
      <c r="E102">
        <v>4</v>
      </c>
      <c r="F102">
        <v>5</v>
      </c>
      <c r="G102">
        <f t="shared" ref="G102:G107" si="34">D102-E102-F102</f>
        <v>1</v>
      </c>
      <c r="H102">
        <v>12</v>
      </c>
      <c r="I102">
        <v>9</v>
      </c>
      <c r="J102">
        <f t="shared" ref="J102:J107" si="35">H102-I102</f>
        <v>3</v>
      </c>
    </row>
    <row r="103" spans="1:10" x14ac:dyDescent="0.3">
      <c r="A103" s="8" t="s">
        <v>15</v>
      </c>
      <c r="B103" t="s">
        <v>208</v>
      </c>
      <c r="C103" s="2">
        <f t="shared" si="33"/>
        <v>16</v>
      </c>
      <c r="D103">
        <v>10</v>
      </c>
      <c r="E103">
        <v>5</v>
      </c>
      <c r="F103">
        <v>1</v>
      </c>
      <c r="G103">
        <f t="shared" si="34"/>
        <v>4</v>
      </c>
      <c r="H103">
        <v>12</v>
      </c>
      <c r="I103">
        <v>9</v>
      </c>
      <c r="J103">
        <f t="shared" si="35"/>
        <v>3</v>
      </c>
    </row>
    <row r="104" spans="1:10" x14ac:dyDescent="0.3">
      <c r="A104" s="8" t="s">
        <v>17</v>
      </c>
      <c r="B104" t="s">
        <v>146</v>
      </c>
      <c r="C104" s="2">
        <f t="shared" si="33"/>
        <v>16</v>
      </c>
      <c r="D104">
        <v>10</v>
      </c>
      <c r="E104">
        <v>5</v>
      </c>
      <c r="F104">
        <v>1</v>
      </c>
      <c r="G104">
        <f t="shared" si="34"/>
        <v>4</v>
      </c>
      <c r="H104">
        <v>12</v>
      </c>
      <c r="I104">
        <v>13</v>
      </c>
      <c r="J104">
        <f t="shared" si="35"/>
        <v>-1</v>
      </c>
    </row>
    <row r="105" spans="1:10" x14ac:dyDescent="0.3">
      <c r="A105" s="8" t="s">
        <v>19</v>
      </c>
      <c r="B105" t="s">
        <v>148</v>
      </c>
      <c r="C105" s="2">
        <f t="shared" si="33"/>
        <v>14</v>
      </c>
      <c r="D105">
        <v>10</v>
      </c>
      <c r="E105">
        <v>4</v>
      </c>
      <c r="F105">
        <v>2</v>
      </c>
      <c r="G105">
        <f t="shared" si="34"/>
        <v>4</v>
      </c>
      <c r="H105">
        <v>13</v>
      </c>
      <c r="I105">
        <v>13</v>
      </c>
      <c r="J105">
        <f t="shared" si="35"/>
        <v>0</v>
      </c>
    </row>
    <row r="106" spans="1:10" x14ac:dyDescent="0.3">
      <c r="A106" s="5" t="s">
        <v>21</v>
      </c>
      <c r="B106" t="s">
        <v>139</v>
      </c>
      <c r="C106" s="2">
        <f t="shared" si="33"/>
        <v>13</v>
      </c>
      <c r="D106">
        <v>10</v>
      </c>
      <c r="E106">
        <v>4</v>
      </c>
      <c r="F106">
        <v>1</v>
      </c>
      <c r="G106">
        <f t="shared" si="34"/>
        <v>5</v>
      </c>
      <c r="H106">
        <v>11</v>
      </c>
      <c r="I106">
        <v>9</v>
      </c>
      <c r="J106">
        <f t="shared" si="35"/>
        <v>2</v>
      </c>
    </row>
    <row r="107" spans="1:10" x14ac:dyDescent="0.3">
      <c r="A107" s="5" t="s">
        <v>23</v>
      </c>
      <c r="B107" t="s">
        <v>209</v>
      </c>
      <c r="C107" s="2">
        <f t="shared" si="33"/>
        <v>9</v>
      </c>
      <c r="D107">
        <v>10</v>
      </c>
      <c r="E107">
        <v>3</v>
      </c>
      <c r="F107">
        <v>0</v>
      </c>
      <c r="G107">
        <f t="shared" si="34"/>
        <v>7</v>
      </c>
      <c r="H107">
        <v>7</v>
      </c>
      <c r="I107">
        <v>14</v>
      </c>
      <c r="J107">
        <f t="shared" si="35"/>
        <v>-7</v>
      </c>
    </row>
    <row r="109" spans="1:10" x14ac:dyDescent="0.3">
      <c r="A109" t="s">
        <v>177</v>
      </c>
    </row>
    <row r="110" spans="1:10" x14ac:dyDescent="0.3">
      <c r="A110" t="s">
        <v>4</v>
      </c>
      <c r="B110" t="s">
        <v>5</v>
      </c>
      <c r="C110" t="s">
        <v>6</v>
      </c>
      <c r="D110" t="s">
        <v>7</v>
      </c>
      <c r="E110" t="s">
        <v>8</v>
      </c>
      <c r="F110" t="s">
        <v>9</v>
      </c>
      <c r="G110" t="s">
        <v>10</v>
      </c>
      <c r="H110" t="s">
        <v>11</v>
      </c>
      <c r="I110" t="s">
        <v>12</v>
      </c>
      <c r="J110" t="s">
        <v>13</v>
      </c>
    </row>
    <row r="111" spans="1:10" x14ac:dyDescent="0.3">
      <c r="A111" s="8" t="s">
        <v>14</v>
      </c>
      <c r="B111" t="s">
        <v>156</v>
      </c>
      <c r="C111" s="2">
        <f t="shared" ref="C111:C116" si="36">E111*3+F111</f>
        <v>16</v>
      </c>
      <c r="D111">
        <v>10</v>
      </c>
      <c r="E111">
        <v>5</v>
      </c>
      <c r="F111">
        <v>1</v>
      </c>
      <c r="G111">
        <f t="shared" ref="G111:G116" si="37">D111-E111-F111</f>
        <v>4</v>
      </c>
      <c r="H111">
        <v>11</v>
      </c>
      <c r="I111">
        <v>12</v>
      </c>
      <c r="J111">
        <f t="shared" ref="J111:J116" si="38">H111-I111</f>
        <v>-1</v>
      </c>
    </row>
    <row r="112" spans="1:10" x14ac:dyDescent="0.3">
      <c r="A112" s="8" t="s">
        <v>15</v>
      </c>
      <c r="B112" t="s">
        <v>210</v>
      </c>
      <c r="C112" s="2">
        <f t="shared" si="36"/>
        <v>16</v>
      </c>
      <c r="D112">
        <v>10</v>
      </c>
      <c r="E112">
        <v>4</v>
      </c>
      <c r="F112">
        <v>4</v>
      </c>
      <c r="G112">
        <f t="shared" si="37"/>
        <v>2</v>
      </c>
      <c r="H112">
        <v>18</v>
      </c>
      <c r="I112">
        <v>13</v>
      </c>
      <c r="J112">
        <f t="shared" si="38"/>
        <v>5</v>
      </c>
    </row>
    <row r="113" spans="1:10" x14ac:dyDescent="0.3">
      <c r="A113" s="8" t="s">
        <v>17</v>
      </c>
      <c r="B113" t="s">
        <v>152</v>
      </c>
      <c r="C113" s="2">
        <f t="shared" si="36"/>
        <v>16</v>
      </c>
      <c r="D113">
        <v>10</v>
      </c>
      <c r="E113">
        <v>4</v>
      </c>
      <c r="F113">
        <v>4</v>
      </c>
      <c r="G113">
        <f t="shared" si="37"/>
        <v>2</v>
      </c>
      <c r="H113">
        <v>18</v>
      </c>
      <c r="I113">
        <v>16</v>
      </c>
      <c r="J113">
        <f t="shared" si="38"/>
        <v>2</v>
      </c>
    </row>
    <row r="114" spans="1:10" x14ac:dyDescent="0.3">
      <c r="A114" s="8" t="s">
        <v>19</v>
      </c>
      <c r="B114" t="s">
        <v>147</v>
      </c>
      <c r="C114" s="2">
        <f t="shared" si="36"/>
        <v>13</v>
      </c>
      <c r="D114">
        <v>10</v>
      </c>
      <c r="E114">
        <v>3</v>
      </c>
      <c r="F114">
        <v>4</v>
      </c>
      <c r="G114">
        <f t="shared" si="37"/>
        <v>3</v>
      </c>
      <c r="H114">
        <v>11</v>
      </c>
      <c r="I114">
        <v>9</v>
      </c>
      <c r="J114">
        <f t="shared" si="38"/>
        <v>2</v>
      </c>
    </row>
    <row r="115" spans="1:10" x14ac:dyDescent="0.3">
      <c r="A115" s="5" t="s">
        <v>21</v>
      </c>
      <c r="B115" t="s">
        <v>149</v>
      </c>
      <c r="C115" s="2">
        <f t="shared" si="36"/>
        <v>11</v>
      </c>
      <c r="D115">
        <v>10</v>
      </c>
      <c r="E115">
        <v>2</v>
      </c>
      <c r="F115">
        <v>5</v>
      </c>
      <c r="G115">
        <f t="shared" si="37"/>
        <v>3</v>
      </c>
      <c r="H115">
        <v>12</v>
      </c>
      <c r="I115">
        <v>15</v>
      </c>
      <c r="J115">
        <f t="shared" si="38"/>
        <v>-3</v>
      </c>
    </row>
    <row r="116" spans="1:10" x14ac:dyDescent="0.3">
      <c r="A116" s="5" t="s">
        <v>23</v>
      </c>
      <c r="B116" t="s">
        <v>151</v>
      </c>
      <c r="C116" s="2">
        <f t="shared" si="36"/>
        <v>6</v>
      </c>
      <c r="D116">
        <v>10</v>
      </c>
      <c r="E116">
        <v>0</v>
      </c>
      <c r="F116">
        <v>6</v>
      </c>
      <c r="G116">
        <f t="shared" si="37"/>
        <v>4</v>
      </c>
      <c r="H116">
        <v>9</v>
      </c>
      <c r="I116">
        <v>14</v>
      </c>
      <c r="J116">
        <f t="shared" si="38"/>
        <v>-5</v>
      </c>
    </row>
    <row r="118" spans="1:10" x14ac:dyDescent="0.3">
      <c r="A118" t="s">
        <v>178</v>
      </c>
    </row>
    <row r="119" spans="1:10" x14ac:dyDescent="0.3">
      <c r="A119" t="s">
        <v>4</v>
      </c>
      <c r="B119" t="s">
        <v>5</v>
      </c>
      <c r="C119" t="s">
        <v>6</v>
      </c>
      <c r="D119" t="s">
        <v>7</v>
      </c>
      <c r="E119" t="s">
        <v>8</v>
      </c>
      <c r="F119" t="s">
        <v>9</v>
      </c>
      <c r="G119" t="s">
        <v>10</v>
      </c>
      <c r="H119" t="s">
        <v>11</v>
      </c>
      <c r="I119" t="s">
        <v>12</v>
      </c>
      <c r="J119" t="s">
        <v>13</v>
      </c>
    </row>
    <row r="120" spans="1:10" x14ac:dyDescent="0.3">
      <c r="A120" s="8" t="s">
        <v>14</v>
      </c>
      <c r="B120" t="s">
        <v>211</v>
      </c>
      <c r="C120" s="2">
        <f t="shared" ref="C120:C125" si="39">E120*3+F120</f>
        <v>18</v>
      </c>
      <c r="D120">
        <v>10</v>
      </c>
      <c r="E120">
        <v>5</v>
      </c>
      <c r="F120">
        <v>3</v>
      </c>
      <c r="G120">
        <f t="shared" ref="G120:G125" si="40">D120-E120-F120</f>
        <v>2</v>
      </c>
      <c r="H120">
        <v>15</v>
      </c>
      <c r="I120">
        <v>13</v>
      </c>
      <c r="J120">
        <f t="shared" ref="J120:J125" si="41">H120-I120</f>
        <v>2</v>
      </c>
    </row>
    <row r="121" spans="1:10" x14ac:dyDescent="0.3">
      <c r="A121" s="8" t="s">
        <v>15</v>
      </c>
      <c r="B121" t="s">
        <v>212</v>
      </c>
      <c r="C121" s="2">
        <f t="shared" si="39"/>
        <v>15</v>
      </c>
      <c r="D121">
        <v>10</v>
      </c>
      <c r="E121">
        <v>4</v>
      </c>
      <c r="F121">
        <v>3</v>
      </c>
      <c r="G121">
        <f t="shared" si="40"/>
        <v>3</v>
      </c>
      <c r="H121">
        <v>14</v>
      </c>
      <c r="I121">
        <v>12</v>
      </c>
      <c r="J121">
        <f t="shared" si="41"/>
        <v>2</v>
      </c>
    </row>
    <row r="122" spans="1:10" x14ac:dyDescent="0.3">
      <c r="A122" s="8" t="s">
        <v>17</v>
      </c>
      <c r="B122" t="s">
        <v>157</v>
      </c>
      <c r="C122" s="2">
        <f t="shared" si="39"/>
        <v>14</v>
      </c>
      <c r="D122">
        <v>10</v>
      </c>
      <c r="E122">
        <v>3</v>
      </c>
      <c r="F122">
        <v>5</v>
      </c>
      <c r="G122">
        <f t="shared" si="40"/>
        <v>2</v>
      </c>
      <c r="H122">
        <v>12</v>
      </c>
      <c r="I122">
        <v>11</v>
      </c>
      <c r="J122">
        <f t="shared" si="41"/>
        <v>1</v>
      </c>
    </row>
    <row r="123" spans="1:10" x14ac:dyDescent="0.3">
      <c r="A123" s="8" t="s">
        <v>19</v>
      </c>
      <c r="B123" t="s">
        <v>150</v>
      </c>
      <c r="C123" s="2">
        <f t="shared" si="39"/>
        <v>13</v>
      </c>
      <c r="D123">
        <v>10</v>
      </c>
      <c r="E123">
        <v>4</v>
      </c>
      <c r="F123">
        <v>1</v>
      </c>
      <c r="G123">
        <f t="shared" si="40"/>
        <v>5</v>
      </c>
      <c r="H123">
        <v>10</v>
      </c>
      <c r="I123">
        <v>11</v>
      </c>
      <c r="J123">
        <f t="shared" si="41"/>
        <v>-1</v>
      </c>
    </row>
    <row r="124" spans="1:10" x14ac:dyDescent="0.3">
      <c r="A124" s="5" t="s">
        <v>21</v>
      </c>
      <c r="B124" t="s">
        <v>213</v>
      </c>
      <c r="C124" s="2">
        <f t="shared" si="39"/>
        <v>12</v>
      </c>
      <c r="D124">
        <v>10</v>
      </c>
      <c r="E124">
        <v>3</v>
      </c>
      <c r="F124">
        <v>3</v>
      </c>
      <c r="G124">
        <f t="shared" si="40"/>
        <v>4</v>
      </c>
      <c r="H124">
        <v>8</v>
      </c>
      <c r="I124">
        <v>10</v>
      </c>
      <c r="J124">
        <f t="shared" si="41"/>
        <v>-2</v>
      </c>
    </row>
    <row r="125" spans="1:10" x14ac:dyDescent="0.3">
      <c r="A125" s="5" t="s">
        <v>23</v>
      </c>
      <c r="B125" t="s">
        <v>160</v>
      </c>
      <c r="C125" s="2">
        <f t="shared" si="39"/>
        <v>9</v>
      </c>
      <c r="D125">
        <v>10</v>
      </c>
      <c r="E125">
        <v>2</v>
      </c>
      <c r="F125">
        <v>3</v>
      </c>
      <c r="G125">
        <f t="shared" si="40"/>
        <v>5</v>
      </c>
      <c r="H125">
        <v>10</v>
      </c>
      <c r="I125">
        <v>12</v>
      </c>
      <c r="J125">
        <f t="shared" si="41"/>
        <v>-2</v>
      </c>
    </row>
    <row r="127" spans="1:10" x14ac:dyDescent="0.3">
      <c r="A127" t="s">
        <v>179</v>
      </c>
    </row>
    <row r="128" spans="1:10" x14ac:dyDescent="0.3">
      <c r="A128" t="s">
        <v>4</v>
      </c>
      <c r="B128" t="s">
        <v>5</v>
      </c>
      <c r="C128" t="s">
        <v>6</v>
      </c>
      <c r="D128" t="s">
        <v>7</v>
      </c>
      <c r="E128" t="s">
        <v>8</v>
      </c>
      <c r="F128" t="s">
        <v>9</v>
      </c>
      <c r="G128" t="s">
        <v>10</v>
      </c>
      <c r="H128" t="s">
        <v>11</v>
      </c>
      <c r="I128" t="s">
        <v>12</v>
      </c>
      <c r="J128" t="s">
        <v>13</v>
      </c>
    </row>
    <row r="129" spans="1:10" x14ac:dyDescent="0.3">
      <c r="A129" s="8" t="s">
        <v>14</v>
      </c>
      <c r="B129" t="s">
        <v>214</v>
      </c>
      <c r="C129" s="2">
        <f t="shared" ref="C129:C134" si="42">E129*3+F129</f>
        <v>16</v>
      </c>
      <c r="D129">
        <v>10</v>
      </c>
      <c r="E129">
        <v>5</v>
      </c>
      <c r="F129">
        <v>1</v>
      </c>
      <c r="G129">
        <f t="shared" ref="G129:G134" si="43">D129-E129-F129</f>
        <v>4</v>
      </c>
      <c r="H129">
        <v>14</v>
      </c>
      <c r="I129">
        <v>11</v>
      </c>
      <c r="J129">
        <f t="shared" ref="J129:J134" si="44">H129-I129</f>
        <v>3</v>
      </c>
    </row>
    <row r="130" spans="1:10" x14ac:dyDescent="0.3">
      <c r="A130" s="8" t="s">
        <v>15</v>
      </c>
      <c r="B130" t="s">
        <v>162</v>
      </c>
      <c r="C130" s="2">
        <f t="shared" si="42"/>
        <v>15</v>
      </c>
      <c r="D130">
        <v>10</v>
      </c>
      <c r="E130">
        <v>4</v>
      </c>
      <c r="F130">
        <v>3</v>
      </c>
      <c r="G130">
        <f t="shared" si="43"/>
        <v>3</v>
      </c>
      <c r="H130">
        <v>8</v>
      </c>
      <c r="I130">
        <v>8</v>
      </c>
      <c r="J130">
        <f t="shared" si="44"/>
        <v>0</v>
      </c>
    </row>
    <row r="131" spans="1:10" x14ac:dyDescent="0.3">
      <c r="A131" s="8" t="s">
        <v>17</v>
      </c>
      <c r="B131" t="s">
        <v>159</v>
      </c>
      <c r="C131" s="2">
        <f t="shared" si="42"/>
        <v>14</v>
      </c>
      <c r="D131">
        <v>10</v>
      </c>
      <c r="E131">
        <v>4</v>
      </c>
      <c r="F131">
        <v>2</v>
      </c>
      <c r="G131">
        <f t="shared" si="43"/>
        <v>4</v>
      </c>
      <c r="H131">
        <v>6</v>
      </c>
      <c r="I131">
        <v>7</v>
      </c>
      <c r="J131">
        <f t="shared" si="44"/>
        <v>-1</v>
      </c>
    </row>
    <row r="132" spans="1:10" x14ac:dyDescent="0.3">
      <c r="A132" s="8" t="s">
        <v>19</v>
      </c>
      <c r="B132" t="s">
        <v>215</v>
      </c>
      <c r="C132" s="2">
        <f t="shared" si="42"/>
        <v>13</v>
      </c>
      <c r="D132">
        <v>10</v>
      </c>
      <c r="E132">
        <v>4</v>
      </c>
      <c r="F132">
        <v>1</v>
      </c>
      <c r="G132">
        <f t="shared" si="43"/>
        <v>5</v>
      </c>
      <c r="H132">
        <v>12</v>
      </c>
      <c r="I132">
        <v>11</v>
      </c>
      <c r="J132">
        <f t="shared" si="44"/>
        <v>1</v>
      </c>
    </row>
    <row r="133" spans="1:10" x14ac:dyDescent="0.3">
      <c r="A133" s="5" t="s">
        <v>21</v>
      </c>
      <c r="B133" t="s">
        <v>161</v>
      </c>
      <c r="C133" s="2">
        <f t="shared" si="42"/>
        <v>13</v>
      </c>
      <c r="D133">
        <v>10</v>
      </c>
      <c r="E133">
        <v>3</v>
      </c>
      <c r="F133">
        <v>4</v>
      </c>
      <c r="G133">
        <f t="shared" si="43"/>
        <v>3</v>
      </c>
      <c r="H133">
        <v>12</v>
      </c>
      <c r="I133">
        <v>12</v>
      </c>
      <c r="J133">
        <f t="shared" si="44"/>
        <v>0</v>
      </c>
    </row>
    <row r="134" spans="1:10" x14ac:dyDescent="0.3">
      <c r="A134" s="5" t="s">
        <v>23</v>
      </c>
      <c r="B134" t="s">
        <v>94</v>
      </c>
      <c r="C134" s="2">
        <f t="shared" si="42"/>
        <v>11</v>
      </c>
      <c r="D134">
        <v>10</v>
      </c>
      <c r="E134">
        <v>2</v>
      </c>
      <c r="F134">
        <v>5</v>
      </c>
      <c r="G134">
        <f t="shared" si="43"/>
        <v>3</v>
      </c>
      <c r="H134">
        <v>5</v>
      </c>
      <c r="I134">
        <v>8</v>
      </c>
      <c r="J134">
        <f t="shared" si="44"/>
        <v>-3</v>
      </c>
    </row>
    <row r="136" spans="1:10" x14ac:dyDescent="0.3">
      <c r="A136" t="s">
        <v>180</v>
      </c>
    </row>
    <row r="137" spans="1:10" x14ac:dyDescent="0.3">
      <c r="A137" t="s">
        <v>4</v>
      </c>
      <c r="B137" t="s">
        <v>5</v>
      </c>
      <c r="C137" t="s">
        <v>6</v>
      </c>
      <c r="D137" t="s">
        <v>7</v>
      </c>
      <c r="E137" t="s">
        <v>8</v>
      </c>
      <c r="F137" t="s">
        <v>9</v>
      </c>
      <c r="G137" t="s">
        <v>10</v>
      </c>
      <c r="H137" t="s">
        <v>11</v>
      </c>
      <c r="I137" t="s">
        <v>12</v>
      </c>
      <c r="J137" t="s">
        <v>13</v>
      </c>
    </row>
    <row r="138" spans="1:10" x14ac:dyDescent="0.3">
      <c r="A138" s="8" t="s">
        <v>14</v>
      </c>
      <c r="B138" t="s">
        <v>164</v>
      </c>
      <c r="C138" s="2">
        <f t="shared" ref="C138:C143" si="45">E138*3+F138</f>
        <v>16</v>
      </c>
      <c r="D138">
        <v>10</v>
      </c>
      <c r="E138">
        <v>4</v>
      </c>
      <c r="F138">
        <v>4</v>
      </c>
      <c r="G138">
        <f t="shared" ref="G138:G143" si="46">D138-E138-F138</f>
        <v>2</v>
      </c>
      <c r="H138">
        <v>13</v>
      </c>
      <c r="I138">
        <v>10</v>
      </c>
      <c r="J138">
        <f t="shared" ref="J138:J143" si="47">H138-I138</f>
        <v>3</v>
      </c>
    </row>
    <row r="139" spans="1:10" x14ac:dyDescent="0.3">
      <c r="A139" s="8" t="s">
        <v>15</v>
      </c>
      <c r="B139" t="s">
        <v>163</v>
      </c>
      <c r="C139" s="2">
        <f t="shared" si="45"/>
        <v>15</v>
      </c>
      <c r="D139">
        <v>10</v>
      </c>
      <c r="E139">
        <v>4</v>
      </c>
      <c r="F139">
        <v>3</v>
      </c>
      <c r="G139">
        <f t="shared" si="46"/>
        <v>3</v>
      </c>
      <c r="H139">
        <v>10</v>
      </c>
      <c r="I139">
        <v>9</v>
      </c>
      <c r="J139">
        <f t="shared" si="47"/>
        <v>1</v>
      </c>
    </row>
    <row r="140" spans="1:10" x14ac:dyDescent="0.3">
      <c r="A140" s="8" t="s">
        <v>17</v>
      </c>
      <c r="B140" t="s">
        <v>216</v>
      </c>
      <c r="C140" s="2">
        <f t="shared" si="45"/>
        <v>14</v>
      </c>
      <c r="D140">
        <v>10</v>
      </c>
      <c r="E140">
        <v>4</v>
      </c>
      <c r="F140">
        <v>2</v>
      </c>
      <c r="G140">
        <f t="shared" si="46"/>
        <v>4</v>
      </c>
      <c r="H140">
        <v>11</v>
      </c>
      <c r="I140">
        <v>10</v>
      </c>
      <c r="J140">
        <f t="shared" si="47"/>
        <v>1</v>
      </c>
    </row>
    <row r="141" spans="1:10" x14ac:dyDescent="0.3">
      <c r="A141" s="8" t="s">
        <v>19</v>
      </c>
      <c r="B141" t="s">
        <v>217</v>
      </c>
      <c r="C141" s="2">
        <f t="shared" si="45"/>
        <v>12</v>
      </c>
      <c r="D141">
        <v>10</v>
      </c>
      <c r="E141">
        <v>3</v>
      </c>
      <c r="F141">
        <v>3</v>
      </c>
      <c r="G141">
        <f t="shared" si="46"/>
        <v>4</v>
      </c>
      <c r="H141">
        <v>9</v>
      </c>
      <c r="I141">
        <v>10</v>
      </c>
      <c r="J141">
        <f t="shared" si="47"/>
        <v>-1</v>
      </c>
    </row>
    <row r="142" spans="1:10" x14ac:dyDescent="0.3">
      <c r="A142" s="5" t="s">
        <v>21</v>
      </c>
      <c r="B142" t="s">
        <v>218</v>
      </c>
      <c r="C142" s="2">
        <f t="shared" si="45"/>
        <v>12</v>
      </c>
      <c r="D142">
        <v>10</v>
      </c>
      <c r="E142">
        <v>3</v>
      </c>
      <c r="F142">
        <v>3</v>
      </c>
      <c r="G142">
        <f t="shared" si="46"/>
        <v>4</v>
      </c>
      <c r="H142">
        <v>9</v>
      </c>
      <c r="I142">
        <v>10</v>
      </c>
      <c r="J142">
        <f t="shared" si="47"/>
        <v>-1</v>
      </c>
    </row>
    <row r="143" spans="1:10" x14ac:dyDescent="0.3">
      <c r="A143" s="5" t="s">
        <v>23</v>
      </c>
      <c r="B143" t="s">
        <v>219</v>
      </c>
      <c r="C143" s="2">
        <f t="shared" si="45"/>
        <v>12</v>
      </c>
      <c r="D143">
        <v>10</v>
      </c>
      <c r="E143">
        <v>3</v>
      </c>
      <c r="F143">
        <v>3</v>
      </c>
      <c r="G143">
        <f t="shared" si="46"/>
        <v>4</v>
      </c>
      <c r="H143">
        <v>7</v>
      </c>
      <c r="I143">
        <v>10</v>
      </c>
      <c r="J143">
        <f t="shared" si="47"/>
        <v>-3</v>
      </c>
    </row>
  </sheetData>
  <sortState xmlns:xlrd2="http://schemas.microsoft.com/office/spreadsheetml/2017/richdata2" ref="AC35:AD50">
    <sortCondition descending="1" ref="AC35:AC5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E555A-C0B3-43A1-A8E2-90FA7BD83691}">
  <dimension ref="A1:AW66"/>
  <sheetViews>
    <sheetView tabSelected="1" topLeftCell="AF1" workbookViewId="0">
      <selection activeCell="A18" sqref="A18"/>
    </sheetView>
  </sheetViews>
  <sheetFormatPr defaultRowHeight="14.4" x14ac:dyDescent="0.3"/>
  <cols>
    <col min="1" max="1" width="16.44140625" customWidth="1"/>
    <col min="3" max="3" width="13.6640625" customWidth="1"/>
    <col min="6" max="6" width="12.77734375" customWidth="1"/>
    <col min="8" max="8" width="16.6640625" customWidth="1"/>
    <col min="11" max="11" width="14.6640625" customWidth="1"/>
    <col min="13" max="13" width="16.6640625" customWidth="1"/>
    <col min="16" max="16" width="14.44140625" customWidth="1"/>
    <col min="18" max="18" width="16.44140625" customWidth="1"/>
    <col min="21" max="21" width="13" customWidth="1"/>
    <col min="23" max="23" width="13.88671875" customWidth="1"/>
    <col min="25" max="25" width="14" customWidth="1"/>
    <col min="27" max="27" width="13.44140625" customWidth="1"/>
    <col min="30" max="30" width="13.88671875" customWidth="1"/>
    <col min="32" max="32" width="13" customWidth="1"/>
    <col min="34" max="34" width="12.88671875" customWidth="1"/>
    <col min="36" max="36" width="13.44140625" customWidth="1"/>
    <col min="39" max="39" width="14" customWidth="1"/>
    <col min="41" max="41" width="10.88671875" customWidth="1"/>
    <col min="43" max="43" width="12.109375" customWidth="1"/>
    <col min="45" max="45" width="13.33203125" customWidth="1"/>
    <col min="48" max="48" width="11.109375" customWidth="1"/>
  </cols>
  <sheetData>
    <row r="1" spans="1:49" x14ac:dyDescent="0.3">
      <c r="A1" t="s">
        <v>253</v>
      </c>
      <c r="F1" t="s">
        <v>254</v>
      </c>
      <c r="K1" t="s">
        <v>255</v>
      </c>
      <c r="P1" t="s">
        <v>295</v>
      </c>
      <c r="U1" t="s">
        <v>297</v>
      </c>
      <c r="AD1" t="s">
        <v>245</v>
      </c>
      <c r="AM1" t="s">
        <v>246</v>
      </c>
      <c r="AV1" t="s">
        <v>3</v>
      </c>
    </row>
    <row r="2" spans="1:49" x14ac:dyDescent="0.3">
      <c r="A2" t="s">
        <v>185</v>
      </c>
      <c r="B2" t="s">
        <v>79</v>
      </c>
      <c r="C2" t="s">
        <v>203</v>
      </c>
      <c r="F2" t="s">
        <v>66</v>
      </c>
      <c r="G2" t="s">
        <v>283</v>
      </c>
      <c r="H2" t="s">
        <v>200</v>
      </c>
      <c r="K2" t="s">
        <v>256</v>
      </c>
      <c r="L2" t="s">
        <v>220</v>
      </c>
      <c r="M2" t="s">
        <v>200</v>
      </c>
      <c r="P2" t="s">
        <v>200</v>
      </c>
      <c r="Q2" t="s">
        <v>233</v>
      </c>
      <c r="R2" t="s">
        <v>121</v>
      </c>
      <c r="U2" t="s">
        <v>125</v>
      </c>
      <c r="V2" t="s">
        <v>111</v>
      </c>
      <c r="W2" t="s">
        <v>40</v>
      </c>
      <c r="Y2" t="s">
        <v>40</v>
      </c>
      <c r="Z2" t="s">
        <v>298</v>
      </c>
      <c r="AA2" t="s">
        <v>125</v>
      </c>
      <c r="AD2" t="s">
        <v>24</v>
      </c>
      <c r="AE2" t="s">
        <v>242</v>
      </c>
      <c r="AF2" t="s">
        <v>38</v>
      </c>
      <c r="AH2" t="s">
        <v>38</v>
      </c>
      <c r="AI2" t="s">
        <v>221</v>
      </c>
      <c r="AJ2" t="s">
        <v>24</v>
      </c>
      <c r="AM2" t="s">
        <v>24</v>
      </c>
      <c r="AN2" t="s">
        <v>220</v>
      </c>
      <c r="AO2" t="s">
        <v>22</v>
      </c>
      <c r="AQ2" t="s">
        <v>22</v>
      </c>
      <c r="AR2" t="s">
        <v>79</v>
      </c>
      <c r="AS2" t="s">
        <v>24</v>
      </c>
      <c r="AV2" t="s">
        <v>16</v>
      </c>
      <c r="AW2">
        <v>5</v>
      </c>
    </row>
    <row r="3" spans="1:49" x14ac:dyDescent="0.3">
      <c r="A3" t="s">
        <v>257</v>
      </c>
      <c r="B3" t="s">
        <v>110</v>
      </c>
      <c r="C3" t="s">
        <v>258</v>
      </c>
      <c r="K3" t="s">
        <v>264</v>
      </c>
      <c r="L3" t="s">
        <v>220</v>
      </c>
      <c r="M3" t="s">
        <v>121</v>
      </c>
      <c r="P3" t="s">
        <v>261</v>
      </c>
      <c r="Q3" t="s">
        <v>78</v>
      </c>
      <c r="R3" t="s">
        <v>137</v>
      </c>
      <c r="U3" t="s">
        <v>22</v>
      </c>
      <c r="V3" t="s">
        <v>78</v>
      </c>
      <c r="W3" t="s">
        <v>54</v>
      </c>
      <c r="Y3" t="s">
        <v>54</v>
      </c>
      <c r="Z3" t="s">
        <v>221</v>
      </c>
      <c r="AA3" t="s">
        <v>22</v>
      </c>
      <c r="AD3" t="s">
        <v>20</v>
      </c>
      <c r="AE3" t="s">
        <v>79</v>
      </c>
      <c r="AF3" t="s">
        <v>18</v>
      </c>
      <c r="AH3" t="s">
        <v>18</v>
      </c>
      <c r="AI3" t="s">
        <v>301</v>
      </c>
      <c r="AJ3" t="s">
        <v>20</v>
      </c>
      <c r="AM3" t="s">
        <v>34</v>
      </c>
      <c r="AN3" t="s">
        <v>78</v>
      </c>
      <c r="AO3" t="s">
        <v>20</v>
      </c>
      <c r="AQ3" t="s">
        <v>20</v>
      </c>
      <c r="AR3" t="s">
        <v>223</v>
      </c>
      <c r="AS3" t="s">
        <v>34</v>
      </c>
    </row>
    <row r="4" spans="1:49" x14ac:dyDescent="0.3">
      <c r="A4" t="s">
        <v>206</v>
      </c>
      <c r="B4" t="s">
        <v>78</v>
      </c>
      <c r="C4" t="s">
        <v>182</v>
      </c>
      <c r="F4" t="s">
        <v>264</v>
      </c>
      <c r="G4" t="s">
        <v>284</v>
      </c>
      <c r="H4" t="s">
        <v>94</v>
      </c>
      <c r="K4" t="s">
        <v>261</v>
      </c>
      <c r="L4" t="s">
        <v>284</v>
      </c>
      <c r="M4" t="s">
        <v>262</v>
      </c>
      <c r="P4" t="s">
        <v>81</v>
      </c>
      <c r="Q4" t="s">
        <v>220</v>
      </c>
      <c r="R4" t="s">
        <v>74</v>
      </c>
      <c r="U4" t="s">
        <v>36</v>
      </c>
      <c r="V4" t="s">
        <v>224</v>
      </c>
      <c r="W4" t="s">
        <v>55</v>
      </c>
      <c r="Y4" t="s">
        <v>55</v>
      </c>
      <c r="Z4" t="s">
        <v>220</v>
      </c>
      <c r="AA4" t="s">
        <v>36</v>
      </c>
      <c r="AD4" t="s">
        <v>22</v>
      </c>
      <c r="AE4" t="s">
        <v>78</v>
      </c>
      <c r="AF4" t="s">
        <v>0</v>
      </c>
      <c r="AH4" t="s">
        <v>0</v>
      </c>
      <c r="AI4" t="s">
        <v>111</v>
      </c>
      <c r="AJ4" t="s">
        <v>22</v>
      </c>
      <c r="AM4" t="s">
        <v>197</v>
      </c>
      <c r="AN4" t="s">
        <v>223</v>
      </c>
      <c r="AO4" t="s">
        <v>40</v>
      </c>
      <c r="AQ4" t="s">
        <v>40</v>
      </c>
      <c r="AR4" t="s">
        <v>78</v>
      </c>
      <c r="AS4" t="s">
        <v>197</v>
      </c>
    </row>
    <row r="5" spans="1:49" x14ac:dyDescent="0.3">
      <c r="A5" t="s">
        <v>259</v>
      </c>
      <c r="B5" t="s">
        <v>78</v>
      </c>
      <c r="C5" t="s">
        <v>205</v>
      </c>
      <c r="F5" t="s">
        <v>121</v>
      </c>
      <c r="G5" t="s">
        <v>242</v>
      </c>
      <c r="H5" t="s">
        <v>155</v>
      </c>
      <c r="K5" t="s">
        <v>183</v>
      </c>
      <c r="L5" t="s">
        <v>220</v>
      </c>
      <c r="M5" t="s">
        <v>137</v>
      </c>
      <c r="P5" t="s">
        <v>114</v>
      </c>
      <c r="Q5" t="s">
        <v>110</v>
      </c>
      <c r="R5" t="s">
        <v>136</v>
      </c>
      <c r="U5" t="s">
        <v>136</v>
      </c>
      <c r="V5" t="s">
        <v>110</v>
      </c>
      <c r="W5" t="s">
        <v>34</v>
      </c>
      <c r="Y5" t="s">
        <v>34</v>
      </c>
      <c r="Z5" t="s">
        <v>224</v>
      </c>
      <c r="AA5" t="s">
        <v>136</v>
      </c>
      <c r="AD5" t="s">
        <v>44</v>
      </c>
      <c r="AE5" t="s">
        <v>79</v>
      </c>
      <c r="AF5" t="s">
        <v>197</v>
      </c>
      <c r="AH5" t="s">
        <v>197</v>
      </c>
      <c r="AI5" t="s">
        <v>302</v>
      </c>
      <c r="AJ5" t="s">
        <v>44</v>
      </c>
      <c r="AM5" t="s">
        <v>192</v>
      </c>
      <c r="AN5" t="s">
        <v>223</v>
      </c>
      <c r="AO5" t="s">
        <v>16</v>
      </c>
      <c r="AQ5" t="s">
        <v>16</v>
      </c>
      <c r="AR5" t="s">
        <v>296</v>
      </c>
      <c r="AS5" t="s">
        <v>192</v>
      </c>
    </row>
    <row r="6" spans="1:49" x14ac:dyDescent="0.3">
      <c r="A6" t="s">
        <v>192</v>
      </c>
      <c r="B6" t="s">
        <v>78</v>
      </c>
      <c r="C6" t="s">
        <v>187</v>
      </c>
      <c r="K6" t="s">
        <v>81</v>
      </c>
      <c r="L6" t="s">
        <v>293</v>
      </c>
      <c r="M6" t="s">
        <v>143</v>
      </c>
      <c r="P6" t="s">
        <v>128</v>
      </c>
      <c r="Q6" t="s">
        <v>78</v>
      </c>
      <c r="R6" t="s">
        <v>196</v>
      </c>
      <c r="U6" t="s">
        <v>0</v>
      </c>
      <c r="V6" t="s">
        <v>80</v>
      </c>
      <c r="W6" t="s">
        <v>157</v>
      </c>
      <c r="Y6" t="s">
        <v>157</v>
      </c>
      <c r="Z6" t="s">
        <v>278</v>
      </c>
      <c r="AA6" t="s">
        <v>0</v>
      </c>
      <c r="AD6" t="s">
        <v>16</v>
      </c>
      <c r="AE6" t="s">
        <v>223</v>
      </c>
      <c r="AF6" t="s">
        <v>36</v>
      </c>
      <c r="AH6" t="s">
        <v>36</v>
      </c>
      <c r="AI6" t="s">
        <v>292</v>
      </c>
      <c r="AJ6" t="s">
        <v>16</v>
      </c>
    </row>
    <row r="7" spans="1:49" x14ac:dyDescent="0.3">
      <c r="A7" t="s">
        <v>260</v>
      </c>
      <c r="B7" t="s">
        <v>278</v>
      </c>
      <c r="C7" t="s">
        <v>209</v>
      </c>
      <c r="F7" t="s">
        <v>261</v>
      </c>
      <c r="G7" t="s">
        <v>111</v>
      </c>
      <c r="H7" t="s">
        <v>103</v>
      </c>
      <c r="K7" t="s">
        <v>74</v>
      </c>
      <c r="L7" t="s">
        <v>236</v>
      </c>
      <c r="M7" t="s">
        <v>158</v>
      </c>
      <c r="P7" t="s">
        <v>197</v>
      </c>
      <c r="Q7" t="s">
        <v>79</v>
      </c>
      <c r="R7" t="s">
        <v>100</v>
      </c>
      <c r="U7" t="s">
        <v>269</v>
      </c>
      <c r="V7" t="s">
        <v>221</v>
      </c>
      <c r="W7" t="s">
        <v>38</v>
      </c>
      <c r="Y7" t="s">
        <v>38</v>
      </c>
      <c r="Z7" t="s">
        <v>79</v>
      </c>
      <c r="AA7" t="s">
        <v>269</v>
      </c>
      <c r="AD7" t="s">
        <v>30</v>
      </c>
      <c r="AE7" t="s">
        <v>228</v>
      </c>
      <c r="AF7" t="s">
        <v>34</v>
      </c>
      <c r="AH7" t="s">
        <v>34</v>
      </c>
      <c r="AI7" t="s">
        <v>224</v>
      </c>
      <c r="AJ7" t="s">
        <v>30</v>
      </c>
      <c r="AM7" t="s">
        <v>249</v>
      </c>
    </row>
    <row r="8" spans="1:49" x14ac:dyDescent="0.3">
      <c r="A8" t="s">
        <v>213</v>
      </c>
      <c r="B8" t="s">
        <v>79</v>
      </c>
      <c r="C8" t="s">
        <v>229</v>
      </c>
      <c r="F8" t="s">
        <v>262</v>
      </c>
      <c r="G8" t="s">
        <v>79</v>
      </c>
      <c r="H8" t="s">
        <v>84</v>
      </c>
      <c r="K8" t="s">
        <v>202</v>
      </c>
      <c r="L8" t="s">
        <v>110</v>
      </c>
      <c r="M8" t="s">
        <v>114</v>
      </c>
      <c r="P8" t="s">
        <v>269</v>
      </c>
      <c r="Q8" t="s">
        <v>78</v>
      </c>
      <c r="R8" t="s">
        <v>209</v>
      </c>
      <c r="U8" t="s">
        <v>53</v>
      </c>
      <c r="V8" t="s">
        <v>221</v>
      </c>
      <c r="W8" t="s">
        <v>18</v>
      </c>
      <c r="Y8" t="s">
        <v>18</v>
      </c>
      <c r="Z8" t="s">
        <v>294</v>
      </c>
      <c r="AA8" t="s">
        <v>53</v>
      </c>
      <c r="AD8" t="s">
        <v>192</v>
      </c>
      <c r="AE8" t="s">
        <v>236</v>
      </c>
      <c r="AF8" t="s">
        <v>32</v>
      </c>
      <c r="AH8" t="s">
        <v>32</v>
      </c>
      <c r="AI8" t="s">
        <v>79</v>
      </c>
      <c r="AJ8" t="s">
        <v>192</v>
      </c>
      <c r="AM8" t="s">
        <v>22</v>
      </c>
      <c r="AN8" t="s">
        <v>223</v>
      </c>
      <c r="AO8" t="s">
        <v>34</v>
      </c>
      <c r="AQ8" t="s">
        <v>34</v>
      </c>
      <c r="AR8" t="s">
        <v>242</v>
      </c>
      <c r="AS8" t="s">
        <v>22</v>
      </c>
    </row>
    <row r="9" spans="1:49" x14ac:dyDescent="0.3">
      <c r="A9" t="s">
        <v>263</v>
      </c>
      <c r="B9" t="s">
        <v>78</v>
      </c>
      <c r="C9" t="s">
        <v>188</v>
      </c>
      <c r="K9" t="s">
        <v>136</v>
      </c>
      <c r="L9" t="s">
        <v>224</v>
      </c>
      <c r="M9" t="s">
        <v>135</v>
      </c>
      <c r="P9" t="s">
        <v>206</v>
      </c>
      <c r="Q9" t="s">
        <v>2</v>
      </c>
      <c r="R9" t="s">
        <v>69</v>
      </c>
      <c r="U9" t="s">
        <v>28</v>
      </c>
      <c r="V9" t="s">
        <v>111</v>
      </c>
      <c r="W9" t="s">
        <v>74</v>
      </c>
      <c r="Y9" t="s">
        <v>74</v>
      </c>
      <c r="Z9" t="s">
        <v>299</v>
      </c>
      <c r="AA9" t="s">
        <v>28</v>
      </c>
      <c r="AD9" t="s">
        <v>28</v>
      </c>
      <c r="AE9" t="s">
        <v>221</v>
      </c>
      <c r="AF9" t="s">
        <v>40</v>
      </c>
      <c r="AH9" t="s">
        <v>40</v>
      </c>
      <c r="AI9" t="s">
        <v>79</v>
      </c>
      <c r="AJ9" t="s">
        <v>28</v>
      </c>
      <c r="AM9" t="s">
        <v>40</v>
      </c>
      <c r="AN9" t="s">
        <v>221</v>
      </c>
      <c r="AO9" t="s">
        <v>16</v>
      </c>
      <c r="AQ9" t="s">
        <v>16</v>
      </c>
      <c r="AR9" t="s">
        <v>303</v>
      </c>
      <c r="AS9" t="s">
        <v>40</v>
      </c>
    </row>
    <row r="10" spans="1:49" x14ac:dyDescent="0.3">
      <c r="A10" t="s">
        <v>264</v>
      </c>
      <c r="B10" t="s">
        <v>279</v>
      </c>
      <c r="C10" t="s">
        <v>193</v>
      </c>
      <c r="F10" t="s">
        <v>183</v>
      </c>
      <c r="G10" t="s">
        <v>111</v>
      </c>
      <c r="H10" t="s">
        <v>70</v>
      </c>
      <c r="K10" t="s">
        <v>128</v>
      </c>
      <c r="L10" t="s">
        <v>236</v>
      </c>
      <c r="M10" t="s">
        <v>138</v>
      </c>
      <c r="P10" t="s">
        <v>194</v>
      </c>
      <c r="Q10" t="s">
        <v>111</v>
      </c>
      <c r="R10" t="s">
        <v>119</v>
      </c>
      <c r="U10" t="s">
        <v>206</v>
      </c>
      <c r="V10" t="s">
        <v>221</v>
      </c>
      <c r="W10" t="s">
        <v>44</v>
      </c>
      <c r="Y10" t="s">
        <v>44</v>
      </c>
      <c r="Z10" t="s">
        <v>284</v>
      </c>
      <c r="AA10" t="s">
        <v>206</v>
      </c>
    </row>
    <row r="11" spans="1:49" x14ac:dyDescent="0.3">
      <c r="A11" t="s">
        <v>194</v>
      </c>
      <c r="B11" t="s">
        <v>279</v>
      </c>
      <c r="C11" t="s">
        <v>280</v>
      </c>
      <c r="F11" t="s">
        <v>137</v>
      </c>
      <c r="G11" t="s">
        <v>111</v>
      </c>
      <c r="H11" t="s">
        <v>131</v>
      </c>
      <c r="K11" t="s">
        <v>196</v>
      </c>
      <c r="L11" t="s">
        <v>236</v>
      </c>
      <c r="M11" t="s">
        <v>273</v>
      </c>
      <c r="P11" t="s">
        <v>157</v>
      </c>
      <c r="Q11" t="s">
        <v>78</v>
      </c>
      <c r="R11" t="s">
        <v>1</v>
      </c>
      <c r="U11" t="s">
        <v>16</v>
      </c>
      <c r="V11" t="s">
        <v>223</v>
      </c>
      <c r="W11" t="s">
        <v>121</v>
      </c>
      <c r="Y11" t="s">
        <v>121</v>
      </c>
      <c r="Z11" t="s">
        <v>233</v>
      </c>
      <c r="AA11" t="s">
        <v>16</v>
      </c>
      <c r="AM11" t="s">
        <v>108</v>
      </c>
    </row>
    <row r="12" spans="1:49" x14ac:dyDescent="0.3">
      <c r="A12" t="s">
        <v>199</v>
      </c>
      <c r="B12" t="s">
        <v>111</v>
      </c>
      <c r="C12" t="s">
        <v>265</v>
      </c>
      <c r="K12" t="s">
        <v>213</v>
      </c>
      <c r="L12" t="s">
        <v>220</v>
      </c>
      <c r="M12" t="s">
        <v>197</v>
      </c>
      <c r="P12" t="s">
        <v>192</v>
      </c>
      <c r="Q12" t="s">
        <v>296</v>
      </c>
      <c r="R12" t="s">
        <v>259</v>
      </c>
      <c r="U12" t="s">
        <v>30</v>
      </c>
      <c r="V12" t="s">
        <v>110</v>
      </c>
      <c r="W12" t="s">
        <v>128</v>
      </c>
      <c r="Y12" t="s">
        <v>128</v>
      </c>
      <c r="Z12" t="s">
        <v>227</v>
      </c>
      <c r="AA12" t="s">
        <v>30</v>
      </c>
      <c r="AM12" t="s">
        <v>16</v>
      </c>
      <c r="AN12" t="s">
        <v>79</v>
      </c>
      <c r="AO12" t="s">
        <v>34</v>
      </c>
    </row>
    <row r="13" spans="1:49" x14ac:dyDescent="0.3">
      <c r="A13" t="s">
        <v>196</v>
      </c>
      <c r="B13" t="s">
        <v>79</v>
      </c>
      <c r="C13" t="s">
        <v>266</v>
      </c>
      <c r="F13" t="s">
        <v>81</v>
      </c>
      <c r="G13" t="s">
        <v>78</v>
      </c>
      <c r="H13" t="s">
        <v>263</v>
      </c>
      <c r="K13" t="s">
        <v>100</v>
      </c>
      <c r="L13" t="s">
        <v>79</v>
      </c>
      <c r="M13" t="s">
        <v>130</v>
      </c>
      <c r="P13" t="s">
        <v>104</v>
      </c>
      <c r="Q13" t="s">
        <v>228</v>
      </c>
      <c r="R13" t="s">
        <v>125</v>
      </c>
      <c r="U13" t="s">
        <v>261</v>
      </c>
      <c r="V13" t="s">
        <v>220</v>
      </c>
      <c r="W13" t="s">
        <v>32</v>
      </c>
      <c r="Y13" t="s">
        <v>32</v>
      </c>
      <c r="Z13" t="s">
        <v>80</v>
      </c>
      <c r="AA13" t="s">
        <v>261</v>
      </c>
    </row>
    <row r="14" spans="1:49" x14ac:dyDescent="0.3">
      <c r="A14" t="s">
        <v>212</v>
      </c>
      <c r="B14" t="s">
        <v>234</v>
      </c>
      <c r="C14" t="s">
        <v>267</v>
      </c>
      <c r="F14" t="s">
        <v>143</v>
      </c>
      <c r="G14" t="s">
        <v>281</v>
      </c>
      <c r="H14" t="s">
        <v>268</v>
      </c>
      <c r="K14" t="s">
        <v>269</v>
      </c>
      <c r="L14" t="s">
        <v>234</v>
      </c>
      <c r="M14" t="s">
        <v>212</v>
      </c>
      <c r="U14" t="s">
        <v>26</v>
      </c>
      <c r="V14" t="s">
        <v>221</v>
      </c>
      <c r="W14" t="s">
        <v>24</v>
      </c>
      <c r="Y14" t="s">
        <v>24</v>
      </c>
      <c r="Z14" t="s">
        <v>79</v>
      </c>
      <c r="AA14" t="s">
        <v>26</v>
      </c>
    </row>
    <row r="15" spans="1:49" x14ac:dyDescent="0.3">
      <c r="A15" t="s">
        <v>183</v>
      </c>
      <c r="B15" t="s">
        <v>78</v>
      </c>
      <c r="C15" t="s">
        <v>214</v>
      </c>
      <c r="K15" t="s">
        <v>209</v>
      </c>
      <c r="L15" t="s">
        <v>2</v>
      </c>
      <c r="M15" t="s">
        <v>102</v>
      </c>
      <c r="U15" t="s">
        <v>192</v>
      </c>
      <c r="V15" t="s">
        <v>224</v>
      </c>
      <c r="W15" t="s">
        <v>56</v>
      </c>
      <c r="Y15" t="s">
        <v>56</v>
      </c>
      <c r="Z15" t="s">
        <v>250</v>
      </c>
      <c r="AA15" t="s">
        <v>192</v>
      </c>
    </row>
    <row r="16" spans="1:49" x14ac:dyDescent="0.3">
      <c r="A16" t="s">
        <v>202</v>
      </c>
      <c r="B16" t="s">
        <v>281</v>
      </c>
      <c r="C16" t="s">
        <v>270</v>
      </c>
      <c r="F16" t="s">
        <v>184</v>
      </c>
      <c r="G16" t="s">
        <v>220</v>
      </c>
      <c r="H16" t="s">
        <v>158</v>
      </c>
      <c r="K16" t="s">
        <v>206</v>
      </c>
      <c r="L16" t="s">
        <v>224</v>
      </c>
      <c r="M16" t="s">
        <v>116</v>
      </c>
      <c r="U16" t="s">
        <v>194</v>
      </c>
      <c r="V16" t="s">
        <v>80</v>
      </c>
      <c r="W16" t="s">
        <v>20</v>
      </c>
      <c r="Y16" t="s">
        <v>20</v>
      </c>
      <c r="Z16" t="s">
        <v>79</v>
      </c>
      <c r="AA16" t="s">
        <v>194</v>
      </c>
    </row>
    <row r="17" spans="1:27" x14ac:dyDescent="0.3">
      <c r="A17" t="s">
        <v>200</v>
      </c>
      <c r="B17" t="s">
        <v>282</v>
      </c>
      <c r="C17" t="s">
        <v>215</v>
      </c>
      <c r="K17" t="s">
        <v>69</v>
      </c>
      <c r="L17" t="s">
        <v>224</v>
      </c>
      <c r="M17" t="s">
        <v>141</v>
      </c>
      <c r="U17" t="s">
        <v>42</v>
      </c>
      <c r="V17" t="s">
        <v>78</v>
      </c>
      <c r="W17" t="s">
        <v>197</v>
      </c>
      <c r="Y17" t="s">
        <v>197</v>
      </c>
      <c r="Z17" t="s">
        <v>300</v>
      </c>
      <c r="AA17" t="s">
        <v>42</v>
      </c>
    </row>
    <row r="18" spans="1:27" x14ac:dyDescent="0.3">
      <c r="A18" t="s">
        <v>271</v>
      </c>
      <c r="B18" t="s">
        <v>220</v>
      </c>
      <c r="C18" t="s">
        <v>191</v>
      </c>
      <c r="F18" t="s">
        <v>202</v>
      </c>
      <c r="G18" t="s">
        <v>79</v>
      </c>
      <c r="H18" t="s">
        <v>46</v>
      </c>
      <c r="K18" t="s">
        <v>194</v>
      </c>
      <c r="L18" t="s">
        <v>78</v>
      </c>
      <c r="M18" t="s">
        <v>162</v>
      </c>
    </row>
    <row r="19" spans="1:27" x14ac:dyDescent="0.3">
      <c r="A19" t="s">
        <v>198</v>
      </c>
      <c r="B19" t="s">
        <v>220</v>
      </c>
      <c r="C19" t="s">
        <v>195</v>
      </c>
      <c r="F19" t="s">
        <v>114</v>
      </c>
      <c r="G19" t="s">
        <v>111</v>
      </c>
      <c r="H19" t="s">
        <v>272</v>
      </c>
      <c r="K19" t="s">
        <v>119</v>
      </c>
      <c r="L19" t="s">
        <v>224</v>
      </c>
      <c r="M19" t="s">
        <v>122</v>
      </c>
    </row>
    <row r="20" spans="1:27" x14ac:dyDescent="0.3">
      <c r="K20" t="s">
        <v>57</v>
      </c>
      <c r="L20" t="s">
        <v>288</v>
      </c>
      <c r="M20" t="s">
        <v>157</v>
      </c>
    </row>
    <row r="21" spans="1:27" x14ac:dyDescent="0.3">
      <c r="F21" t="s">
        <v>136</v>
      </c>
      <c r="G21" t="s">
        <v>79</v>
      </c>
      <c r="H21" t="s">
        <v>199</v>
      </c>
      <c r="K21" t="s">
        <v>1</v>
      </c>
      <c r="L21" t="s">
        <v>224</v>
      </c>
      <c r="M21" t="s">
        <v>140</v>
      </c>
    </row>
    <row r="22" spans="1:27" x14ac:dyDescent="0.3">
      <c r="F22" t="s">
        <v>135</v>
      </c>
      <c r="G22" t="s">
        <v>79</v>
      </c>
      <c r="H22" t="s">
        <v>118</v>
      </c>
      <c r="K22" t="s">
        <v>192</v>
      </c>
      <c r="L22" t="s">
        <v>79</v>
      </c>
      <c r="M22" t="s">
        <v>127</v>
      </c>
    </row>
    <row r="23" spans="1:27" x14ac:dyDescent="0.3">
      <c r="K23" t="s">
        <v>185</v>
      </c>
      <c r="L23" t="s">
        <v>228</v>
      </c>
      <c r="M23" t="s">
        <v>259</v>
      </c>
    </row>
    <row r="24" spans="1:27" x14ac:dyDescent="0.3">
      <c r="F24" t="s">
        <v>128</v>
      </c>
      <c r="G24" t="s">
        <v>285</v>
      </c>
      <c r="H24" t="s">
        <v>186</v>
      </c>
      <c r="K24" t="s">
        <v>104</v>
      </c>
      <c r="L24" t="s">
        <v>294</v>
      </c>
      <c r="M24" t="s">
        <v>101</v>
      </c>
    </row>
    <row r="25" spans="1:27" x14ac:dyDescent="0.3">
      <c r="F25" t="s">
        <v>204</v>
      </c>
      <c r="G25" t="s">
        <v>227</v>
      </c>
      <c r="H25" t="s">
        <v>138</v>
      </c>
      <c r="K25" t="s">
        <v>125</v>
      </c>
      <c r="L25" t="s">
        <v>294</v>
      </c>
      <c r="M25" t="s">
        <v>181</v>
      </c>
    </row>
    <row r="27" spans="1:27" x14ac:dyDescent="0.3">
      <c r="F27" t="s">
        <v>68</v>
      </c>
      <c r="G27" t="s">
        <v>220</v>
      </c>
      <c r="H27" t="s">
        <v>196</v>
      </c>
    </row>
    <row r="28" spans="1:27" x14ac:dyDescent="0.3">
      <c r="F28" t="s">
        <v>273</v>
      </c>
      <c r="G28" t="s">
        <v>111</v>
      </c>
      <c r="H28" t="s">
        <v>274</v>
      </c>
    </row>
    <row r="30" spans="1:27" x14ac:dyDescent="0.3">
      <c r="F30" t="s">
        <v>213</v>
      </c>
      <c r="G30" t="s">
        <v>79</v>
      </c>
      <c r="H30" t="s">
        <v>64</v>
      </c>
    </row>
    <row r="31" spans="1:27" x14ac:dyDescent="0.3">
      <c r="F31" t="s">
        <v>197</v>
      </c>
      <c r="G31" t="s">
        <v>78</v>
      </c>
      <c r="H31" t="s">
        <v>123</v>
      </c>
    </row>
    <row r="33" spans="6:8" x14ac:dyDescent="0.3">
      <c r="F33" t="s">
        <v>130</v>
      </c>
      <c r="G33" t="s">
        <v>111</v>
      </c>
      <c r="H33" t="s">
        <v>95</v>
      </c>
    </row>
    <row r="35" spans="6:8" x14ac:dyDescent="0.3">
      <c r="F35" t="s">
        <v>58</v>
      </c>
      <c r="G35" t="s">
        <v>233</v>
      </c>
      <c r="H35" t="s">
        <v>212</v>
      </c>
    </row>
    <row r="37" spans="6:8" x14ac:dyDescent="0.3">
      <c r="F37" t="s">
        <v>209</v>
      </c>
      <c r="G37" t="s">
        <v>224</v>
      </c>
      <c r="H37" t="s">
        <v>152</v>
      </c>
    </row>
    <row r="38" spans="6:8" x14ac:dyDescent="0.3">
      <c r="F38" t="s">
        <v>147</v>
      </c>
      <c r="G38" t="s">
        <v>228</v>
      </c>
      <c r="H38" t="s">
        <v>102</v>
      </c>
    </row>
    <row r="40" spans="6:8" x14ac:dyDescent="0.3">
      <c r="F40" t="s">
        <v>206</v>
      </c>
      <c r="G40" t="s">
        <v>79</v>
      </c>
      <c r="H40" t="s">
        <v>113</v>
      </c>
    </row>
    <row r="41" spans="6:8" x14ac:dyDescent="0.3">
      <c r="F41" t="s">
        <v>116</v>
      </c>
      <c r="G41" t="s">
        <v>286</v>
      </c>
      <c r="H41" t="s">
        <v>218</v>
      </c>
    </row>
    <row r="43" spans="6:8" x14ac:dyDescent="0.3">
      <c r="F43" t="s">
        <v>195</v>
      </c>
      <c r="G43" t="s">
        <v>287</v>
      </c>
      <c r="H43" t="s">
        <v>69</v>
      </c>
    </row>
    <row r="44" spans="6:8" x14ac:dyDescent="0.3">
      <c r="F44" t="s">
        <v>149</v>
      </c>
      <c r="G44" t="s">
        <v>288</v>
      </c>
      <c r="H44" t="s">
        <v>141</v>
      </c>
    </row>
    <row r="46" spans="6:8" x14ac:dyDescent="0.3">
      <c r="F46" t="s">
        <v>93</v>
      </c>
      <c r="G46" t="s">
        <v>110</v>
      </c>
      <c r="H46" t="s">
        <v>194</v>
      </c>
    </row>
    <row r="47" spans="6:8" x14ac:dyDescent="0.3">
      <c r="F47" t="s">
        <v>162</v>
      </c>
      <c r="G47" t="s">
        <v>111</v>
      </c>
      <c r="H47" t="s">
        <v>139</v>
      </c>
    </row>
    <row r="49" spans="6:8" x14ac:dyDescent="0.3">
      <c r="F49" t="s">
        <v>258</v>
      </c>
      <c r="G49" t="s">
        <v>220</v>
      </c>
      <c r="H49" t="s">
        <v>119</v>
      </c>
    </row>
    <row r="50" spans="6:8" x14ac:dyDescent="0.3">
      <c r="F50" t="s">
        <v>122</v>
      </c>
      <c r="G50" t="s">
        <v>111</v>
      </c>
      <c r="H50" t="s">
        <v>275</v>
      </c>
    </row>
    <row r="52" spans="6:8" x14ac:dyDescent="0.3">
      <c r="F52" t="s">
        <v>145</v>
      </c>
      <c r="G52" t="s">
        <v>222</v>
      </c>
      <c r="H52" t="s">
        <v>157</v>
      </c>
    </row>
    <row r="54" spans="6:8" x14ac:dyDescent="0.3">
      <c r="F54" t="s">
        <v>191</v>
      </c>
      <c r="G54" t="s">
        <v>289</v>
      </c>
      <c r="H54" t="s">
        <v>1</v>
      </c>
    </row>
    <row r="55" spans="6:8" x14ac:dyDescent="0.3">
      <c r="F55" t="s">
        <v>140</v>
      </c>
      <c r="G55" t="s">
        <v>225</v>
      </c>
      <c r="H55" t="s">
        <v>210</v>
      </c>
    </row>
    <row r="57" spans="6:8" x14ac:dyDescent="0.3">
      <c r="F57" t="s">
        <v>192</v>
      </c>
      <c r="G57" t="s">
        <v>78</v>
      </c>
      <c r="H57" t="s">
        <v>146</v>
      </c>
    </row>
    <row r="58" spans="6:8" x14ac:dyDescent="0.3">
      <c r="F58" t="s">
        <v>127</v>
      </c>
      <c r="G58" t="s">
        <v>290</v>
      </c>
      <c r="H58" t="s">
        <v>163</v>
      </c>
    </row>
    <row r="60" spans="6:8" x14ac:dyDescent="0.3">
      <c r="F60" t="s">
        <v>129</v>
      </c>
      <c r="G60" t="s">
        <v>291</v>
      </c>
      <c r="H60" t="s">
        <v>185</v>
      </c>
    </row>
    <row r="61" spans="6:8" x14ac:dyDescent="0.3">
      <c r="F61" t="s">
        <v>276</v>
      </c>
      <c r="G61" t="s">
        <v>292</v>
      </c>
      <c r="H61" t="s">
        <v>259</v>
      </c>
    </row>
    <row r="63" spans="6:8" x14ac:dyDescent="0.3">
      <c r="F63" t="s">
        <v>190</v>
      </c>
      <c r="G63" t="s">
        <v>233</v>
      </c>
      <c r="H63" t="s">
        <v>104</v>
      </c>
    </row>
    <row r="64" spans="6:8" x14ac:dyDescent="0.3">
      <c r="F64" t="s">
        <v>277</v>
      </c>
      <c r="G64" t="s">
        <v>292</v>
      </c>
      <c r="H64" t="s">
        <v>101</v>
      </c>
    </row>
    <row r="66" spans="6:8" x14ac:dyDescent="0.3">
      <c r="F66" t="s">
        <v>181</v>
      </c>
      <c r="G66" t="s">
        <v>224</v>
      </c>
      <c r="H66" t="s">
        <v>230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68DEB-7344-44EB-B98D-992B3EF3DBD1}">
  <dimension ref="A1:AX61"/>
  <sheetViews>
    <sheetView topLeftCell="AI1" workbookViewId="0">
      <selection activeCell="AX4" sqref="AX4"/>
    </sheetView>
  </sheetViews>
  <sheetFormatPr defaultRowHeight="14.4" x14ac:dyDescent="0.3"/>
  <cols>
    <col min="1" max="1" width="15.88671875" customWidth="1"/>
    <col min="2" max="2" width="14.5546875" customWidth="1"/>
    <col min="3" max="3" width="13.6640625" customWidth="1"/>
    <col min="5" max="5" width="13" customWidth="1"/>
    <col min="7" max="7" width="13.33203125" customWidth="1"/>
    <col min="12" max="12" width="9.77734375" customWidth="1"/>
    <col min="14" max="14" width="14.6640625" customWidth="1"/>
    <col min="17" max="17" width="12.6640625" customWidth="1"/>
    <col min="19" max="19" width="14.77734375" customWidth="1"/>
    <col min="22" max="22" width="15.44140625" customWidth="1"/>
    <col min="23" max="23" width="10.77734375" customWidth="1"/>
    <col min="35" max="35" width="10.77734375" customWidth="1"/>
    <col min="38" max="38" width="13" customWidth="1"/>
    <col min="39" max="39" width="14.33203125" customWidth="1"/>
    <col min="40" max="40" width="10.21875" customWidth="1"/>
    <col min="49" max="49" width="12.44140625" customWidth="1"/>
  </cols>
  <sheetData>
    <row r="1" spans="1:50" x14ac:dyDescent="0.3">
      <c r="A1" t="s">
        <v>304</v>
      </c>
      <c r="L1" t="s">
        <v>157</v>
      </c>
      <c r="M1" s="6" t="s">
        <v>220</v>
      </c>
      <c r="N1" t="s">
        <v>57</v>
      </c>
      <c r="O1" t="s">
        <v>305</v>
      </c>
      <c r="Q1" t="s">
        <v>46</v>
      </c>
      <c r="R1" s="6" t="s">
        <v>220</v>
      </c>
      <c r="S1" t="s">
        <v>57</v>
      </c>
      <c r="T1" t="s">
        <v>305</v>
      </c>
      <c r="V1" t="s">
        <v>310</v>
      </c>
      <c r="AL1" t="s">
        <v>316</v>
      </c>
      <c r="AW1" t="s">
        <v>319</v>
      </c>
    </row>
    <row r="2" spans="1:50" x14ac:dyDescent="0.3">
      <c r="A2" t="s">
        <v>106</v>
      </c>
      <c r="M2" s="10" t="s">
        <v>236</v>
      </c>
      <c r="N2" t="s">
        <v>206</v>
      </c>
      <c r="O2" t="s">
        <v>306</v>
      </c>
      <c r="R2" s="6" t="s">
        <v>228</v>
      </c>
      <c r="S2" t="s">
        <v>206</v>
      </c>
      <c r="T2" t="s">
        <v>305</v>
      </c>
      <c r="V2" t="s">
        <v>106</v>
      </c>
      <c r="AL2" t="s">
        <v>317</v>
      </c>
      <c r="AW2" t="s">
        <v>100</v>
      </c>
      <c r="AX2">
        <v>1</v>
      </c>
    </row>
    <row r="3" spans="1:50" x14ac:dyDescent="0.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M3" s="10" t="s">
        <v>224</v>
      </c>
      <c r="N3" t="s">
        <v>270</v>
      </c>
      <c r="O3" t="s">
        <v>305</v>
      </c>
      <c r="R3" s="10" t="s">
        <v>111</v>
      </c>
      <c r="S3" t="s">
        <v>270</v>
      </c>
      <c r="T3" t="s">
        <v>306</v>
      </c>
      <c r="V3" t="s">
        <v>4</v>
      </c>
      <c r="W3" t="s">
        <v>5</v>
      </c>
      <c r="X3" t="s">
        <v>6</v>
      </c>
      <c r="Y3" t="s">
        <v>7</v>
      </c>
      <c r="Z3" t="s">
        <v>8</v>
      </c>
      <c r="AA3" t="s">
        <v>9</v>
      </c>
      <c r="AB3" t="s">
        <v>10</v>
      </c>
      <c r="AC3" t="s">
        <v>11</v>
      </c>
      <c r="AD3" t="s">
        <v>12</v>
      </c>
      <c r="AE3" t="s">
        <v>13</v>
      </c>
      <c r="AG3" t="s">
        <v>40</v>
      </c>
      <c r="AH3" s="10" t="s">
        <v>111</v>
      </c>
      <c r="AI3" t="s">
        <v>102</v>
      </c>
      <c r="AJ3" t="s">
        <v>306</v>
      </c>
      <c r="AL3" t="s">
        <v>106</v>
      </c>
      <c r="AW3" t="s">
        <v>40</v>
      </c>
      <c r="AX3">
        <v>5</v>
      </c>
    </row>
    <row r="4" spans="1:50" x14ac:dyDescent="0.3">
      <c r="A4" s="8" t="s">
        <v>14</v>
      </c>
      <c r="B4" t="s">
        <v>149</v>
      </c>
      <c r="C4" s="2">
        <f t="shared" ref="C4:C9" si="0">E4*3+F4</f>
        <v>13</v>
      </c>
      <c r="D4">
        <v>6</v>
      </c>
      <c r="E4">
        <v>4</v>
      </c>
      <c r="F4">
        <v>1</v>
      </c>
      <c r="G4">
        <f t="shared" ref="G4:G9" si="1">D4-E4-F4</f>
        <v>1</v>
      </c>
      <c r="H4">
        <v>9</v>
      </c>
      <c r="I4">
        <v>5</v>
      </c>
      <c r="J4">
        <f t="shared" ref="J4:J9" si="2">H4-I4</f>
        <v>4</v>
      </c>
      <c r="M4" s="10" t="s">
        <v>79</v>
      </c>
      <c r="N4" t="s">
        <v>218</v>
      </c>
      <c r="O4" t="s">
        <v>306</v>
      </c>
      <c r="R4" s="10" t="s">
        <v>79</v>
      </c>
      <c r="S4" t="s">
        <v>218</v>
      </c>
      <c r="T4" t="s">
        <v>306</v>
      </c>
      <c r="V4" s="11" t="s">
        <v>14</v>
      </c>
      <c r="W4" t="s">
        <v>130</v>
      </c>
      <c r="X4" s="2">
        <f>Z4*3+AA4</f>
        <v>10</v>
      </c>
      <c r="Y4">
        <v>5</v>
      </c>
      <c r="Z4">
        <v>3</v>
      </c>
      <c r="AA4">
        <v>1</v>
      </c>
      <c r="AB4">
        <f>Y4-Z4-AA4</f>
        <v>1</v>
      </c>
      <c r="AC4">
        <v>6</v>
      </c>
      <c r="AD4">
        <v>5</v>
      </c>
      <c r="AE4">
        <f>AC4-AD4</f>
        <v>1</v>
      </c>
      <c r="AH4" s="10" t="s">
        <v>236</v>
      </c>
      <c r="AI4" t="s">
        <v>135</v>
      </c>
      <c r="AJ4" t="s">
        <v>305</v>
      </c>
      <c r="AL4" t="s">
        <v>4</v>
      </c>
      <c r="AM4" t="s">
        <v>5</v>
      </c>
      <c r="AN4" t="s">
        <v>6</v>
      </c>
      <c r="AO4" t="s">
        <v>7</v>
      </c>
      <c r="AP4" t="s">
        <v>8</v>
      </c>
      <c r="AQ4" t="s">
        <v>9</v>
      </c>
      <c r="AR4" t="s">
        <v>10</v>
      </c>
      <c r="AS4" t="s">
        <v>11</v>
      </c>
      <c r="AT4" t="s">
        <v>12</v>
      </c>
      <c r="AU4" t="s">
        <v>13</v>
      </c>
      <c r="AW4" t="s">
        <v>181</v>
      </c>
      <c r="AX4">
        <v>1</v>
      </c>
    </row>
    <row r="5" spans="1:50" x14ac:dyDescent="0.3">
      <c r="A5" s="8" t="s">
        <v>15</v>
      </c>
      <c r="B5" t="s">
        <v>146</v>
      </c>
      <c r="C5" s="2">
        <f t="shared" si="0"/>
        <v>10</v>
      </c>
      <c r="D5">
        <v>6</v>
      </c>
      <c r="E5">
        <v>3</v>
      </c>
      <c r="F5">
        <v>1</v>
      </c>
      <c r="G5">
        <f t="shared" si="1"/>
        <v>2</v>
      </c>
      <c r="H5">
        <v>8</v>
      </c>
      <c r="I5">
        <v>4</v>
      </c>
      <c r="J5">
        <f t="shared" si="2"/>
        <v>4</v>
      </c>
      <c r="M5" s="6" t="s">
        <v>220</v>
      </c>
      <c r="N5" t="s">
        <v>215</v>
      </c>
      <c r="O5" t="s">
        <v>305</v>
      </c>
      <c r="R5" s="10" t="s">
        <v>111</v>
      </c>
      <c r="S5" t="s">
        <v>215</v>
      </c>
      <c r="T5" t="s">
        <v>306</v>
      </c>
      <c r="V5" s="11" t="s">
        <v>15</v>
      </c>
      <c r="W5" t="s">
        <v>40</v>
      </c>
      <c r="X5" s="2">
        <f>Z5*3+AA5</f>
        <v>6</v>
      </c>
      <c r="Y5">
        <v>5</v>
      </c>
      <c r="Z5">
        <v>2</v>
      </c>
      <c r="AA5">
        <v>0</v>
      </c>
      <c r="AB5">
        <f>Y5-Z5-AA5</f>
        <v>3</v>
      </c>
      <c r="AC5">
        <v>7</v>
      </c>
      <c r="AD5">
        <v>11</v>
      </c>
      <c r="AE5">
        <f>AC5-AD5</f>
        <v>-4</v>
      </c>
      <c r="AH5" s="6" t="s">
        <v>243</v>
      </c>
      <c r="AI5" t="s">
        <v>199</v>
      </c>
      <c r="AJ5" t="s">
        <v>306</v>
      </c>
      <c r="AL5" s="8" t="s">
        <v>14</v>
      </c>
      <c r="AM5" t="s">
        <v>181</v>
      </c>
      <c r="AN5" s="2">
        <f t="shared" ref="AN5:AN10" si="3">AP5*3+AQ5</f>
        <v>10</v>
      </c>
      <c r="AO5">
        <v>5</v>
      </c>
      <c r="AP5">
        <v>3</v>
      </c>
      <c r="AQ5">
        <v>1</v>
      </c>
      <c r="AR5">
        <f t="shared" ref="AR5:AR10" si="4">AO5-AP5-AQ5</f>
        <v>1</v>
      </c>
      <c r="AS5">
        <v>6</v>
      </c>
      <c r="AT5">
        <v>3</v>
      </c>
      <c r="AU5">
        <f t="shared" ref="AU5:AU10" si="5">AS5-AT5</f>
        <v>3</v>
      </c>
      <c r="AW5" t="s">
        <v>208</v>
      </c>
      <c r="AX5">
        <v>1</v>
      </c>
    </row>
    <row r="6" spans="1:50" x14ac:dyDescent="0.3">
      <c r="A6" s="5" t="s">
        <v>17</v>
      </c>
      <c r="B6" t="s">
        <v>157</v>
      </c>
      <c r="C6" s="2">
        <f t="shared" si="0"/>
        <v>10</v>
      </c>
      <c r="D6">
        <v>6</v>
      </c>
      <c r="E6">
        <v>3</v>
      </c>
      <c r="F6">
        <v>1</v>
      </c>
      <c r="G6">
        <f t="shared" si="1"/>
        <v>2</v>
      </c>
      <c r="H6">
        <v>7</v>
      </c>
      <c r="I6">
        <v>3</v>
      </c>
      <c r="J6">
        <f t="shared" si="2"/>
        <v>4</v>
      </c>
      <c r="M6" s="9" t="s">
        <v>221</v>
      </c>
      <c r="N6" t="s">
        <v>100</v>
      </c>
      <c r="O6" t="s">
        <v>306</v>
      </c>
      <c r="R6" s="9" t="s">
        <v>223</v>
      </c>
      <c r="S6" t="s">
        <v>100</v>
      </c>
      <c r="T6" t="s">
        <v>305</v>
      </c>
      <c r="V6" t="s">
        <v>17</v>
      </c>
      <c r="W6" t="s">
        <v>139</v>
      </c>
      <c r="X6" s="2">
        <f>Z6*3+AA6</f>
        <v>5</v>
      </c>
      <c r="Y6">
        <v>5</v>
      </c>
      <c r="Z6">
        <v>1</v>
      </c>
      <c r="AA6">
        <v>2</v>
      </c>
      <c r="AB6">
        <f>Y6-Z6-AA6</f>
        <v>2</v>
      </c>
      <c r="AC6">
        <v>8</v>
      </c>
      <c r="AD6">
        <v>7</v>
      </c>
      <c r="AE6">
        <f>AC6-AD6</f>
        <v>1</v>
      </c>
      <c r="AH6" s="6" t="s">
        <v>233</v>
      </c>
      <c r="AI6" t="s">
        <v>129</v>
      </c>
      <c r="AJ6" t="s">
        <v>306</v>
      </c>
      <c r="AL6" s="8" t="s">
        <v>15</v>
      </c>
      <c r="AM6" t="s">
        <v>116</v>
      </c>
      <c r="AN6" s="2">
        <f t="shared" si="3"/>
        <v>9</v>
      </c>
      <c r="AO6">
        <v>5</v>
      </c>
      <c r="AP6">
        <v>3</v>
      </c>
      <c r="AQ6">
        <v>0</v>
      </c>
      <c r="AR6">
        <f t="shared" si="4"/>
        <v>2</v>
      </c>
      <c r="AS6">
        <v>9</v>
      </c>
      <c r="AT6">
        <v>6</v>
      </c>
      <c r="AU6">
        <f t="shared" si="5"/>
        <v>3</v>
      </c>
      <c r="AW6" t="s">
        <v>208</v>
      </c>
      <c r="AX6">
        <v>1</v>
      </c>
    </row>
    <row r="7" spans="1:50" x14ac:dyDescent="0.3">
      <c r="A7" s="5" t="s">
        <v>19</v>
      </c>
      <c r="B7" t="s">
        <v>46</v>
      </c>
      <c r="C7" s="2">
        <f t="shared" si="0"/>
        <v>10</v>
      </c>
      <c r="D7">
        <v>6</v>
      </c>
      <c r="E7">
        <v>3</v>
      </c>
      <c r="F7">
        <v>1</v>
      </c>
      <c r="G7">
        <f t="shared" si="1"/>
        <v>2</v>
      </c>
      <c r="H7">
        <v>6</v>
      </c>
      <c r="I7">
        <v>6</v>
      </c>
      <c r="J7">
        <f t="shared" si="2"/>
        <v>0</v>
      </c>
      <c r="V7" t="s">
        <v>19</v>
      </c>
      <c r="W7" t="s">
        <v>131</v>
      </c>
      <c r="X7" s="2">
        <f>Z7*3+AA7</f>
        <v>4</v>
      </c>
      <c r="Y7">
        <v>5</v>
      </c>
      <c r="Z7">
        <v>1</v>
      </c>
      <c r="AA7">
        <v>1</v>
      </c>
      <c r="AB7">
        <f>Y7-Z7-AA7</f>
        <v>3</v>
      </c>
      <c r="AC7">
        <v>6</v>
      </c>
      <c r="AD7">
        <v>9</v>
      </c>
      <c r="AE7">
        <f>AC7-AD7</f>
        <v>-3</v>
      </c>
      <c r="AH7" s="6" t="s">
        <v>228</v>
      </c>
      <c r="AI7" t="s">
        <v>195</v>
      </c>
      <c r="AJ7" t="s">
        <v>305</v>
      </c>
      <c r="AL7" s="5" t="s">
        <v>17</v>
      </c>
      <c r="AM7" t="s">
        <v>114</v>
      </c>
      <c r="AN7" s="2">
        <f t="shared" si="3"/>
        <v>8</v>
      </c>
      <c r="AO7">
        <v>5</v>
      </c>
      <c r="AP7">
        <v>2</v>
      </c>
      <c r="AQ7">
        <v>2</v>
      </c>
      <c r="AR7">
        <f t="shared" si="4"/>
        <v>1</v>
      </c>
      <c r="AS7">
        <v>8</v>
      </c>
      <c r="AT7">
        <v>6</v>
      </c>
      <c r="AU7">
        <f t="shared" si="5"/>
        <v>2</v>
      </c>
    </row>
    <row r="8" spans="1:50" x14ac:dyDescent="0.3">
      <c r="A8" s="5" t="s">
        <v>21</v>
      </c>
      <c r="B8" t="s">
        <v>212</v>
      </c>
      <c r="C8" s="2">
        <f t="shared" si="0"/>
        <v>6</v>
      </c>
      <c r="D8">
        <v>6</v>
      </c>
      <c r="E8">
        <v>1</v>
      </c>
      <c r="F8">
        <v>3</v>
      </c>
      <c r="G8">
        <f t="shared" si="1"/>
        <v>2</v>
      </c>
      <c r="H8">
        <v>11</v>
      </c>
      <c r="I8">
        <v>15</v>
      </c>
      <c r="J8">
        <f t="shared" si="2"/>
        <v>-4</v>
      </c>
      <c r="L8" t="s">
        <v>146</v>
      </c>
      <c r="M8" s="10" t="s">
        <v>79</v>
      </c>
      <c r="N8" t="s">
        <v>57</v>
      </c>
      <c r="O8" t="s">
        <v>306</v>
      </c>
      <c r="Q8" t="s">
        <v>276</v>
      </c>
      <c r="R8" s="9" t="s">
        <v>80</v>
      </c>
      <c r="S8" t="s">
        <v>57</v>
      </c>
      <c r="T8" t="s">
        <v>306</v>
      </c>
      <c r="V8" t="s">
        <v>21</v>
      </c>
      <c r="W8" t="s">
        <v>197</v>
      </c>
      <c r="X8" s="2">
        <f>Z8*3+AA8</f>
        <v>0</v>
      </c>
      <c r="Y8">
        <v>5</v>
      </c>
      <c r="Z8">
        <v>0</v>
      </c>
      <c r="AA8">
        <v>0</v>
      </c>
      <c r="AB8">
        <f>Y8-Z8-AA8</f>
        <v>5</v>
      </c>
      <c r="AC8">
        <v>0</v>
      </c>
      <c r="AD8">
        <v>11</v>
      </c>
      <c r="AE8">
        <f>AC8-AD8</f>
        <v>-11</v>
      </c>
      <c r="AL8" s="5" t="s">
        <v>19</v>
      </c>
      <c r="AM8" t="s">
        <v>113</v>
      </c>
      <c r="AN8" s="2">
        <f t="shared" si="3"/>
        <v>7</v>
      </c>
      <c r="AO8">
        <v>5</v>
      </c>
      <c r="AP8">
        <v>2</v>
      </c>
      <c r="AQ8">
        <v>1</v>
      </c>
      <c r="AR8">
        <f t="shared" si="4"/>
        <v>2</v>
      </c>
      <c r="AS8">
        <v>5</v>
      </c>
      <c r="AT8">
        <v>5</v>
      </c>
      <c r="AU8">
        <f t="shared" si="5"/>
        <v>0</v>
      </c>
    </row>
    <row r="9" spans="1:50" x14ac:dyDescent="0.3">
      <c r="A9" s="5" t="s">
        <v>23</v>
      </c>
      <c r="B9" t="s">
        <v>276</v>
      </c>
      <c r="C9" s="2">
        <f t="shared" si="0"/>
        <v>5</v>
      </c>
      <c r="D9">
        <v>6</v>
      </c>
      <c r="E9">
        <v>1</v>
      </c>
      <c r="F9">
        <v>2</v>
      </c>
      <c r="G9">
        <f t="shared" si="1"/>
        <v>3</v>
      </c>
      <c r="H9">
        <v>7</v>
      </c>
      <c r="I9">
        <v>9</v>
      </c>
      <c r="J9">
        <f t="shared" si="2"/>
        <v>-2</v>
      </c>
      <c r="M9" s="10" t="s">
        <v>78</v>
      </c>
      <c r="N9" t="s">
        <v>206</v>
      </c>
      <c r="O9" t="s">
        <v>306</v>
      </c>
      <c r="R9" s="6" t="s">
        <v>220</v>
      </c>
      <c r="S9" t="s">
        <v>206</v>
      </c>
      <c r="T9" t="s">
        <v>306</v>
      </c>
      <c r="X9" s="2"/>
      <c r="AG9" t="s">
        <v>130</v>
      </c>
      <c r="AH9" s="10" t="s">
        <v>111</v>
      </c>
      <c r="AI9" t="s">
        <v>102</v>
      </c>
      <c r="AJ9" t="s">
        <v>306</v>
      </c>
      <c r="AL9" s="5" t="s">
        <v>21</v>
      </c>
      <c r="AM9" t="s">
        <v>104</v>
      </c>
      <c r="AN9" s="2">
        <f t="shared" si="3"/>
        <v>4</v>
      </c>
      <c r="AO9">
        <v>5</v>
      </c>
      <c r="AP9">
        <v>1</v>
      </c>
      <c r="AQ9">
        <v>1</v>
      </c>
      <c r="AR9">
        <f t="shared" si="4"/>
        <v>3</v>
      </c>
      <c r="AS9">
        <v>5</v>
      </c>
      <c r="AT9">
        <v>8</v>
      </c>
      <c r="AU9">
        <f t="shared" si="5"/>
        <v>-3</v>
      </c>
    </row>
    <row r="10" spans="1:50" x14ac:dyDescent="0.3">
      <c r="M10" s="10" t="s">
        <v>224</v>
      </c>
      <c r="N10" t="s">
        <v>270</v>
      </c>
      <c r="O10" t="s">
        <v>305</v>
      </c>
      <c r="R10" s="6" t="s">
        <v>233</v>
      </c>
      <c r="S10" t="s">
        <v>270</v>
      </c>
      <c r="T10" t="s">
        <v>306</v>
      </c>
      <c r="V10" t="s">
        <v>107</v>
      </c>
      <c r="AH10" s="6" t="s">
        <v>227</v>
      </c>
      <c r="AI10" t="s">
        <v>135</v>
      </c>
      <c r="AJ10" t="s">
        <v>305</v>
      </c>
      <c r="AL10" s="5" t="s">
        <v>23</v>
      </c>
      <c r="AM10" t="s">
        <v>185</v>
      </c>
      <c r="AN10" s="2">
        <f t="shared" si="3"/>
        <v>4</v>
      </c>
      <c r="AO10">
        <v>5</v>
      </c>
      <c r="AP10">
        <v>1</v>
      </c>
      <c r="AQ10">
        <v>1</v>
      </c>
      <c r="AR10">
        <f t="shared" si="4"/>
        <v>3</v>
      </c>
      <c r="AS10">
        <v>5</v>
      </c>
      <c r="AT10">
        <v>10</v>
      </c>
      <c r="AU10">
        <f t="shared" si="5"/>
        <v>-5</v>
      </c>
    </row>
    <row r="11" spans="1:50" x14ac:dyDescent="0.3">
      <c r="A11" s="5" t="s">
        <v>107</v>
      </c>
      <c r="M11" s="9" t="s">
        <v>223</v>
      </c>
      <c r="N11" t="s">
        <v>218</v>
      </c>
      <c r="O11" t="s">
        <v>306</v>
      </c>
      <c r="R11" s="6" t="s">
        <v>220</v>
      </c>
      <c r="S11" t="s">
        <v>218</v>
      </c>
      <c r="T11" t="s">
        <v>305</v>
      </c>
      <c r="V11" t="s">
        <v>4</v>
      </c>
      <c r="W11" t="s">
        <v>5</v>
      </c>
      <c r="X11" t="s">
        <v>6</v>
      </c>
      <c r="Y11" t="s">
        <v>7</v>
      </c>
      <c r="Z11" t="s">
        <v>8</v>
      </c>
      <c r="AA11" t="s">
        <v>9</v>
      </c>
      <c r="AB11" t="s">
        <v>10</v>
      </c>
      <c r="AC11" t="s">
        <v>11</v>
      </c>
      <c r="AD11" t="s">
        <v>12</v>
      </c>
      <c r="AE11" t="s">
        <v>13</v>
      </c>
      <c r="AH11" s="9" t="s">
        <v>223</v>
      </c>
      <c r="AI11" t="s">
        <v>199</v>
      </c>
      <c r="AJ11" t="s">
        <v>306</v>
      </c>
    </row>
    <row r="12" spans="1:50" x14ac:dyDescent="0.3">
      <c r="A12" t="s">
        <v>4</v>
      </c>
      <c r="B12" t="s">
        <v>5</v>
      </c>
      <c r="C12" t="s">
        <v>6</v>
      </c>
      <c r="D12" t="s">
        <v>7</v>
      </c>
      <c r="E12" t="s">
        <v>8</v>
      </c>
      <c r="F12" t="s">
        <v>9</v>
      </c>
      <c r="G12" t="s">
        <v>10</v>
      </c>
      <c r="H12" t="s">
        <v>11</v>
      </c>
      <c r="I12" t="s">
        <v>12</v>
      </c>
      <c r="J12" t="s">
        <v>13</v>
      </c>
      <c r="M12" s="6" t="s">
        <v>110</v>
      </c>
      <c r="N12" t="s">
        <v>215</v>
      </c>
      <c r="O12" t="s">
        <v>305</v>
      </c>
      <c r="R12" s="10" t="s">
        <v>78</v>
      </c>
      <c r="S12" t="s">
        <v>215</v>
      </c>
      <c r="T12" t="s">
        <v>305</v>
      </c>
      <c r="V12" s="11" t="s">
        <v>14</v>
      </c>
      <c r="W12" t="s">
        <v>195</v>
      </c>
      <c r="X12" s="2">
        <f>Z12*3+AA12</f>
        <v>12</v>
      </c>
      <c r="Y12">
        <v>5</v>
      </c>
      <c r="Z12">
        <v>4</v>
      </c>
      <c r="AA12">
        <v>0</v>
      </c>
      <c r="AB12">
        <f>Y12-Z12-AA12</f>
        <v>1</v>
      </c>
      <c r="AC12">
        <v>7</v>
      </c>
      <c r="AD12">
        <v>2</v>
      </c>
      <c r="AE12">
        <f>AC12-AD12</f>
        <v>5</v>
      </c>
      <c r="AH12" s="10" t="s">
        <v>79</v>
      </c>
      <c r="AI12" t="s">
        <v>129</v>
      </c>
      <c r="AJ12" t="s">
        <v>305</v>
      </c>
      <c r="AL12" s="5" t="s">
        <v>107</v>
      </c>
    </row>
    <row r="13" spans="1:50" x14ac:dyDescent="0.3">
      <c r="A13" s="8" t="s">
        <v>14</v>
      </c>
      <c r="B13" t="s">
        <v>206</v>
      </c>
      <c r="C13" s="2">
        <f t="shared" ref="C13:C18" si="6">E13*3+F13</f>
        <v>12</v>
      </c>
      <c r="D13">
        <v>6</v>
      </c>
      <c r="E13">
        <v>4</v>
      </c>
      <c r="F13">
        <v>0</v>
      </c>
      <c r="G13">
        <f t="shared" ref="G13:G18" si="7">D13-E13-F13</f>
        <v>2</v>
      </c>
      <c r="H13">
        <v>10</v>
      </c>
      <c r="I13">
        <v>7</v>
      </c>
      <c r="J13">
        <f t="shared" ref="J13:J18" si="8">H13-I13</f>
        <v>3</v>
      </c>
      <c r="M13" s="6" t="s">
        <v>220</v>
      </c>
      <c r="N13" t="s">
        <v>100</v>
      </c>
      <c r="O13" t="s">
        <v>305</v>
      </c>
      <c r="R13" s="9" t="s">
        <v>80</v>
      </c>
      <c r="S13" t="s">
        <v>100</v>
      </c>
      <c r="T13" t="s">
        <v>305</v>
      </c>
      <c r="V13" s="11" t="s">
        <v>15</v>
      </c>
      <c r="W13" t="s">
        <v>199</v>
      </c>
      <c r="X13" s="2">
        <f>Z13*3+AA13</f>
        <v>11</v>
      </c>
      <c r="Y13">
        <v>5</v>
      </c>
      <c r="Z13">
        <v>3</v>
      </c>
      <c r="AA13">
        <v>2</v>
      </c>
      <c r="AB13">
        <f>Y13-Z13-AA13</f>
        <v>0</v>
      </c>
      <c r="AC13">
        <v>10</v>
      </c>
      <c r="AD13">
        <v>5</v>
      </c>
      <c r="AE13">
        <f>AC13-AD13</f>
        <v>5</v>
      </c>
      <c r="AH13" s="10" t="s">
        <v>78</v>
      </c>
      <c r="AI13" t="s">
        <v>195</v>
      </c>
      <c r="AJ13" t="s">
        <v>306</v>
      </c>
      <c r="AL13" t="s">
        <v>4</v>
      </c>
      <c r="AM13" t="s">
        <v>5</v>
      </c>
      <c r="AN13" t="s">
        <v>6</v>
      </c>
      <c r="AO13" t="s">
        <v>7</v>
      </c>
      <c r="AP13" t="s">
        <v>8</v>
      </c>
      <c r="AQ13" t="s">
        <v>9</v>
      </c>
      <c r="AR13" t="s">
        <v>10</v>
      </c>
      <c r="AS13" t="s">
        <v>11</v>
      </c>
      <c r="AT13" t="s">
        <v>12</v>
      </c>
      <c r="AU13" t="s">
        <v>13</v>
      </c>
    </row>
    <row r="14" spans="1:50" x14ac:dyDescent="0.3">
      <c r="A14" s="8" t="s">
        <v>15</v>
      </c>
      <c r="B14" t="s">
        <v>100</v>
      </c>
      <c r="C14" s="2">
        <f t="shared" si="6"/>
        <v>9</v>
      </c>
      <c r="D14">
        <v>6</v>
      </c>
      <c r="E14">
        <v>2</v>
      </c>
      <c r="F14">
        <v>3</v>
      </c>
      <c r="G14">
        <f t="shared" si="7"/>
        <v>1</v>
      </c>
      <c r="H14">
        <v>8</v>
      </c>
      <c r="I14">
        <v>5</v>
      </c>
      <c r="J14">
        <f t="shared" si="8"/>
        <v>3</v>
      </c>
      <c r="V14" t="s">
        <v>17</v>
      </c>
      <c r="W14" t="s">
        <v>135</v>
      </c>
      <c r="X14" s="2">
        <f>Z14*3+AA14</f>
        <v>10</v>
      </c>
      <c r="Y14">
        <v>5</v>
      </c>
      <c r="Z14">
        <v>3</v>
      </c>
      <c r="AA14">
        <v>1</v>
      </c>
      <c r="AB14">
        <f>Y14-Z14-AA14</f>
        <v>1</v>
      </c>
      <c r="AC14">
        <v>9</v>
      </c>
      <c r="AD14">
        <v>5</v>
      </c>
      <c r="AE14">
        <f>AC14-AD14</f>
        <v>4</v>
      </c>
      <c r="AL14" s="8" t="s">
        <v>14</v>
      </c>
      <c r="AM14" t="s">
        <v>187</v>
      </c>
      <c r="AN14" s="2">
        <f t="shared" ref="AN14:AN19" si="9">AP14*3+AQ14</f>
        <v>12</v>
      </c>
      <c r="AO14">
        <v>5</v>
      </c>
      <c r="AP14">
        <v>4</v>
      </c>
      <c r="AQ14">
        <v>0</v>
      </c>
      <c r="AR14">
        <f t="shared" ref="AR14:AR19" si="10">AO14-AP14-AQ14</f>
        <v>1</v>
      </c>
      <c r="AS14">
        <v>7</v>
      </c>
      <c r="AT14">
        <v>3</v>
      </c>
      <c r="AU14">
        <f t="shared" ref="AU14:AU19" si="11">AS14-AT14</f>
        <v>4</v>
      </c>
    </row>
    <row r="15" spans="1:50" x14ac:dyDescent="0.3">
      <c r="A15" s="5" t="s">
        <v>17</v>
      </c>
      <c r="B15" t="s">
        <v>57</v>
      </c>
      <c r="C15" s="2">
        <f t="shared" si="6"/>
        <v>8</v>
      </c>
      <c r="D15">
        <v>6</v>
      </c>
      <c r="E15">
        <v>2</v>
      </c>
      <c r="F15">
        <v>2</v>
      </c>
      <c r="G15">
        <f t="shared" si="7"/>
        <v>2</v>
      </c>
      <c r="H15">
        <v>6</v>
      </c>
      <c r="I15">
        <v>6</v>
      </c>
      <c r="J15">
        <f t="shared" si="8"/>
        <v>0</v>
      </c>
      <c r="L15" t="s">
        <v>212</v>
      </c>
      <c r="M15" s="10" t="s">
        <v>79</v>
      </c>
      <c r="N15" t="s">
        <v>57</v>
      </c>
      <c r="O15" t="s">
        <v>306</v>
      </c>
      <c r="Q15" t="s">
        <v>149</v>
      </c>
      <c r="R15" s="9" t="s">
        <v>80</v>
      </c>
      <c r="S15" t="s">
        <v>57</v>
      </c>
      <c r="T15" t="s">
        <v>305</v>
      </c>
      <c r="V15" t="s">
        <v>19</v>
      </c>
      <c r="W15" t="s">
        <v>129</v>
      </c>
      <c r="X15" s="2">
        <f>Z15*3+AA15</f>
        <v>7</v>
      </c>
      <c r="Y15">
        <v>5</v>
      </c>
      <c r="Z15">
        <v>2</v>
      </c>
      <c r="AA15">
        <v>1</v>
      </c>
      <c r="AB15">
        <f>Y15-Z15-AA15</f>
        <v>2</v>
      </c>
      <c r="AC15">
        <v>8</v>
      </c>
      <c r="AD15">
        <v>6</v>
      </c>
      <c r="AE15">
        <f>AC15-AD15</f>
        <v>2</v>
      </c>
      <c r="AG15" t="s">
        <v>197</v>
      </c>
      <c r="AH15" s="6" t="s">
        <v>227</v>
      </c>
      <c r="AI15" t="s">
        <v>102</v>
      </c>
      <c r="AJ15" t="s">
        <v>305</v>
      </c>
      <c r="AL15" s="8" t="s">
        <v>15</v>
      </c>
      <c r="AM15" t="s">
        <v>183</v>
      </c>
      <c r="AN15" s="2">
        <f t="shared" si="9"/>
        <v>9</v>
      </c>
      <c r="AO15">
        <v>5</v>
      </c>
      <c r="AP15">
        <v>3</v>
      </c>
      <c r="AQ15">
        <v>0</v>
      </c>
      <c r="AR15">
        <f t="shared" si="10"/>
        <v>2</v>
      </c>
      <c r="AS15">
        <v>7</v>
      </c>
      <c r="AT15">
        <v>5</v>
      </c>
      <c r="AU15">
        <f t="shared" si="11"/>
        <v>2</v>
      </c>
    </row>
    <row r="16" spans="1:50" x14ac:dyDescent="0.3">
      <c r="A16" s="5" t="s">
        <v>19</v>
      </c>
      <c r="B16" t="s">
        <v>215</v>
      </c>
      <c r="C16" s="2">
        <f t="shared" si="6"/>
        <v>7</v>
      </c>
      <c r="D16">
        <v>6</v>
      </c>
      <c r="E16">
        <v>2</v>
      </c>
      <c r="F16">
        <v>1</v>
      </c>
      <c r="G16">
        <f t="shared" si="7"/>
        <v>3</v>
      </c>
      <c r="H16">
        <v>6</v>
      </c>
      <c r="I16">
        <v>8</v>
      </c>
      <c r="J16">
        <f t="shared" si="8"/>
        <v>-2</v>
      </c>
      <c r="M16" s="6" t="s">
        <v>307</v>
      </c>
      <c r="N16" t="s">
        <v>206</v>
      </c>
      <c r="O16" t="s">
        <v>305</v>
      </c>
      <c r="R16" s="6" t="s">
        <v>228</v>
      </c>
      <c r="S16" t="s">
        <v>206</v>
      </c>
      <c r="T16" t="s">
        <v>305</v>
      </c>
      <c r="V16" t="s">
        <v>21</v>
      </c>
      <c r="W16" t="s">
        <v>102</v>
      </c>
      <c r="X16" s="2">
        <f>Z16*3+AA16</f>
        <v>6</v>
      </c>
      <c r="Y16">
        <v>5</v>
      </c>
      <c r="Z16">
        <v>2</v>
      </c>
      <c r="AA16">
        <v>0</v>
      </c>
      <c r="AB16">
        <f>Y16-Z16-AA16</f>
        <v>3</v>
      </c>
      <c r="AC16">
        <v>9</v>
      </c>
      <c r="AD16">
        <v>9</v>
      </c>
      <c r="AE16">
        <f>AC16-AD16</f>
        <v>0</v>
      </c>
      <c r="AH16" s="6" t="s">
        <v>228</v>
      </c>
      <c r="AI16" t="s">
        <v>135</v>
      </c>
      <c r="AJ16" t="s">
        <v>306</v>
      </c>
      <c r="AL16" s="5" t="s">
        <v>17</v>
      </c>
      <c r="AM16" t="s">
        <v>52</v>
      </c>
      <c r="AN16" s="2">
        <f t="shared" si="9"/>
        <v>9</v>
      </c>
      <c r="AO16">
        <v>5</v>
      </c>
      <c r="AP16">
        <v>3</v>
      </c>
      <c r="AQ16">
        <v>0</v>
      </c>
      <c r="AR16">
        <f t="shared" si="10"/>
        <v>2</v>
      </c>
      <c r="AS16">
        <v>7</v>
      </c>
      <c r="AT16">
        <v>5</v>
      </c>
      <c r="AU16">
        <f t="shared" si="11"/>
        <v>2</v>
      </c>
    </row>
    <row r="17" spans="1:47" x14ac:dyDescent="0.3">
      <c r="A17" s="5" t="s">
        <v>21</v>
      </c>
      <c r="B17" t="s">
        <v>218</v>
      </c>
      <c r="C17" s="2">
        <f t="shared" si="6"/>
        <v>5</v>
      </c>
      <c r="D17">
        <v>6</v>
      </c>
      <c r="E17">
        <v>1</v>
      </c>
      <c r="F17">
        <v>2</v>
      </c>
      <c r="G17">
        <f t="shared" si="7"/>
        <v>3</v>
      </c>
      <c r="H17">
        <v>4</v>
      </c>
      <c r="I17">
        <v>7</v>
      </c>
      <c r="J17">
        <f t="shared" si="8"/>
        <v>-3</v>
      </c>
      <c r="M17" s="9" t="s">
        <v>301</v>
      </c>
      <c r="N17" t="s">
        <v>270</v>
      </c>
      <c r="O17" t="s">
        <v>305</v>
      </c>
      <c r="R17" s="10" t="s">
        <v>236</v>
      </c>
      <c r="S17" t="s">
        <v>270</v>
      </c>
      <c r="T17" t="s">
        <v>306</v>
      </c>
      <c r="AH17" s="6" t="s">
        <v>220</v>
      </c>
      <c r="AI17" t="s">
        <v>199</v>
      </c>
      <c r="AJ17" t="s">
        <v>306</v>
      </c>
      <c r="AL17" s="5" t="s">
        <v>19</v>
      </c>
      <c r="AM17" t="s">
        <v>118</v>
      </c>
      <c r="AN17" s="2">
        <f t="shared" si="9"/>
        <v>6</v>
      </c>
      <c r="AO17">
        <v>5</v>
      </c>
      <c r="AP17">
        <v>2</v>
      </c>
      <c r="AQ17">
        <v>0</v>
      </c>
      <c r="AR17">
        <f t="shared" si="10"/>
        <v>3</v>
      </c>
      <c r="AS17">
        <v>3</v>
      </c>
      <c r="AT17">
        <v>5</v>
      </c>
      <c r="AU17">
        <f t="shared" si="11"/>
        <v>-2</v>
      </c>
    </row>
    <row r="18" spans="1:47" x14ac:dyDescent="0.3">
      <c r="A18" s="5" t="s">
        <v>23</v>
      </c>
      <c r="B18" t="s">
        <v>270</v>
      </c>
      <c r="C18" s="2">
        <f t="shared" si="6"/>
        <v>4</v>
      </c>
      <c r="D18">
        <v>6</v>
      </c>
      <c r="E18">
        <v>1</v>
      </c>
      <c r="F18">
        <v>1</v>
      </c>
      <c r="G18">
        <f t="shared" si="7"/>
        <v>4</v>
      </c>
      <c r="H18">
        <v>8</v>
      </c>
      <c r="I18">
        <v>15</v>
      </c>
      <c r="J18">
        <f t="shared" si="8"/>
        <v>-7</v>
      </c>
      <c r="M18" s="9" t="s">
        <v>80</v>
      </c>
      <c r="N18" t="s">
        <v>218</v>
      </c>
      <c r="O18" t="s">
        <v>305</v>
      </c>
      <c r="R18" s="10" t="s">
        <v>78</v>
      </c>
      <c r="S18" t="s">
        <v>218</v>
      </c>
      <c r="T18" t="s">
        <v>305</v>
      </c>
      <c r="V18" t="s">
        <v>311</v>
      </c>
      <c r="AH18" s="6" t="s">
        <v>228</v>
      </c>
      <c r="AI18" t="s">
        <v>129</v>
      </c>
      <c r="AJ18" t="s">
        <v>305</v>
      </c>
      <c r="AL18" s="5" t="s">
        <v>21</v>
      </c>
      <c r="AM18" t="s">
        <v>182</v>
      </c>
      <c r="AN18" s="2">
        <f t="shared" si="9"/>
        <v>6</v>
      </c>
      <c r="AO18">
        <v>5</v>
      </c>
      <c r="AP18">
        <v>2</v>
      </c>
      <c r="AQ18">
        <v>0</v>
      </c>
      <c r="AR18">
        <f t="shared" si="10"/>
        <v>3</v>
      </c>
      <c r="AS18">
        <v>3</v>
      </c>
      <c r="AT18">
        <v>6</v>
      </c>
      <c r="AU18">
        <f t="shared" si="11"/>
        <v>-3</v>
      </c>
    </row>
    <row r="19" spans="1:47" x14ac:dyDescent="0.3">
      <c r="M19" s="9" t="s">
        <v>80</v>
      </c>
      <c r="N19" t="s">
        <v>215</v>
      </c>
      <c r="O19" t="s">
        <v>306</v>
      </c>
      <c r="R19" s="10" t="s">
        <v>79</v>
      </c>
      <c r="S19" t="s">
        <v>215</v>
      </c>
      <c r="T19" t="s">
        <v>306</v>
      </c>
      <c r="V19" t="s">
        <v>4</v>
      </c>
      <c r="W19" t="s">
        <v>5</v>
      </c>
      <c r="X19" t="s">
        <v>6</v>
      </c>
      <c r="Y19" t="s">
        <v>7</v>
      </c>
      <c r="Z19" t="s">
        <v>8</v>
      </c>
      <c r="AA19" t="s">
        <v>9</v>
      </c>
      <c r="AB19" t="s">
        <v>10</v>
      </c>
      <c r="AC19" t="s">
        <v>11</v>
      </c>
      <c r="AD19" t="s">
        <v>12</v>
      </c>
      <c r="AE19" t="s">
        <v>13</v>
      </c>
      <c r="AH19" s="6" t="s">
        <v>227</v>
      </c>
      <c r="AI19" t="s">
        <v>195</v>
      </c>
      <c r="AJ19" t="s">
        <v>306</v>
      </c>
      <c r="AL19" s="5" t="s">
        <v>23</v>
      </c>
      <c r="AM19" t="s">
        <v>229</v>
      </c>
      <c r="AN19" s="2">
        <f t="shared" si="9"/>
        <v>3</v>
      </c>
      <c r="AO19">
        <v>5</v>
      </c>
      <c r="AP19">
        <v>1</v>
      </c>
      <c r="AQ19">
        <v>0</v>
      </c>
      <c r="AR19">
        <f t="shared" si="10"/>
        <v>4</v>
      </c>
      <c r="AS19">
        <v>2</v>
      </c>
      <c r="AT19">
        <v>5</v>
      </c>
      <c r="AU19">
        <f t="shared" si="11"/>
        <v>-3</v>
      </c>
    </row>
    <row r="20" spans="1:47" x14ac:dyDescent="0.3">
      <c r="A20" s="5" t="s">
        <v>249</v>
      </c>
      <c r="M20" s="6" t="s">
        <v>243</v>
      </c>
      <c r="N20" t="s">
        <v>100</v>
      </c>
      <c r="O20" t="s">
        <v>306</v>
      </c>
      <c r="R20" s="10" t="s">
        <v>79</v>
      </c>
      <c r="S20" t="s">
        <v>100</v>
      </c>
      <c r="T20" t="s">
        <v>306</v>
      </c>
      <c r="V20" s="11" t="s">
        <v>14</v>
      </c>
      <c r="W20" t="s">
        <v>194</v>
      </c>
      <c r="X20" s="2">
        <f>Z20*3+AA20</f>
        <v>10</v>
      </c>
      <c r="Y20">
        <v>5</v>
      </c>
      <c r="Z20">
        <v>3</v>
      </c>
      <c r="AA20">
        <v>1</v>
      </c>
      <c r="AB20">
        <f>Y20-Z20-AA20</f>
        <v>1</v>
      </c>
      <c r="AC20">
        <v>11</v>
      </c>
      <c r="AD20">
        <v>6</v>
      </c>
      <c r="AE20">
        <f>AC20-AD20</f>
        <v>5</v>
      </c>
    </row>
    <row r="21" spans="1:47" x14ac:dyDescent="0.3">
      <c r="A21" t="str">
        <f>B14</f>
        <v>Portuguesa-RJ</v>
      </c>
      <c r="B21" t="s">
        <v>223</v>
      </c>
      <c r="C21" t="str">
        <f>B4</f>
        <v>Maricá</v>
      </c>
      <c r="E21" t="str">
        <f>B4</f>
        <v>Maricá</v>
      </c>
      <c r="F21" t="s">
        <v>308</v>
      </c>
      <c r="G21" t="str">
        <f>B14</f>
        <v>Portuguesa-RJ</v>
      </c>
      <c r="V21" s="11" t="s">
        <v>15</v>
      </c>
      <c r="W21" t="s">
        <v>121</v>
      </c>
      <c r="X21" s="2">
        <f>Z21*3+AA21</f>
        <v>10</v>
      </c>
      <c r="Y21">
        <v>5</v>
      </c>
      <c r="Z21">
        <v>3</v>
      </c>
      <c r="AA21">
        <v>1</v>
      </c>
      <c r="AB21">
        <f>Y21-Z21-AA21</f>
        <v>1</v>
      </c>
      <c r="AC21">
        <v>10</v>
      </c>
      <c r="AD21">
        <v>7</v>
      </c>
      <c r="AE21">
        <f>AC21-AD21</f>
        <v>3</v>
      </c>
      <c r="AG21" t="s">
        <v>131</v>
      </c>
      <c r="AH21" s="6" t="s">
        <v>307</v>
      </c>
      <c r="AI21" t="s">
        <v>102</v>
      </c>
      <c r="AJ21" t="s">
        <v>305</v>
      </c>
      <c r="AL21" s="5" t="s">
        <v>249</v>
      </c>
    </row>
    <row r="22" spans="1:47" x14ac:dyDescent="0.3">
      <c r="A22" t="str">
        <f>B5</f>
        <v>Tombense</v>
      </c>
      <c r="B22" t="s">
        <v>223</v>
      </c>
      <c r="C22" t="str">
        <f>B13</f>
        <v>URT</v>
      </c>
      <c r="E22" t="str">
        <f>B13</f>
        <v>URT</v>
      </c>
      <c r="F22" t="s">
        <v>309</v>
      </c>
      <c r="G22" t="str">
        <f>B5</f>
        <v>Tombense</v>
      </c>
      <c r="V22" t="s">
        <v>17</v>
      </c>
      <c r="W22" t="s">
        <v>136</v>
      </c>
      <c r="X22" s="2">
        <f>Z22*3+AA22</f>
        <v>9</v>
      </c>
      <c r="Y22">
        <v>5</v>
      </c>
      <c r="Z22">
        <v>3</v>
      </c>
      <c r="AA22">
        <v>0</v>
      </c>
      <c r="AB22">
        <f>Y22-Z22-AA22</f>
        <v>2</v>
      </c>
      <c r="AC22">
        <v>13</v>
      </c>
      <c r="AD22">
        <v>8</v>
      </c>
      <c r="AE22">
        <f>AC22-AD22</f>
        <v>5</v>
      </c>
      <c r="AH22" s="6" t="s">
        <v>110</v>
      </c>
      <c r="AI22" t="s">
        <v>135</v>
      </c>
      <c r="AJ22" t="s">
        <v>306</v>
      </c>
      <c r="AL22" t="str">
        <f>AM5</f>
        <v>Baré</v>
      </c>
      <c r="AM22" t="s">
        <v>224</v>
      </c>
      <c r="AN22" t="str">
        <f>AM15</f>
        <v>Itacoatiara</v>
      </c>
    </row>
    <row r="23" spans="1:47" x14ac:dyDescent="0.3">
      <c r="V23" t="s">
        <v>19</v>
      </c>
      <c r="W23" t="s">
        <v>58</v>
      </c>
      <c r="X23" s="2">
        <f>Z23*3+AA23</f>
        <v>8</v>
      </c>
      <c r="Y23">
        <v>5</v>
      </c>
      <c r="Z23">
        <v>2</v>
      </c>
      <c r="AA23">
        <v>2</v>
      </c>
      <c r="AB23">
        <f>Y23-Z23-AA23</f>
        <v>1</v>
      </c>
      <c r="AC23">
        <v>12</v>
      </c>
      <c r="AD23">
        <v>9</v>
      </c>
      <c r="AE23">
        <f>AC23-AD23</f>
        <v>3</v>
      </c>
      <c r="AH23" s="9" t="s">
        <v>223</v>
      </c>
      <c r="AI23" t="s">
        <v>199</v>
      </c>
      <c r="AJ23" t="s">
        <v>305</v>
      </c>
      <c r="AL23" t="str">
        <f>AM14</f>
        <v>Santa Cruz-AC</v>
      </c>
      <c r="AM23" t="s">
        <v>220</v>
      </c>
      <c r="AN23" t="str">
        <f>AM6</f>
        <v>Trem</v>
      </c>
    </row>
    <row r="24" spans="1:47" x14ac:dyDescent="0.3">
      <c r="A24" t="s">
        <v>108</v>
      </c>
      <c r="V24" t="s">
        <v>21</v>
      </c>
      <c r="W24" t="s">
        <v>56</v>
      </c>
      <c r="X24" s="2">
        <f>Z24*3+AA24</f>
        <v>8</v>
      </c>
      <c r="Y24">
        <v>5</v>
      </c>
      <c r="Z24">
        <v>2</v>
      </c>
      <c r="AA24">
        <v>2</v>
      </c>
      <c r="AB24">
        <f>Y24-Z24-AA24</f>
        <v>1</v>
      </c>
      <c r="AC24">
        <v>9</v>
      </c>
      <c r="AD24">
        <v>10</v>
      </c>
      <c r="AE24">
        <f>AC24-AD24</f>
        <v>-1</v>
      </c>
      <c r="AH24" s="10" t="s">
        <v>111</v>
      </c>
      <c r="AI24" t="s">
        <v>129</v>
      </c>
      <c r="AJ24" t="s">
        <v>306</v>
      </c>
    </row>
    <row r="25" spans="1:47" x14ac:dyDescent="0.3">
      <c r="A25" t="s">
        <v>100</v>
      </c>
      <c r="B25" t="s">
        <v>78</v>
      </c>
      <c r="C25" t="s">
        <v>206</v>
      </c>
      <c r="E25" t="s">
        <v>206</v>
      </c>
      <c r="F25" t="s">
        <v>80</v>
      </c>
      <c r="G25" t="s">
        <v>100</v>
      </c>
      <c r="AH25" s="6" t="s">
        <v>220</v>
      </c>
      <c r="AI25" t="s">
        <v>195</v>
      </c>
      <c r="AJ25" t="s">
        <v>306</v>
      </c>
      <c r="AL25" t="s">
        <v>108</v>
      </c>
    </row>
    <row r="26" spans="1:47" x14ac:dyDescent="0.3">
      <c r="V26" t="s">
        <v>312</v>
      </c>
      <c r="AL26" t="s">
        <v>116</v>
      </c>
      <c r="AM26" t="s">
        <v>110</v>
      </c>
      <c r="AN26" t="s">
        <v>181</v>
      </c>
      <c r="AP26" t="s">
        <v>181</v>
      </c>
      <c r="AQ26" t="s">
        <v>221</v>
      </c>
      <c r="AR26" t="s">
        <v>116</v>
      </c>
    </row>
    <row r="27" spans="1:47" x14ac:dyDescent="0.3">
      <c r="V27" t="s">
        <v>4</v>
      </c>
      <c r="W27" t="s">
        <v>5</v>
      </c>
      <c r="X27" t="s">
        <v>6</v>
      </c>
      <c r="Y27" t="s">
        <v>7</v>
      </c>
      <c r="Z27" t="s">
        <v>8</v>
      </c>
      <c r="AA27" t="s">
        <v>9</v>
      </c>
      <c r="AB27" t="s">
        <v>10</v>
      </c>
      <c r="AC27" t="s">
        <v>11</v>
      </c>
      <c r="AD27" t="s">
        <v>12</v>
      </c>
      <c r="AE27" t="s">
        <v>13</v>
      </c>
      <c r="AG27" t="s">
        <v>139</v>
      </c>
      <c r="AH27" s="10" t="s">
        <v>224</v>
      </c>
      <c r="AI27" t="s">
        <v>102</v>
      </c>
      <c r="AJ27" t="s">
        <v>306</v>
      </c>
    </row>
    <row r="28" spans="1:47" x14ac:dyDescent="0.3">
      <c r="V28" s="11" t="s">
        <v>14</v>
      </c>
      <c r="W28" t="s">
        <v>84</v>
      </c>
      <c r="X28" s="2">
        <f>Z28*3+AA28</f>
        <v>8</v>
      </c>
      <c r="Y28">
        <v>5</v>
      </c>
      <c r="Z28">
        <v>2</v>
      </c>
      <c r="AA28">
        <v>2</v>
      </c>
      <c r="AB28">
        <f>Y28-Z28-AA28</f>
        <v>1</v>
      </c>
      <c r="AC28">
        <v>6</v>
      </c>
      <c r="AD28">
        <v>6</v>
      </c>
      <c r="AE28">
        <f>AC28-AD28</f>
        <v>0</v>
      </c>
      <c r="AH28" s="9" t="s">
        <v>223</v>
      </c>
      <c r="AI28" t="s">
        <v>135</v>
      </c>
      <c r="AJ28" t="s">
        <v>306</v>
      </c>
      <c r="AL28" t="s">
        <v>191</v>
      </c>
    </row>
    <row r="29" spans="1:47" x14ac:dyDescent="0.3">
      <c r="V29" s="11" t="s">
        <v>15</v>
      </c>
      <c r="W29" t="s">
        <v>95</v>
      </c>
      <c r="X29" s="2">
        <f>Z29*3+AA29</f>
        <v>7</v>
      </c>
      <c r="Y29">
        <v>5</v>
      </c>
      <c r="Z29">
        <v>2</v>
      </c>
      <c r="AA29">
        <v>1</v>
      </c>
      <c r="AB29">
        <f>Y29-Z29-AA29</f>
        <v>2</v>
      </c>
      <c r="AC29">
        <v>13</v>
      </c>
      <c r="AD29">
        <v>13</v>
      </c>
      <c r="AE29">
        <f>AC29-AD29</f>
        <v>0</v>
      </c>
      <c r="AH29" s="6" t="s">
        <v>313</v>
      </c>
      <c r="AI29" t="s">
        <v>199</v>
      </c>
      <c r="AJ29" t="s">
        <v>305</v>
      </c>
      <c r="AL29" t="s">
        <v>106</v>
      </c>
    </row>
    <row r="30" spans="1:47" x14ac:dyDescent="0.3">
      <c r="V30" t="s">
        <v>17</v>
      </c>
      <c r="W30" t="s">
        <v>200</v>
      </c>
      <c r="X30" s="2">
        <f>Z30*3+AA30</f>
        <v>4</v>
      </c>
      <c r="Y30">
        <v>5</v>
      </c>
      <c r="Z30">
        <v>1</v>
      </c>
      <c r="AA30">
        <v>1</v>
      </c>
      <c r="AB30">
        <f>Y30-Z30-AA30</f>
        <v>3</v>
      </c>
      <c r="AC30">
        <v>5</v>
      </c>
      <c r="AD30">
        <v>10</v>
      </c>
      <c r="AE30">
        <f>AC30-AD30</f>
        <v>-5</v>
      </c>
      <c r="AH30" s="9" t="s">
        <v>80</v>
      </c>
      <c r="AI30" t="s">
        <v>129</v>
      </c>
      <c r="AJ30" t="s">
        <v>306</v>
      </c>
      <c r="AL30" t="s">
        <v>4</v>
      </c>
      <c r="AM30" t="s">
        <v>5</v>
      </c>
      <c r="AN30" t="s">
        <v>6</v>
      </c>
      <c r="AO30" t="s">
        <v>7</v>
      </c>
      <c r="AP30" t="s">
        <v>8</v>
      </c>
      <c r="AQ30" t="s">
        <v>9</v>
      </c>
      <c r="AR30" t="s">
        <v>10</v>
      </c>
      <c r="AS30" t="s">
        <v>11</v>
      </c>
      <c r="AT30" t="s">
        <v>12</v>
      </c>
      <c r="AU30" t="s">
        <v>13</v>
      </c>
    </row>
    <row r="31" spans="1:47" x14ac:dyDescent="0.3">
      <c r="V31" t="s">
        <v>19</v>
      </c>
      <c r="W31" t="s">
        <v>71</v>
      </c>
      <c r="X31" s="2">
        <f>Z31*3+AA31</f>
        <v>3</v>
      </c>
      <c r="Y31">
        <v>5</v>
      </c>
      <c r="Z31">
        <v>1</v>
      </c>
      <c r="AA31">
        <v>0</v>
      </c>
      <c r="AB31">
        <f>Y31-Z31-AA31</f>
        <v>4</v>
      </c>
      <c r="AC31">
        <v>9</v>
      </c>
      <c r="AD31">
        <v>12</v>
      </c>
      <c r="AE31">
        <f>AC31-AD31</f>
        <v>-3</v>
      </c>
      <c r="AH31" s="6" t="s">
        <v>220</v>
      </c>
      <c r="AI31" t="s">
        <v>195</v>
      </c>
      <c r="AJ31" t="s">
        <v>305</v>
      </c>
      <c r="AL31" s="8" t="s">
        <v>14</v>
      </c>
      <c r="AM31" t="s">
        <v>208</v>
      </c>
      <c r="AN31" s="2">
        <f t="shared" ref="AN31:AN36" si="12">AP31*3+AQ31</f>
        <v>12</v>
      </c>
      <c r="AO31">
        <v>5</v>
      </c>
      <c r="AP31">
        <v>4</v>
      </c>
      <c r="AQ31">
        <v>0</v>
      </c>
      <c r="AR31">
        <f t="shared" ref="AR31:AR36" si="13">AO31-AP31-AQ31</f>
        <v>1</v>
      </c>
      <c r="AS31">
        <v>6</v>
      </c>
      <c r="AT31">
        <v>3</v>
      </c>
      <c r="AU31">
        <f t="shared" ref="AU31:AU36" si="14">AS31-AT31</f>
        <v>3</v>
      </c>
    </row>
    <row r="32" spans="1:47" x14ac:dyDescent="0.3">
      <c r="V32" t="s">
        <v>21</v>
      </c>
      <c r="W32" t="s">
        <v>193</v>
      </c>
      <c r="X32" s="2">
        <f>Z32*3+AA32</f>
        <v>2</v>
      </c>
      <c r="Y32">
        <v>5</v>
      </c>
      <c r="Z32">
        <v>0</v>
      </c>
      <c r="AA32">
        <v>2</v>
      </c>
      <c r="AB32">
        <f>Y32-Z32-AA32</f>
        <v>3</v>
      </c>
      <c r="AC32">
        <v>7</v>
      </c>
      <c r="AD32">
        <v>14</v>
      </c>
      <c r="AE32">
        <f>AC32-AD32</f>
        <v>-7</v>
      </c>
      <c r="AL32" s="8" t="s">
        <v>15</v>
      </c>
      <c r="AM32" t="s">
        <v>203</v>
      </c>
      <c r="AN32" s="2">
        <f t="shared" si="12"/>
        <v>7</v>
      </c>
      <c r="AO32">
        <v>5</v>
      </c>
      <c r="AP32">
        <v>2</v>
      </c>
      <c r="AQ32">
        <v>1</v>
      </c>
      <c r="AR32">
        <f t="shared" si="13"/>
        <v>2</v>
      </c>
      <c r="AS32">
        <v>5</v>
      </c>
      <c r="AT32">
        <v>4</v>
      </c>
      <c r="AU32">
        <f t="shared" si="14"/>
        <v>1</v>
      </c>
    </row>
    <row r="33" spans="22:47" x14ac:dyDescent="0.3">
      <c r="AG33" t="s">
        <v>56</v>
      </c>
      <c r="AH33" s="6" t="s">
        <v>314</v>
      </c>
      <c r="AI33" t="s">
        <v>71</v>
      </c>
      <c r="AJ33" t="s">
        <v>305</v>
      </c>
      <c r="AL33" s="5" t="s">
        <v>17</v>
      </c>
      <c r="AM33" t="s">
        <v>158</v>
      </c>
      <c r="AN33" s="2">
        <f t="shared" si="12"/>
        <v>7</v>
      </c>
      <c r="AO33">
        <v>5</v>
      </c>
      <c r="AP33">
        <v>2</v>
      </c>
      <c r="AQ33">
        <v>1</v>
      </c>
      <c r="AR33">
        <f t="shared" si="13"/>
        <v>2</v>
      </c>
      <c r="AS33">
        <v>5</v>
      </c>
      <c r="AT33">
        <v>6</v>
      </c>
      <c r="AU33">
        <f t="shared" si="14"/>
        <v>-1</v>
      </c>
    </row>
    <row r="34" spans="22:47" x14ac:dyDescent="0.3">
      <c r="V34" t="s">
        <v>246</v>
      </c>
      <c r="AH34" s="10" t="s">
        <v>79</v>
      </c>
      <c r="AI34" t="s">
        <v>200</v>
      </c>
      <c r="AJ34" t="s">
        <v>306</v>
      </c>
      <c r="AL34" s="5" t="s">
        <v>19</v>
      </c>
      <c r="AM34" t="s">
        <v>188</v>
      </c>
      <c r="AN34" s="2">
        <f t="shared" si="12"/>
        <v>6</v>
      </c>
      <c r="AO34">
        <v>5</v>
      </c>
      <c r="AP34">
        <v>2</v>
      </c>
      <c r="AQ34">
        <v>0</v>
      </c>
      <c r="AR34">
        <f t="shared" si="13"/>
        <v>3</v>
      </c>
      <c r="AS34">
        <v>4</v>
      </c>
      <c r="AT34">
        <v>5</v>
      </c>
      <c r="AU34">
        <f t="shared" si="14"/>
        <v>-1</v>
      </c>
    </row>
    <row r="35" spans="22:47" x14ac:dyDescent="0.3">
      <c r="V35" t="str">
        <f>W4</f>
        <v>Decisão</v>
      </c>
      <c r="W35" t="s">
        <v>111</v>
      </c>
      <c r="X35" t="str">
        <f>W21</f>
        <v>IAPE</v>
      </c>
      <c r="AH35" s="9" t="s">
        <v>223</v>
      </c>
      <c r="AI35" t="s">
        <v>84</v>
      </c>
      <c r="AJ35" t="s">
        <v>305</v>
      </c>
      <c r="AL35" s="5" t="s">
        <v>21</v>
      </c>
      <c r="AM35" t="s">
        <v>184</v>
      </c>
      <c r="AN35" s="2">
        <f t="shared" si="12"/>
        <v>6</v>
      </c>
      <c r="AO35">
        <v>5</v>
      </c>
      <c r="AP35">
        <v>2</v>
      </c>
      <c r="AQ35">
        <v>0</v>
      </c>
      <c r="AR35">
        <f t="shared" si="13"/>
        <v>3</v>
      </c>
      <c r="AS35">
        <v>4</v>
      </c>
      <c r="AT35">
        <v>5</v>
      </c>
      <c r="AU35">
        <f t="shared" si="14"/>
        <v>-1</v>
      </c>
    </row>
    <row r="36" spans="22:47" x14ac:dyDescent="0.3">
      <c r="V36" t="str">
        <f>W12</f>
        <v>Quixadá</v>
      </c>
      <c r="W36" t="s">
        <v>111</v>
      </c>
      <c r="X36" t="str">
        <f>W29</f>
        <v>Maranhão</v>
      </c>
      <c r="AH36" s="10" t="s">
        <v>226</v>
      </c>
      <c r="AI36" t="s">
        <v>95</v>
      </c>
      <c r="AJ36" t="s">
        <v>306</v>
      </c>
      <c r="AL36" s="5" t="s">
        <v>23</v>
      </c>
      <c r="AM36" t="s">
        <v>141</v>
      </c>
      <c r="AN36" s="2">
        <f t="shared" si="12"/>
        <v>5</v>
      </c>
      <c r="AO36">
        <v>5</v>
      </c>
      <c r="AP36">
        <v>1</v>
      </c>
      <c r="AQ36">
        <v>2</v>
      </c>
      <c r="AR36">
        <f t="shared" si="13"/>
        <v>2</v>
      </c>
      <c r="AS36">
        <v>2</v>
      </c>
      <c r="AT36">
        <v>3</v>
      </c>
      <c r="AU36">
        <f t="shared" si="14"/>
        <v>-1</v>
      </c>
    </row>
    <row r="37" spans="22:47" x14ac:dyDescent="0.3">
      <c r="V37" t="str">
        <f>W20</f>
        <v>Teresina</v>
      </c>
      <c r="W37" t="s">
        <v>315</v>
      </c>
      <c r="X37" t="str">
        <f>W5</f>
        <v>Vitória</v>
      </c>
      <c r="AH37" s="9" t="s">
        <v>80</v>
      </c>
      <c r="AI37" t="s">
        <v>193</v>
      </c>
      <c r="AJ37" t="s">
        <v>306</v>
      </c>
    </row>
    <row r="38" spans="22:47" x14ac:dyDescent="0.3">
      <c r="V38" t="str">
        <f>W28</f>
        <v>Itabaiana</v>
      </c>
      <c r="W38" t="s">
        <v>287</v>
      </c>
      <c r="X38" t="str">
        <f>W13</f>
        <v>Potyguar</v>
      </c>
      <c r="AL38" s="5" t="s">
        <v>107</v>
      </c>
    </row>
    <row r="39" spans="22:47" x14ac:dyDescent="0.3">
      <c r="AG39" t="s">
        <v>58</v>
      </c>
      <c r="AH39" s="10" t="s">
        <v>111</v>
      </c>
      <c r="AI39" t="s">
        <v>71</v>
      </c>
      <c r="AJ39" t="s">
        <v>305</v>
      </c>
      <c r="AL39" t="s">
        <v>4</v>
      </c>
      <c r="AM39" t="s">
        <v>5</v>
      </c>
      <c r="AN39" t="s">
        <v>6</v>
      </c>
      <c r="AO39" t="s">
        <v>7</v>
      </c>
      <c r="AP39" t="s">
        <v>8</v>
      </c>
      <c r="AQ39" t="s">
        <v>9</v>
      </c>
      <c r="AR39" t="s">
        <v>10</v>
      </c>
      <c r="AS39" t="s">
        <v>11</v>
      </c>
      <c r="AT39" t="s">
        <v>12</v>
      </c>
      <c r="AU39" t="s">
        <v>13</v>
      </c>
    </row>
    <row r="40" spans="22:47" x14ac:dyDescent="0.3">
      <c r="V40" t="s">
        <v>249</v>
      </c>
      <c r="AH40" s="10" t="s">
        <v>242</v>
      </c>
      <c r="AI40" t="s">
        <v>200</v>
      </c>
      <c r="AJ40" t="s">
        <v>306</v>
      </c>
      <c r="AL40" s="8" t="s">
        <v>14</v>
      </c>
      <c r="AM40" t="s">
        <v>209</v>
      </c>
      <c r="AN40" s="2">
        <f t="shared" ref="AN40:AN45" si="15">AP40*3+AQ40</f>
        <v>12</v>
      </c>
      <c r="AO40">
        <v>5</v>
      </c>
      <c r="AP40">
        <v>4</v>
      </c>
      <c r="AQ40">
        <v>0</v>
      </c>
      <c r="AR40">
        <f t="shared" ref="AR40:AR45" si="16">AO40-AP40-AQ40</f>
        <v>1</v>
      </c>
      <c r="AS40">
        <v>6</v>
      </c>
      <c r="AT40">
        <v>2</v>
      </c>
      <c r="AU40">
        <f t="shared" ref="AU40:AU45" si="17">AS40-AT40</f>
        <v>4</v>
      </c>
    </row>
    <row r="41" spans="22:47" x14ac:dyDescent="0.3">
      <c r="V41" t="s">
        <v>130</v>
      </c>
      <c r="W41" t="s">
        <v>228</v>
      </c>
      <c r="X41" t="s">
        <v>195</v>
      </c>
      <c r="Z41" t="s">
        <v>195</v>
      </c>
      <c r="AA41" t="s">
        <v>111</v>
      </c>
      <c r="AB41" t="s">
        <v>130</v>
      </c>
      <c r="AH41" s="6" t="s">
        <v>110</v>
      </c>
      <c r="AI41" t="s">
        <v>84</v>
      </c>
      <c r="AJ41" t="s">
        <v>306</v>
      </c>
      <c r="AL41" s="8" t="s">
        <v>15</v>
      </c>
      <c r="AM41" t="s">
        <v>70</v>
      </c>
      <c r="AN41" s="2">
        <f t="shared" si="15"/>
        <v>8</v>
      </c>
      <c r="AO41">
        <v>5</v>
      </c>
      <c r="AP41">
        <v>2</v>
      </c>
      <c r="AQ41">
        <v>2</v>
      </c>
      <c r="AR41">
        <f t="shared" si="16"/>
        <v>1</v>
      </c>
      <c r="AS41">
        <v>6</v>
      </c>
      <c r="AT41">
        <v>5</v>
      </c>
      <c r="AU41">
        <f t="shared" si="17"/>
        <v>1</v>
      </c>
    </row>
    <row r="42" spans="22:47" x14ac:dyDescent="0.3">
      <c r="V42" t="s">
        <v>40</v>
      </c>
      <c r="W42" t="s">
        <v>79</v>
      </c>
      <c r="X42" t="s">
        <v>199</v>
      </c>
      <c r="Z42" t="s">
        <v>199</v>
      </c>
      <c r="AA42" t="s">
        <v>221</v>
      </c>
      <c r="AB42" t="s">
        <v>40</v>
      </c>
      <c r="AH42" s="9" t="s">
        <v>80</v>
      </c>
      <c r="AI42" t="s">
        <v>95</v>
      </c>
      <c r="AJ42" t="s">
        <v>306</v>
      </c>
      <c r="AL42" s="5" t="s">
        <v>17</v>
      </c>
      <c r="AM42" t="s">
        <v>55</v>
      </c>
      <c r="AN42" s="2">
        <f t="shared" si="15"/>
        <v>7</v>
      </c>
      <c r="AO42">
        <v>5</v>
      </c>
      <c r="AP42">
        <v>2</v>
      </c>
      <c r="AQ42">
        <v>1</v>
      </c>
      <c r="AR42">
        <f t="shared" si="16"/>
        <v>2</v>
      </c>
      <c r="AS42">
        <v>4</v>
      </c>
      <c r="AT42">
        <v>3</v>
      </c>
      <c r="AU42">
        <f t="shared" si="17"/>
        <v>1</v>
      </c>
    </row>
    <row r="43" spans="22:47" x14ac:dyDescent="0.3">
      <c r="AH43" s="9" t="s">
        <v>301</v>
      </c>
      <c r="AI43" t="s">
        <v>193</v>
      </c>
      <c r="AJ43" t="s">
        <v>305</v>
      </c>
      <c r="AL43" s="5" t="s">
        <v>19</v>
      </c>
      <c r="AM43" t="s">
        <v>145</v>
      </c>
      <c r="AN43" s="2">
        <f t="shared" si="15"/>
        <v>7</v>
      </c>
      <c r="AO43">
        <v>5</v>
      </c>
      <c r="AP43">
        <v>2</v>
      </c>
      <c r="AQ43">
        <v>1</v>
      </c>
      <c r="AR43">
        <f t="shared" si="16"/>
        <v>2</v>
      </c>
      <c r="AS43">
        <v>5</v>
      </c>
      <c r="AT43">
        <v>6</v>
      </c>
      <c r="AU43">
        <f t="shared" si="17"/>
        <v>-1</v>
      </c>
    </row>
    <row r="44" spans="22:47" x14ac:dyDescent="0.3">
      <c r="V44" t="s">
        <v>108</v>
      </c>
      <c r="AL44" s="5" t="s">
        <v>21</v>
      </c>
      <c r="AM44" t="s">
        <v>103</v>
      </c>
      <c r="AN44" s="2">
        <f t="shared" si="15"/>
        <v>6</v>
      </c>
      <c r="AO44">
        <v>5</v>
      </c>
      <c r="AP44">
        <v>2</v>
      </c>
      <c r="AQ44">
        <v>0</v>
      </c>
      <c r="AR44">
        <f t="shared" si="16"/>
        <v>3</v>
      </c>
      <c r="AS44">
        <v>4</v>
      </c>
      <c r="AT44">
        <v>5</v>
      </c>
      <c r="AU44">
        <f t="shared" si="17"/>
        <v>-1</v>
      </c>
    </row>
    <row r="45" spans="22:47" x14ac:dyDescent="0.3">
      <c r="V45" t="s">
        <v>40</v>
      </c>
      <c r="W45" t="s">
        <v>79</v>
      </c>
      <c r="X45" t="s">
        <v>195</v>
      </c>
      <c r="Z45" t="s">
        <v>195</v>
      </c>
      <c r="AA45" t="s">
        <v>221</v>
      </c>
      <c r="AB45" t="s">
        <v>40</v>
      </c>
      <c r="AG45" t="s">
        <v>136</v>
      </c>
      <c r="AH45" s="10" t="s">
        <v>242</v>
      </c>
      <c r="AI45" t="s">
        <v>71</v>
      </c>
      <c r="AJ45" t="s">
        <v>306</v>
      </c>
      <c r="AL45" s="5" t="s">
        <v>23</v>
      </c>
      <c r="AM45" t="s">
        <v>122</v>
      </c>
      <c r="AN45" s="2">
        <f t="shared" si="15"/>
        <v>3</v>
      </c>
      <c r="AO45">
        <v>5</v>
      </c>
      <c r="AP45">
        <v>1</v>
      </c>
      <c r="AQ45">
        <v>0</v>
      </c>
      <c r="AR45">
        <f t="shared" si="16"/>
        <v>4</v>
      </c>
      <c r="AS45">
        <v>6</v>
      </c>
      <c r="AT45">
        <v>10</v>
      </c>
      <c r="AU45">
        <f t="shared" si="17"/>
        <v>-4</v>
      </c>
    </row>
    <row r="46" spans="22:47" x14ac:dyDescent="0.3">
      <c r="AH46" s="10" t="s">
        <v>236</v>
      </c>
      <c r="AI46" t="s">
        <v>200</v>
      </c>
      <c r="AJ46" t="s">
        <v>305</v>
      </c>
    </row>
    <row r="47" spans="22:47" x14ac:dyDescent="0.3">
      <c r="AH47" s="6" t="s">
        <v>110</v>
      </c>
      <c r="AI47" t="s">
        <v>84</v>
      </c>
      <c r="AJ47" t="s">
        <v>306</v>
      </c>
      <c r="AL47" s="5" t="s">
        <v>249</v>
      </c>
    </row>
    <row r="48" spans="22:47" x14ac:dyDescent="0.3">
      <c r="AH48" s="6" t="s">
        <v>307</v>
      </c>
      <c r="AI48" t="s">
        <v>95</v>
      </c>
      <c r="AJ48" t="s">
        <v>305</v>
      </c>
      <c r="AL48" t="str">
        <f>AM31</f>
        <v>Capixaba</v>
      </c>
      <c r="AM48" t="s">
        <v>111</v>
      </c>
      <c r="AN48" t="str">
        <f>AM41</f>
        <v>Cuiabá</v>
      </c>
    </row>
    <row r="49" spans="33:44" x14ac:dyDescent="0.3">
      <c r="AH49" s="10" t="s">
        <v>224</v>
      </c>
      <c r="AI49" t="s">
        <v>193</v>
      </c>
      <c r="AJ49" t="s">
        <v>306</v>
      </c>
      <c r="AL49" t="str">
        <f>AM40</f>
        <v>Forte</v>
      </c>
      <c r="AM49" t="s">
        <v>220</v>
      </c>
      <c r="AN49" t="str">
        <f>AM32</f>
        <v>Dourados</v>
      </c>
    </row>
    <row r="51" spans="33:44" x14ac:dyDescent="0.3">
      <c r="AG51" t="s">
        <v>121</v>
      </c>
      <c r="AH51" s="10" t="s">
        <v>111</v>
      </c>
      <c r="AI51" t="s">
        <v>71</v>
      </c>
      <c r="AJ51" t="s">
        <v>306</v>
      </c>
      <c r="AL51" t="s">
        <v>108</v>
      </c>
    </row>
    <row r="52" spans="33:44" x14ac:dyDescent="0.3">
      <c r="AH52" s="9" t="s">
        <v>223</v>
      </c>
      <c r="AI52" t="s">
        <v>200</v>
      </c>
      <c r="AJ52" t="s">
        <v>306</v>
      </c>
      <c r="AL52" t="s">
        <v>203</v>
      </c>
      <c r="AM52" t="s">
        <v>220</v>
      </c>
      <c r="AN52" t="s">
        <v>208</v>
      </c>
      <c r="AP52" t="s">
        <v>208</v>
      </c>
      <c r="AQ52" t="s">
        <v>221</v>
      </c>
      <c r="AR52" t="s">
        <v>203</v>
      </c>
    </row>
    <row r="53" spans="33:44" x14ac:dyDescent="0.3">
      <c r="AH53" s="10" t="s">
        <v>78</v>
      </c>
      <c r="AI53" t="s">
        <v>84</v>
      </c>
      <c r="AJ53" t="s">
        <v>306</v>
      </c>
    </row>
    <row r="54" spans="33:44" x14ac:dyDescent="0.3">
      <c r="AH54" s="6" t="s">
        <v>307</v>
      </c>
      <c r="AI54" t="s">
        <v>95</v>
      </c>
      <c r="AJ54" t="s">
        <v>305</v>
      </c>
      <c r="AL54" t="s">
        <v>318</v>
      </c>
    </row>
    <row r="55" spans="33:44" x14ac:dyDescent="0.3">
      <c r="AH55" s="10" t="s">
        <v>236</v>
      </c>
      <c r="AI55" t="s">
        <v>193</v>
      </c>
      <c r="AJ55" t="s">
        <v>305</v>
      </c>
      <c r="AL55" t="s">
        <v>208</v>
      </c>
      <c r="AM55" t="s">
        <v>111</v>
      </c>
      <c r="AN55" t="s">
        <v>181</v>
      </c>
      <c r="AP55" t="s">
        <v>181</v>
      </c>
      <c r="AQ55" t="s">
        <v>223</v>
      </c>
      <c r="AR55" t="s">
        <v>208</v>
      </c>
    </row>
    <row r="57" spans="33:44" x14ac:dyDescent="0.3">
      <c r="AG57" t="s">
        <v>194</v>
      </c>
      <c r="AH57" s="10" t="s">
        <v>236</v>
      </c>
      <c r="AI57" t="s">
        <v>71</v>
      </c>
      <c r="AJ57" t="s">
        <v>306</v>
      </c>
    </row>
    <row r="58" spans="33:44" x14ac:dyDescent="0.3">
      <c r="AH58" s="6" t="s">
        <v>110</v>
      </c>
      <c r="AI58" t="s">
        <v>200</v>
      </c>
      <c r="AJ58" t="s">
        <v>305</v>
      </c>
    </row>
    <row r="59" spans="33:44" x14ac:dyDescent="0.3">
      <c r="AH59" s="9" t="s">
        <v>223</v>
      </c>
      <c r="AI59" t="s">
        <v>84</v>
      </c>
      <c r="AJ59" t="s">
        <v>305</v>
      </c>
    </row>
    <row r="60" spans="33:44" x14ac:dyDescent="0.3">
      <c r="AH60" s="10" t="s">
        <v>236</v>
      </c>
      <c r="AI60" t="s">
        <v>95</v>
      </c>
      <c r="AJ60" t="s">
        <v>306</v>
      </c>
    </row>
    <row r="61" spans="33:44" x14ac:dyDescent="0.3">
      <c r="AH61" s="10" t="s">
        <v>236</v>
      </c>
      <c r="AI61" t="s">
        <v>193</v>
      </c>
      <c r="AJ61" t="s">
        <v>306</v>
      </c>
    </row>
  </sheetData>
  <sortState xmlns:xlrd2="http://schemas.microsoft.com/office/spreadsheetml/2017/richdata2" ref="W28:AE32">
    <sortCondition descending="1" ref="X28:X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Supercopa</vt:lpstr>
      <vt:lpstr>Série A</vt:lpstr>
      <vt:lpstr>Série B</vt:lpstr>
      <vt:lpstr>Série C</vt:lpstr>
      <vt:lpstr>Série D</vt:lpstr>
      <vt:lpstr>Copa do Brasil</vt:lpstr>
      <vt:lpstr>Regionais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Estima</dc:creator>
  <cp:lastModifiedBy>Rafael Estima</cp:lastModifiedBy>
  <dcterms:created xsi:type="dcterms:W3CDTF">2026-05-04T00:12:35Z</dcterms:created>
  <dcterms:modified xsi:type="dcterms:W3CDTF">2026-07-26T05:13:43Z</dcterms:modified>
</cp:coreProperties>
</file>