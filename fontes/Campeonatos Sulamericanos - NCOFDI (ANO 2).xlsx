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2B991F3C-4EC8-4F29-841C-E7259AFC1EBA}" xr6:coauthVersionLast="47" xr6:coauthVersionMax="47" xr10:uidLastSave="{00000000-0000-0000-0000-000000000000}"/>
  <bookViews>
    <workbookView xWindow="-108" yWindow="-108" windowWidth="23256" windowHeight="13176" activeTab="8" xr2:uid="{DA9D9D21-2EDF-453D-8227-D9C0156E511E}"/>
  </bookViews>
  <sheets>
    <sheet name="Argentina" sheetId="1" r:id="rId1"/>
    <sheet name="Bolívia" sheetId="2" r:id="rId2"/>
    <sheet name="Chile" sheetId="3" r:id="rId3"/>
    <sheet name="Colômbia" sheetId="4" r:id="rId4"/>
    <sheet name="Equador" sheetId="5" r:id="rId5"/>
    <sheet name="Paraguai" sheetId="6" r:id="rId6"/>
    <sheet name="Peru" sheetId="7" r:id="rId7"/>
    <sheet name="Uruguai" sheetId="8" r:id="rId8"/>
    <sheet name="Venezuel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26" i="9" l="1"/>
  <c r="AK26" i="9"/>
  <c r="AI26" i="9"/>
  <c r="AG26" i="9"/>
  <c r="AK25" i="9"/>
  <c r="AI25" i="9"/>
  <c r="AG25" i="9"/>
  <c r="AE25" i="9"/>
  <c r="AK24" i="9"/>
  <c r="AI24" i="9"/>
  <c r="AG24" i="9"/>
  <c r="AE24" i="9"/>
  <c r="AK23" i="9"/>
  <c r="AI23" i="9"/>
  <c r="AG23" i="9"/>
  <c r="AE23" i="9"/>
  <c r="AN20" i="9"/>
  <c r="AK20" i="9"/>
  <c r="AG20" i="9"/>
  <c r="AN19" i="9"/>
  <c r="AK19" i="9"/>
  <c r="AG19" i="9"/>
  <c r="AN18" i="9"/>
  <c r="AK18" i="9"/>
  <c r="AG18" i="9"/>
  <c r="AN17" i="9"/>
  <c r="AK17" i="9"/>
  <c r="AG17" i="9"/>
  <c r="AN16" i="9"/>
  <c r="AK16" i="9"/>
  <c r="AG16" i="9"/>
  <c r="AN15" i="9"/>
  <c r="AK15" i="9"/>
  <c r="AG15" i="9"/>
  <c r="AN14" i="9"/>
  <c r="AK14" i="9"/>
  <c r="AG14" i="9"/>
  <c r="AG10" i="9"/>
  <c r="AG9" i="9"/>
  <c r="AG8" i="9"/>
  <c r="AG7" i="9"/>
  <c r="AG6" i="9"/>
  <c r="AG5" i="9"/>
  <c r="AG4" i="9"/>
  <c r="AN10" i="9"/>
  <c r="AK10" i="9"/>
  <c r="AN9" i="9"/>
  <c r="AK9" i="9"/>
  <c r="AN8" i="9"/>
  <c r="AK8" i="9"/>
  <c r="AN7" i="9"/>
  <c r="AK7" i="9"/>
  <c r="AN6" i="9"/>
  <c r="AK6" i="9"/>
  <c r="AN5" i="9"/>
  <c r="AK5" i="9"/>
  <c r="AN4" i="9"/>
  <c r="AK4" i="9"/>
  <c r="U10" i="9"/>
  <c r="R10" i="9"/>
  <c r="N10" i="9"/>
  <c r="U13" i="9"/>
  <c r="R13" i="9"/>
  <c r="N13" i="9"/>
  <c r="U14" i="9"/>
  <c r="R14" i="9"/>
  <c r="N14" i="9"/>
  <c r="U11" i="9"/>
  <c r="R11" i="9"/>
  <c r="N11" i="9"/>
  <c r="U16" i="9"/>
  <c r="R16" i="9"/>
  <c r="N16" i="9"/>
  <c r="U7" i="9"/>
  <c r="R7" i="9"/>
  <c r="N7" i="9"/>
  <c r="U12" i="9"/>
  <c r="R12" i="9"/>
  <c r="N12" i="9"/>
  <c r="U5" i="9"/>
  <c r="R5" i="9"/>
  <c r="N5" i="9"/>
  <c r="U3" i="9"/>
  <c r="R3" i="9"/>
  <c r="N3" i="9"/>
  <c r="U9" i="9"/>
  <c r="R9" i="9"/>
  <c r="N9" i="9"/>
  <c r="U6" i="9"/>
  <c r="R6" i="9"/>
  <c r="N6" i="9"/>
  <c r="U15" i="9"/>
  <c r="R15" i="9"/>
  <c r="N15" i="9"/>
  <c r="U4" i="9"/>
  <c r="R4" i="9"/>
  <c r="N4" i="9"/>
  <c r="U8" i="9"/>
  <c r="R8" i="9"/>
  <c r="N8" i="9"/>
  <c r="U30" i="9"/>
  <c r="R30" i="9"/>
  <c r="N30" i="9"/>
  <c r="U29" i="9"/>
  <c r="R29" i="9"/>
  <c r="N29" i="9"/>
  <c r="U28" i="9"/>
  <c r="R28" i="9"/>
  <c r="N28" i="9"/>
  <c r="U27" i="9"/>
  <c r="R27" i="9"/>
  <c r="N27" i="9"/>
  <c r="U23" i="9"/>
  <c r="R23" i="9"/>
  <c r="N23" i="9"/>
  <c r="U22" i="9"/>
  <c r="R22" i="9"/>
  <c r="N22" i="9"/>
  <c r="U21" i="9"/>
  <c r="R21" i="9"/>
  <c r="N21" i="9"/>
  <c r="U20" i="9"/>
  <c r="R20" i="9"/>
  <c r="N20" i="9"/>
  <c r="J30" i="9"/>
  <c r="G30" i="9"/>
  <c r="C30" i="9"/>
  <c r="J29" i="9"/>
  <c r="G29" i="9"/>
  <c r="C29" i="9"/>
  <c r="J28" i="9"/>
  <c r="G28" i="9"/>
  <c r="C28" i="9"/>
  <c r="J27" i="9"/>
  <c r="G27" i="9"/>
  <c r="C27" i="9"/>
  <c r="J23" i="9"/>
  <c r="G23" i="9"/>
  <c r="C23" i="9"/>
  <c r="J22" i="9"/>
  <c r="G22" i="9"/>
  <c r="C22" i="9"/>
  <c r="J21" i="9"/>
  <c r="G21" i="9"/>
  <c r="C21" i="9"/>
  <c r="J20" i="9"/>
  <c r="G20" i="9"/>
  <c r="C20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J16" i="9"/>
  <c r="G16" i="9"/>
  <c r="J15" i="9"/>
  <c r="G15" i="9"/>
  <c r="J14" i="9"/>
  <c r="G14" i="9"/>
  <c r="J13" i="9"/>
  <c r="G13" i="9"/>
  <c r="J12" i="9"/>
  <c r="G12" i="9"/>
  <c r="J11" i="9"/>
  <c r="G11" i="9"/>
  <c r="J10" i="9"/>
  <c r="G10" i="9"/>
  <c r="J9" i="9"/>
  <c r="G9" i="9"/>
  <c r="J8" i="9"/>
  <c r="G8" i="9"/>
  <c r="J7" i="9"/>
  <c r="G7" i="9"/>
  <c r="J6" i="9"/>
  <c r="G6" i="9"/>
  <c r="J5" i="9"/>
  <c r="G5" i="9"/>
  <c r="J4" i="9"/>
  <c r="G4" i="9"/>
  <c r="J3" i="9"/>
  <c r="G3" i="9"/>
  <c r="U8" i="8"/>
  <c r="R8" i="8"/>
  <c r="N8" i="8"/>
  <c r="U3" i="8"/>
  <c r="R3" i="8"/>
  <c r="N3" i="8"/>
  <c r="U10" i="8"/>
  <c r="R10" i="8"/>
  <c r="N10" i="8"/>
  <c r="U11" i="8"/>
  <c r="R11" i="8"/>
  <c r="N11" i="8"/>
  <c r="U5" i="8"/>
  <c r="R5" i="8"/>
  <c r="N5" i="8"/>
  <c r="U12" i="8"/>
  <c r="R12" i="8"/>
  <c r="N12" i="8"/>
  <c r="U17" i="8"/>
  <c r="R17" i="8"/>
  <c r="N17" i="8"/>
  <c r="U18" i="8"/>
  <c r="R18" i="8"/>
  <c r="N18" i="8"/>
  <c r="U4" i="8"/>
  <c r="R4" i="8"/>
  <c r="N4" i="8"/>
  <c r="U9" i="8"/>
  <c r="R9" i="8"/>
  <c r="N9" i="8"/>
  <c r="U7" i="8"/>
  <c r="R7" i="8"/>
  <c r="N7" i="8"/>
  <c r="U13" i="8"/>
  <c r="R13" i="8"/>
  <c r="N13" i="8"/>
  <c r="U15" i="8"/>
  <c r="R15" i="8"/>
  <c r="N15" i="8"/>
  <c r="U6" i="8"/>
  <c r="R6" i="8"/>
  <c r="N6" i="8"/>
  <c r="U16" i="8"/>
  <c r="R16" i="8"/>
  <c r="N16" i="8"/>
  <c r="U14" i="8"/>
  <c r="R14" i="8"/>
  <c r="N14" i="8"/>
  <c r="C4" i="8"/>
  <c r="C5" i="8"/>
  <c r="C6" i="8"/>
  <c r="C7" i="8"/>
  <c r="C8" i="8"/>
  <c r="C9" i="8"/>
  <c r="C10" i="8"/>
  <c r="C11" i="8"/>
  <c r="G10" i="8"/>
  <c r="G11" i="8"/>
  <c r="G9" i="8"/>
  <c r="G8" i="8"/>
  <c r="G7" i="8"/>
  <c r="G6" i="8"/>
  <c r="G5" i="8"/>
  <c r="G4" i="8"/>
  <c r="G3" i="8"/>
  <c r="J41" i="8"/>
  <c r="G41" i="8"/>
  <c r="C41" i="8"/>
  <c r="J40" i="8"/>
  <c r="G40" i="8"/>
  <c r="C40" i="8"/>
  <c r="J39" i="8"/>
  <c r="G39" i="8"/>
  <c r="C39" i="8"/>
  <c r="J38" i="8"/>
  <c r="G38" i="8"/>
  <c r="C38" i="8"/>
  <c r="J37" i="8"/>
  <c r="G37" i="8"/>
  <c r="C37" i="8"/>
  <c r="J36" i="8"/>
  <c r="G36" i="8"/>
  <c r="C36" i="8"/>
  <c r="J35" i="8"/>
  <c r="G35" i="8"/>
  <c r="C35" i="8"/>
  <c r="J34" i="8"/>
  <c r="G34" i="8"/>
  <c r="C34" i="8"/>
  <c r="J30" i="8"/>
  <c r="G30" i="8"/>
  <c r="C30" i="8"/>
  <c r="J29" i="8"/>
  <c r="G29" i="8"/>
  <c r="C29" i="8"/>
  <c r="J28" i="8"/>
  <c r="G28" i="8"/>
  <c r="C28" i="8"/>
  <c r="J27" i="8"/>
  <c r="G27" i="8"/>
  <c r="C27" i="8"/>
  <c r="J26" i="8"/>
  <c r="G26" i="8"/>
  <c r="C26" i="8"/>
  <c r="J25" i="8"/>
  <c r="G25" i="8"/>
  <c r="C25" i="8"/>
  <c r="J24" i="8"/>
  <c r="G24" i="8"/>
  <c r="C24" i="8"/>
  <c r="J23" i="8"/>
  <c r="G23" i="8"/>
  <c r="C23" i="8"/>
  <c r="C18" i="8"/>
  <c r="C17" i="8"/>
  <c r="C16" i="8"/>
  <c r="C15" i="8"/>
  <c r="C14" i="8"/>
  <c r="C13" i="8"/>
  <c r="C12" i="8"/>
  <c r="C3" i="8"/>
  <c r="J18" i="8"/>
  <c r="G18" i="8"/>
  <c r="J17" i="8"/>
  <c r="G17" i="8"/>
  <c r="J16" i="8"/>
  <c r="G16" i="8"/>
  <c r="J15" i="8"/>
  <c r="G15" i="8"/>
  <c r="J14" i="8"/>
  <c r="G14" i="8"/>
  <c r="J13" i="8"/>
  <c r="G13" i="8"/>
  <c r="J12" i="8"/>
  <c r="G12" i="8"/>
  <c r="J11" i="8"/>
  <c r="J10" i="8"/>
  <c r="J9" i="8"/>
  <c r="J8" i="8"/>
  <c r="J7" i="8"/>
  <c r="J6" i="8"/>
  <c r="J5" i="8"/>
  <c r="J4" i="8"/>
  <c r="J3" i="8"/>
  <c r="AC36" i="7"/>
  <c r="Z36" i="7"/>
  <c r="V36" i="7"/>
  <c r="AC35" i="7"/>
  <c r="Z35" i="7"/>
  <c r="V35" i="7"/>
  <c r="AC34" i="7"/>
  <c r="Z34" i="7"/>
  <c r="V34" i="7"/>
  <c r="AC30" i="7"/>
  <c r="Z30" i="7"/>
  <c r="V30" i="7"/>
  <c r="AC29" i="7"/>
  <c r="Z29" i="7"/>
  <c r="V29" i="7"/>
  <c r="AC28" i="7"/>
  <c r="Z28" i="7"/>
  <c r="V28" i="7"/>
  <c r="AC24" i="7"/>
  <c r="Z24" i="7"/>
  <c r="V24" i="7"/>
  <c r="AC23" i="7"/>
  <c r="Z23" i="7"/>
  <c r="V23" i="7"/>
  <c r="AC22" i="7"/>
  <c r="Z22" i="7"/>
  <c r="V22" i="7"/>
  <c r="AC18" i="7"/>
  <c r="Z18" i="7"/>
  <c r="V18" i="7"/>
  <c r="AC17" i="7"/>
  <c r="Z17" i="7"/>
  <c r="V17" i="7"/>
  <c r="AC16" i="7"/>
  <c r="Z16" i="7"/>
  <c r="V16" i="7"/>
  <c r="AC12" i="7"/>
  <c r="Z12" i="7"/>
  <c r="V12" i="7"/>
  <c r="AC11" i="7"/>
  <c r="Z11" i="7"/>
  <c r="V11" i="7"/>
  <c r="AC10" i="7"/>
  <c r="Z10" i="7"/>
  <c r="V10" i="7"/>
  <c r="AC6" i="7"/>
  <c r="Z6" i="7"/>
  <c r="V6" i="7"/>
  <c r="AC5" i="7"/>
  <c r="Z5" i="7"/>
  <c r="V5" i="7"/>
  <c r="AC4" i="7"/>
  <c r="Z4" i="7"/>
  <c r="V4" i="7"/>
  <c r="J28" i="7"/>
  <c r="G28" i="7"/>
  <c r="J33" i="7"/>
  <c r="G33" i="7"/>
  <c r="J25" i="7"/>
  <c r="G25" i="7"/>
  <c r="J38" i="7"/>
  <c r="G38" i="7"/>
  <c r="J34" i="7"/>
  <c r="G34" i="7"/>
  <c r="J40" i="7"/>
  <c r="G40" i="7"/>
  <c r="J35" i="7"/>
  <c r="G35" i="7"/>
  <c r="J27" i="7"/>
  <c r="G27" i="7"/>
  <c r="J36" i="7"/>
  <c r="G36" i="7"/>
  <c r="J32" i="7"/>
  <c r="G32" i="7"/>
  <c r="J31" i="7"/>
  <c r="G31" i="7"/>
  <c r="J26" i="7"/>
  <c r="G26" i="7"/>
  <c r="J37" i="7"/>
  <c r="G37" i="7"/>
  <c r="J24" i="7"/>
  <c r="G24" i="7"/>
  <c r="J29" i="7"/>
  <c r="G29" i="7"/>
  <c r="J30" i="7"/>
  <c r="G30" i="7"/>
  <c r="J39" i="7"/>
  <c r="G39" i="7"/>
  <c r="C28" i="7"/>
  <c r="C33" i="7"/>
  <c r="C25" i="7"/>
  <c r="C38" i="7"/>
  <c r="C34" i="7"/>
  <c r="C40" i="7"/>
  <c r="C35" i="7"/>
  <c r="C27" i="7"/>
  <c r="C36" i="7"/>
  <c r="C32" i="7"/>
  <c r="C31" i="7"/>
  <c r="C26" i="7"/>
  <c r="C37" i="7"/>
  <c r="C24" i="7"/>
  <c r="C29" i="7"/>
  <c r="C30" i="7"/>
  <c r="C39" i="7"/>
  <c r="J41" i="7"/>
  <c r="G41" i="7"/>
  <c r="C41" i="7"/>
  <c r="J20" i="7"/>
  <c r="G20" i="7"/>
  <c r="C20" i="7"/>
  <c r="J19" i="7"/>
  <c r="G19" i="7"/>
  <c r="C19" i="7"/>
  <c r="J18" i="7"/>
  <c r="G18" i="7"/>
  <c r="C18" i="7"/>
  <c r="J17" i="7"/>
  <c r="G17" i="7"/>
  <c r="C17" i="7"/>
  <c r="J16" i="7"/>
  <c r="G16" i="7"/>
  <c r="C16" i="7"/>
  <c r="J15" i="7"/>
  <c r="G15" i="7"/>
  <c r="C15" i="7"/>
  <c r="J14" i="7"/>
  <c r="G14" i="7"/>
  <c r="C14" i="7"/>
  <c r="J13" i="7"/>
  <c r="G13" i="7"/>
  <c r="C13" i="7"/>
  <c r="J12" i="7"/>
  <c r="G12" i="7"/>
  <c r="C12" i="7"/>
  <c r="J11" i="7"/>
  <c r="G11" i="7"/>
  <c r="C11" i="7"/>
  <c r="J10" i="7"/>
  <c r="G10" i="7"/>
  <c r="C10" i="7"/>
  <c r="J9" i="7"/>
  <c r="G9" i="7"/>
  <c r="C9" i="7"/>
  <c r="J8" i="7"/>
  <c r="G8" i="7"/>
  <c r="C8" i="7"/>
  <c r="J7" i="7"/>
  <c r="G7" i="7"/>
  <c r="C7" i="7"/>
  <c r="J6" i="7"/>
  <c r="G6" i="7"/>
  <c r="C6" i="7"/>
  <c r="J5" i="7"/>
  <c r="G5" i="7"/>
  <c r="C5" i="7"/>
  <c r="J4" i="7"/>
  <c r="G4" i="7"/>
  <c r="C4" i="7"/>
  <c r="J3" i="7"/>
  <c r="G3" i="7"/>
  <c r="C3" i="7"/>
  <c r="J30" i="6"/>
  <c r="G30" i="6"/>
  <c r="C30" i="6"/>
  <c r="J29" i="6"/>
  <c r="G29" i="6"/>
  <c r="C29" i="6"/>
  <c r="J28" i="6"/>
  <c r="G28" i="6"/>
  <c r="C28" i="6"/>
  <c r="J27" i="6"/>
  <c r="G27" i="6"/>
  <c r="C27" i="6"/>
  <c r="J26" i="6"/>
  <c r="G26" i="6"/>
  <c r="C26" i="6"/>
  <c r="J25" i="6"/>
  <c r="G25" i="6"/>
  <c r="C25" i="6"/>
  <c r="J24" i="6"/>
  <c r="G24" i="6"/>
  <c r="C24" i="6"/>
  <c r="J23" i="6"/>
  <c r="G23" i="6"/>
  <c r="C23" i="6"/>
  <c r="J22" i="6"/>
  <c r="G22" i="6"/>
  <c r="C22" i="6"/>
  <c r="J21" i="6"/>
  <c r="G21" i="6"/>
  <c r="C21" i="6"/>
  <c r="J20" i="6"/>
  <c r="G20" i="6"/>
  <c r="C20" i="6"/>
  <c r="J19" i="6"/>
  <c r="G19" i="6"/>
  <c r="C19" i="6"/>
  <c r="J15" i="6"/>
  <c r="G15" i="6"/>
  <c r="C15" i="6"/>
  <c r="J14" i="6"/>
  <c r="G14" i="6"/>
  <c r="C14" i="6"/>
  <c r="J13" i="6"/>
  <c r="G13" i="6"/>
  <c r="C13" i="6"/>
  <c r="J12" i="6"/>
  <c r="G12" i="6"/>
  <c r="C12" i="6"/>
  <c r="J11" i="6"/>
  <c r="G11" i="6"/>
  <c r="C11" i="6"/>
  <c r="J10" i="6"/>
  <c r="G10" i="6"/>
  <c r="C10" i="6"/>
  <c r="J9" i="6"/>
  <c r="G9" i="6"/>
  <c r="C9" i="6"/>
  <c r="J8" i="6"/>
  <c r="G8" i="6"/>
  <c r="C8" i="6"/>
  <c r="J7" i="6"/>
  <c r="G7" i="6"/>
  <c r="C7" i="6"/>
  <c r="J6" i="6"/>
  <c r="G6" i="6"/>
  <c r="C6" i="6"/>
  <c r="J5" i="6"/>
  <c r="G5" i="6"/>
  <c r="C5" i="6"/>
  <c r="J4" i="6"/>
  <c r="G4" i="6"/>
  <c r="C4" i="6"/>
  <c r="J29" i="5"/>
  <c r="G29" i="5"/>
  <c r="C29" i="5"/>
  <c r="J32" i="5"/>
  <c r="G32" i="5"/>
  <c r="C32" i="5"/>
  <c r="J34" i="5"/>
  <c r="G34" i="5"/>
  <c r="C34" i="5"/>
  <c r="J31" i="5"/>
  <c r="G31" i="5"/>
  <c r="C31" i="5"/>
  <c r="J33" i="5"/>
  <c r="G33" i="5"/>
  <c r="C33" i="5"/>
  <c r="J30" i="5"/>
  <c r="G30" i="5"/>
  <c r="C30" i="5"/>
  <c r="J24" i="5"/>
  <c r="G24" i="5"/>
  <c r="C24" i="5"/>
  <c r="J25" i="5"/>
  <c r="G25" i="5"/>
  <c r="C25" i="5"/>
  <c r="J26" i="5"/>
  <c r="G26" i="5"/>
  <c r="C26" i="5"/>
  <c r="J23" i="5"/>
  <c r="G23" i="5"/>
  <c r="C23" i="5"/>
  <c r="J22" i="5"/>
  <c r="G22" i="5"/>
  <c r="C22" i="5"/>
  <c r="J21" i="5"/>
  <c r="G21" i="5"/>
  <c r="C21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AD38" i="4"/>
  <c r="AB38" i="4"/>
  <c r="AF38" i="4"/>
  <c r="Z38" i="4"/>
  <c r="AF37" i="4"/>
  <c r="AD37" i="4"/>
  <c r="AB37" i="4"/>
  <c r="Z37" i="4"/>
  <c r="AF36" i="4"/>
  <c r="AD36" i="4"/>
  <c r="AB36" i="4"/>
  <c r="Z36" i="4"/>
  <c r="AF35" i="4"/>
  <c r="AD35" i="4"/>
  <c r="AB35" i="4"/>
  <c r="Z35" i="4"/>
  <c r="AI32" i="4"/>
  <c r="AF32" i="4"/>
  <c r="AB32" i="4"/>
  <c r="AI31" i="4"/>
  <c r="AF31" i="4"/>
  <c r="AB31" i="4"/>
  <c r="AI30" i="4"/>
  <c r="AF30" i="4"/>
  <c r="AB30" i="4"/>
  <c r="AI29" i="4"/>
  <c r="AF29" i="4"/>
  <c r="AB29" i="4"/>
  <c r="AI28" i="4"/>
  <c r="AF28" i="4"/>
  <c r="AB28" i="4"/>
  <c r="AI24" i="4"/>
  <c r="AF24" i="4"/>
  <c r="AB24" i="4"/>
  <c r="AI23" i="4"/>
  <c r="AF23" i="4"/>
  <c r="AB23" i="4"/>
  <c r="AI22" i="4"/>
  <c r="AF22" i="4"/>
  <c r="AB22" i="4"/>
  <c r="AI21" i="4"/>
  <c r="AF21" i="4"/>
  <c r="AB21" i="4"/>
  <c r="AI20" i="4"/>
  <c r="AF20" i="4"/>
  <c r="AB20" i="4"/>
  <c r="AI16" i="4"/>
  <c r="AF16" i="4"/>
  <c r="AB16" i="4"/>
  <c r="AI15" i="4"/>
  <c r="AF15" i="4"/>
  <c r="AB15" i="4"/>
  <c r="AI14" i="4"/>
  <c r="AF14" i="4"/>
  <c r="AB14" i="4"/>
  <c r="AI13" i="4"/>
  <c r="AF13" i="4"/>
  <c r="AB13" i="4"/>
  <c r="AI12" i="4"/>
  <c r="AF12" i="4"/>
  <c r="AB12" i="4"/>
  <c r="AB8" i="4"/>
  <c r="AB7" i="4"/>
  <c r="AB6" i="4"/>
  <c r="AB5" i="4"/>
  <c r="AB4" i="4"/>
  <c r="AI8" i="4"/>
  <c r="AF8" i="4"/>
  <c r="AI7" i="4"/>
  <c r="AF7" i="4"/>
  <c r="AI6" i="4"/>
  <c r="AF6" i="4"/>
  <c r="AI5" i="4"/>
  <c r="AF5" i="4"/>
  <c r="AI4" i="4"/>
  <c r="AF4" i="4"/>
  <c r="U3" i="4"/>
  <c r="R3" i="4"/>
  <c r="N3" i="4"/>
  <c r="U5" i="4"/>
  <c r="R5" i="4"/>
  <c r="N5" i="4"/>
  <c r="U14" i="4"/>
  <c r="R14" i="4"/>
  <c r="N14" i="4"/>
  <c r="U17" i="4"/>
  <c r="R17" i="4"/>
  <c r="N17" i="4"/>
  <c r="U20" i="4"/>
  <c r="R20" i="4"/>
  <c r="N20" i="4"/>
  <c r="U6" i="4"/>
  <c r="R6" i="4"/>
  <c r="N6" i="4"/>
  <c r="U16" i="4"/>
  <c r="R16" i="4"/>
  <c r="N16" i="4"/>
  <c r="U8" i="4"/>
  <c r="R8" i="4"/>
  <c r="N8" i="4"/>
  <c r="U21" i="4"/>
  <c r="R21" i="4"/>
  <c r="N21" i="4"/>
  <c r="U19" i="4"/>
  <c r="R19" i="4"/>
  <c r="N19" i="4"/>
  <c r="U13" i="4"/>
  <c r="R13" i="4"/>
  <c r="N13" i="4"/>
  <c r="U18" i="4"/>
  <c r="R18" i="4"/>
  <c r="N18" i="4"/>
  <c r="U10" i="4"/>
  <c r="R10" i="4"/>
  <c r="N10" i="4"/>
  <c r="U22" i="4"/>
  <c r="R22" i="4"/>
  <c r="N22" i="4"/>
  <c r="U7" i="4"/>
  <c r="R7" i="4"/>
  <c r="N7" i="4"/>
  <c r="U15" i="4"/>
  <c r="R15" i="4"/>
  <c r="N15" i="4"/>
  <c r="U4" i="4"/>
  <c r="R4" i="4"/>
  <c r="N4" i="4"/>
  <c r="U12" i="4"/>
  <c r="R12" i="4"/>
  <c r="N12" i="4"/>
  <c r="U9" i="4"/>
  <c r="R9" i="4"/>
  <c r="N9" i="4"/>
  <c r="U11" i="4"/>
  <c r="R11" i="4"/>
  <c r="N11" i="4"/>
  <c r="U36" i="4"/>
  <c r="R36" i="4"/>
  <c r="N36" i="4"/>
  <c r="U35" i="4"/>
  <c r="R35" i="4"/>
  <c r="N35" i="4"/>
  <c r="U34" i="4"/>
  <c r="R34" i="4"/>
  <c r="N34" i="4"/>
  <c r="U33" i="4"/>
  <c r="R33" i="4"/>
  <c r="N33" i="4"/>
  <c r="N29" i="4"/>
  <c r="N28" i="4"/>
  <c r="N27" i="4"/>
  <c r="N26" i="4"/>
  <c r="U29" i="4"/>
  <c r="R29" i="4"/>
  <c r="U28" i="4"/>
  <c r="R28" i="4"/>
  <c r="U27" i="4"/>
  <c r="R27" i="4"/>
  <c r="U26" i="4"/>
  <c r="R26" i="4"/>
  <c r="E28" i="4"/>
  <c r="C28" i="4"/>
  <c r="E25" i="4"/>
  <c r="C25" i="4"/>
  <c r="C18" i="4"/>
  <c r="C19" i="4"/>
  <c r="C20" i="4"/>
  <c r="C21" i="4"/>
  <c r="C22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J22" i="4"/>
  <c r="G22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U28" i="3"/>
  <c r="R28" i="3"/>
  <c r="N28" i="3"/>
  <c r="U27" i="3"/>
  <c r="R27" i="3"/>
  <c r="N27" i="3"/>
  <c r="U26" i="3"/>
  <c r="R26" i="3"/>
  <c r="N26" i="3"/>
  <c r="U25" i="3"/>
  <c r="R25" i="3"/>
  <c r="N25" i="3"/>
  <c r="U21" i="3"/>
  <c r="R21" i="3"/>
  <c r="N21" i="3"/>
  <c r="U20" i="3"/>
  <c r="R20" i="3"/>
  <c r="N20" i="3"/>
  <c r="U19" i="3"/>
  <c r="R19" i="3"/>
  <c r="N19" i="3"/>
  <c r="U18" i="3"/>
  <c r="R18" i="3"/>
  <c r="N18" i="3"/>
  <c r="U14" i="3"/>
  <c r="R14" i="3"/>
  <c r="N14" i="3"/>
  <c r="U13" i="3"/>
  <c r="R13" i="3"/>
  <c r="N13" i="3"/>
  <c r="U12" i="3"/>
  <c r="R12" i="3"/>
  <c r="N12" i="3"/>
  <c r="U11" i="3"/>
  <c r="R11" i="3"/>
  <c r="N11" i="3"/>
  <c r="N7" i="3"/>
  <c r="N6" i="3"/>
  <c r="N5" i="3"/>
  <c r="N4" i="3"/>
  <c r="U7" i="3"/>
  <c r="R7" i="3"/>
  <c r="U6" i="3"/>
  <c r="R6" i="3"/>
  <c r="U5" i="3"/>
  <c r="R5" i="3"/>
  <c r="U4" i="3"/>
  <c r="R4" i="3"/>
  <c r="J18" i="3"/>
  <c r="G18" i="3"/>
  <c r="C18" i="3"/>
  <c r="J17" i="3"/>
  <c r="G17" i="3"/>
  <c r="C17" i="3"/>
  <c r="J16" i="3"/>
  <c r="G16" i="3"/>
  <c r="C16" i="3"/>
  <c r="J15" i="3"/>
  <c r="G15" i="3"/>
  <c r="C15" i="3"/>
  <c r="J14" i="3"/>
  <c r="G14" i="3"/>
  <c r="C14" i="3"/>
  <c r="J13" i="3"/>
  <c r="G13" i="3"/>
  <c r="C13" i="3"/>
  <c r="J12" i="3"/>
  <c r="G12" i="3"/>
  <c r="C12" i="3"/>
  <c r="J11" i="3"/>
  <c r="G11" i="3"/>
  <c r="C11" i="3"/>
  <c r="J10" i="3"/>
  <c r="G10" i="3"/>
  <c r="C10" i="3"/>
  <c r="J9" i="3"/>
  <c r="G9" i="3"/>
  <c r="C9" i="3"/>
  <c r="J8" i="3"/>
  <c r="G8" i="3"/>
  <c r="C8" i="3"/>
  <c r="J7" i="3"/>
  <c r="G7" i="3"/>
  <c r="C7" i="3"/>
  <c r="J6" i="3"/>
  <c r="G6" i="3"/>
  <c r="C6" i="3"/>
  <c r="J5" i="3"/>
  <c r="G5" i="3"/>
  <c r="C5" i="3"/>
  <c r="J4" i="3"/>
  <c r="G4" i="3"/>
  <c r="C4" i="3"/>
  <c r="J3" i="3"/>
  <c r="G3" i="3"/>
  <c r="C3" i="3"/>
  <c r="R34" i="2"/>
  <c r="P34" i="2"/>
  <c r="N34" i="2"/>
  <c r="L34" i="2"/>
  <c r="R33" i="2"/>
  <c r="P33" i="2"/>
  <c r="N33" i="2"/>
  <c r="L33" i="2"/>
  <c r="R32" i="2"/>
  <c r="P32" i="2"/>
  <c r="N32" i="2"/>
  <c r="L32" i="2"/>
  <c r="R31" i="2"/>
  <c r="P31" i="2"/>
  <c r="N31" i="2"/>
  <c r="L31" i="2"/>
  <c r="U28" i="2"/>
  <c r="R28" i="2"/>
  <c r="N28" i="2"/>
  <c r="U27" i="2"/>
  <c r="R27" i="2"/>
  <c r="N27" i="2"/>
  <c r="U26" i="2"/>
  <c r="R26" i="2"/>
  <c r="N26" i="2"/>
  <c r="U25" i="2"/>
  <c r="R25" i="2"/>
  <c r="N25" i="2"/>
  <c r="U21" i="2"/>
  <c r="R21" i="2"/>
  <c r="N21" i="2"/>
  <c r="U20" i="2"/>
  <c r="R20" i="2"/>
  <c r="N20" i="2"/>
  <c r="U19" i="2"/>
  <c r="R19" i="2"/>
  <c r="N19" i="2"/>
  <c r="U18" i="2"/>
  <c r="R18" i="2"/>
  <c r="N18" i="2"/>
  <c r="U14" i="2"/>
  <c r="R14" i="2"/>
  <c r="N14" i="2"/>
  <c r="U13" i="2"/>
  <c r="R13" i="2"/>
  <c r="N13" i="2"/>
  <c r="U12" i="2"/>
  <c r="R12" i="2"/>
  <c r="N12" i="2"/>
  <c r="U11" i="2"/>
  <c r="R11" i="2"/>
  <c r="N11" i="2"/>
  <c r="U7" i="2"/>
  <c r="R7" i="2"/>
  <c r="N7" i="2"/>
  <c r="U6" i="2"/>
  <c r="R6" i="2"/>
  <c r="N6" i="2"/>
  <c r="U5" i="2"/>
  <c r="R5" i="2"/>
  <c r="N5" i="2"/>
  <c r="U4" i="2"/>
  <c r="R4" i="2"/>
  <c r="N4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AH42" i="1"/>
  <c r="AH40" i="1"/>
  <c r="AH41" i="1"/>
  <c r="AH36" i="1"/>
  <c r="AH39" i="1"/>
  <c r="AH38" i="1"/>
  <c r="AH37" i="1"/>
  <c r="AH33" i="1"/>
  <c r="AH34" i="1"/>
  <c r="AH32" i="1"/>
  <c r="AH35" i="1"/>
  <c r="AH30" i="1"/>
  <c r="AH31" i="1"/>
  <c r="AH29" i="1"/>
  <c r="AH28" i="1"/>
  <c r="AH27" i="1"/>
  <c r="AH26" i="1"/>
  <c r="AH25" i="1"/>
  <c r="AH18" i="1"/>
  <c r="AH19" i="1"/>
  <c r="AH21" i="1"/>
  <c r="AH20" i="1"/>
  <c r="AH16" i="1"/>
  <c r="AH14" i="1"/>
  <c r="AH17" i="1"/>
  <c r="AH13" i="1"/>
  <c r="AH15" i="1"/>
  <c r="AH12" i="1"/>
  <c r="AH10" i="1"/>
  <c r="AH7" i="1"/>
  <c r="AH9" i="1"/>
  <c r="AH11" i="1"/>
  <c r="AH8" i="1"/>
  <c r="AH6" i="1"/>
  <c r="AH5" i="1"/>
  <c r="AH4" i="1"/>
  <c r="AH55" i="1"/>
  <c r="AF55" i="1"/>
  <c r="AH54" i="1"/>
  <c r="AF54" i="1"/>
  <c r="AH53" i="1"/>
  <c r="AF53" i="1"/>
  <c r="AH52" i="1"/>
  <c r="AF52" i="1"/>
  <c r="AH51" i="1"/>
  <c r="AF51" i="1"/>
  <c r="AH50" i="1"/>
  <c r="AF50" i="1"/>
  <c r="AH49" i="1"/>
  <c r="AF49" i="1"/>
  <c r="AO42" i="1"/>
  <c r="AL42" i="1"/>
  <c r="AO40" i="1"/>
  <c r="AL40" i="1"/>
  <c r="AO41" i="1"/>
  <c r="AL41" i="1"/>
  <c r="AO36" i="1"/>
  <c r="AL36" i="1"/>
  <c r="AO39" i="1"/>
  <c r="AL39" i="1"/>
  <c r="AO38" i="1"/>
  <c r="AL38" i="1"/>
  <c r="AO37" i="1"/>
  <c r="AL37" i="1"/>
  <c r="AO33" i="1"/>
  <c r="AL33" i="1"/>
  <c r="AO34" i="1"/>
  <c r="AL34" i="1"/>
  <c r="AO32" i="1"/>
  <c r="AL32" i="1"/>
  <c r="AO35" i="1"/>
  <c r="AL35" i="1"/>
  <c r="AO30" i="1"/>
  <c r="AL30" i="1"/>
  <c r="AO31" i="1"/>
  <c r="AL31" i="1"/>
  <c r="AO29" i="1"/>
  <c r="AL29" i="1"/>
  <c r="AO28" i="1"/>
  <c r="AL28" i="1"/>
  <c r="AO27" i="1"/>
  <c r="AL27" i="1"/>
  <c r="AO26" i="1"/>
  <c r="AL26" i="1"/>
  <c r="AO25" i="1"/>
  <c r="AL25" i="1"/>
  <c r="AO21" i="1"/>
  <c r="AL21" i="1"/>
  <c r="AO19" i="1"/>
  <c r="AL19" i="1"/>
  <c r="AO18" i="1"/>
  <c r="AL18" i="1"/>
  <c r="AO20" i="1"/>
  <c r="AL20" i="1"/>
  <c r="AO16" i="1"/>
  <c r="AL16" i="1"/>
  <c r="AO14" i="1"/>
  <c r="AL14" i="1"/>
  <c r="AO17" i="1"/>
  <c r="AL17" i="1"/>
  <c r="AO13" i="1"/>
  <c r="AL13" i="1"/>
  <c r="AO15" i="1"/>
  <c r="AL15" i="1"/>
  <c r="AO12" i="1"/>
  <c r="AL12" i="1"/>
  <c r="AO10" i="1"/>
  <c r="AL10" i="1"/>
  <c r="AO7" i="1"/>
  <c r="AL7" i="1"/>
  <c r="AO9" i="1"/>
  <c r="AL9" i="1"/>
  <c r="AO11" i="1"/>
  <c r="AL11" i="1"/>
  <c r="AO8" i="1"/>
  <c r="AL8" i="1"/>
  <c r="AO6" i="1"/>
  <c r="AL6" i="1"/>
  <c r="AO5" i="1"/>
  <c r="AL5" i="1"/>
  <c r="AO4" i="1"/>
  <c r="AL4" i="1"/>
  <c r="AB35" i="1"/>
  <c r="AB41" i="1"/>
  <c r="AB53" i="1"/>
  <c r="AB58" i="1"/>
  <c r="AB47" i="1"/>
  <c r="AB44" i="1"/>
  <c r="AB45" i="1"/>
  <c r="AB54" i="1"/>
  <c r="AB42" i="1"/>
  <c r="AB48" i="1"/>
  <c r="AB51" i="1"/>
  <c r="AB39" i="1"/>
  <c r="AB55" i="1"/>
  <c r="AB46" i="1"/>
  <c r="AB59" i="1"/>
  <c r="AB60" i="1"/>
  <c r="AB43" i="1"/>
  <c r="AB63" i="1"/>
  <c r="AB61" i="1"/>
  <c r="AB49" i="1"/>
  <c r="AB50" i="1"/>
  <c r="AB56" i="1"/>
  <c r="AB38" i="1"/>
  <c r="AB52" i="1"/>
  <c r="AB62" i="1"/>
  <c r="AB40" i="1"/>
  <c r="AB57" i="1"/>
  <c r="AB64" i="1"/>
  <c r="AB37" i="1"/>
  <c r="AB36" i="1"/>
  <c r="N18" i="1"/>
  <c r="N16" i="1"/>
  <c r="N17" i="1"/>
  <c r="N15" i="1"/>
  <c r="N12" i="1"/>
  <c r="N13" i="1"/>
  <c r="N11" i="1"/>
  <c r="N10" i="1"/>
  <c r="N14" i="1"/>
  <c r="N9" i="1"/>
  <c r="N8" i="1"/>
  <c r="N7" i="1"/>
  <c r="N6" i="1"/>
  <c r="N5" i="1"/>
  <c r="N4" i="1"/>
  <c r="N36" i="1"/>
  <c r="N34" i="1"/>
  <c r="N33" i="1"/>
  <c r="N35" i="1"/>
  <c r="N32" i="1"/>
  <c r="N27" i="1"/>
  <c r="N30" i="1"/>
  <c r="N26" i="1"/>
  <c r="N28" i="1"/>
  <c r="N31" i="1"/>
  <c r="N24" i="1"/>
  <c r="N29" i="1"/>
  <c r="N22" i="1"/>
  <c r="N25" i="1"/>
  <c r="N23" i="1"/>
  <c r="C36" i="1"/>
  <c r="C33" i="1"/>
  <c r="C34" i="1"/>
  <c r="C29" i="1"/>
  <c r="C35" i="1"/>
  <c r="C31" i="1"/>
  <c r="C30" i="1"/>
  <c r="C26" i="1"/>
  <c r="C28" i="1"/>
  <c r="C32" i="1"/>
  <c r="C27" i="1"/>
  <c r="C25" i="1"/>
  <c r="C24" i="1"/>
  <c r="C22" i="1"/>
  <c r="C23" i="1"/>
  <c r="C5" i="1"/>
  <c r="C4" i="1"/>
  <c r="C7" i="1"/>
  <c r="C8" i="1"/>
  <c r="C11" i="1"/>
  <c r="C12" i="1"/>
  <c r="C10" i="1"/>
  <c r="C9" i="1"/>
  <c r="C13" i="1"/>
  <c r="C15" i="1"/>
  <c r="C14" i="1"/>
  <c r="C16" i="1"/>
  <c r="C18" i="1"/>
  <c r="C17" i="1"/>
  <c r="C6" i="1"/>
  <c r="AD37" i="1" l="1"/>
  <c r="AD64" i="1"/>
  <c r="AD57" i="1"/>
  <c r="AD40" i="1"/>
  <c r="AD62" i="1"/>
  <c r="AD52" i="1"/>
  <c r="AD38" i="1"/>
  <c r="AD56" i="1"/>
  <c r="AD50" i="1"/>
  <c r="AD49" i="1"/>
  <c r="AD61" i="1"/>
  <c r="AD63" i="1"/>
  <c r="AD43" i="1"/>
  <c r="AD60" i="1"/>
  <c r="AD59" i="1"/>
  <c r="AD46" i="1"/>
  <c r="AD55" i="1"/>
  <c r="AD39" i="1"/>
  <c r="AD51" i="1"/>
  <c r="N46" i="1"/>
  <c r="L46" i="1"/>
  <c r="C46" i="1"/>
  <c r="A46" i="1"/>
  <c r="AD48" i="1"/>
  <c r="N45" i="1"/>
  <c r="L45" i="1"/>
  <c r="C45" i="1"/>
  <c r="A45" i="1"/>
  <c r="AD42" i="1"/>
  <c r="N44" i="1"/>
  <c r="L44" i="1"/>
  <c r="C44" i="1"/>
  <c r="A44" i="1"/>
  <c r="AD54" i="1"/>
  <c r="N43" i="1"/>
  <c r="L43" i="1"/>
  <c r="C43" i="1"/>
  <c r="A43" i="1"/>
  <c r="AD45" i="1"/>
  <c r="N42" i="1"/>
  <c r="L42" i="1"/>
  <c r="C42" i="1"/>
  <c r="A42" i="1"/>
  <c r="AD44" i="1"/>
  <c r="N41" i="1"/>
  <c r="L41" i="1"/>
  <c r="C41" i="1"/>
  <c r="A41" i="1"/>
  <c r="AD47" i="1"/>
  <c r="N40" i="1"/>
  <c r="L40" i="1"/>
  <c r="C40" i="1"/>
  <c r="A40" i="1"/>
  <c r="AD58" i="1"/>
  <c r="N39" i="1"/>
  <c r="L39" i="1"/>
  <c r="C39" i="1"/>
  <c r="A39" i="1"/>
  <c r="AD53" i="1"/>
  <c r="AD41" i="1"/>
  <c r="AD35" i="1"/>
  <c r="U36" i="1"/>
  <c r="R36" i="1"/>
  <c r="J36" i="1"/>
  <c r="G36" i="1"/>
  <c r="AD36" i="1"/>
  <c r="U34" i="1"/>
  <c r="R34" i="1"/>
  <c r="J33" i="1"/>
  <c r="G33" i="1"/>
  <c r="U33" i="1"/>
  <c r="R33" i="1"/>
  <c r="J34" i="1"/>
  <c r="G34" i="1"/>
  <c r="U35" i="1"/>
  <c r="R35" i="1"/>
  <c r="J29" i="1"/>
  <c r="G29" i="1"/>
  <c r="U32" i="1"/>
  <c r="R32" i="1"/>
  <c r="J35" i="1"/>
  <c r="G35" i="1"/>
  <c r="U27" i="1"/>
  <c r="R27" i="1"/>
  <c r="J31" i="1"/>
  <c r="G31" i="1"/>
  <c r="U30" i="1"/>
  <c r="R30" i="1"/>
  <c r="J30" i="1"/>
  <c r="G30" i="1"/>
  <c r="U26" i="1"/>
  <c r="R26" i="1"/>
  <c r="J26" i="1"/>
  <c r="G26" i="1"/>
  <c r="U28" i="1"/>
  <c r="R28" i="1"/>
  <c r="J28" i="1"/>
  <c r="G28" i="1"/>
  <c r="U31" i="1"/>
  <c r="R31" i="1"/>
  <c r="J32" i="1"/>
  <c r="G32" i="1"/>
  <c r="U24" i="1"/>
  <c r="R24" i="1"/>
  <c r="J27" i="1"/>
  <c r="G27" i="1"/>
  <c r="U29" i="1"/>
  <c r="R29" i="1"/>
  <c r="J25" i="1"/>
  <c r="G25" i="1"/>
  <c r="U22" i="1"/>
  <c r="R22" i="1"/>
  <c r="J24" i="1"/>
  <c r="G24" i="1"/>
  <c r="U25" i="1"/>
  <c r="R25" i="1"/>
  <c r="J22" i="1"/>
  <c r="G22" i="1"/>
  <c r="U23" i="1"/>
  <c r="R23" i="1"/>
  <c r="J23" i="1"/>
  <c r="G23" i="1"/>
  <c r="U18" i="1"/>
  <c r="R18" i="1"/>
  <c r="J17" i="1"/>
  <c r="G17" i="1"/>
  <c r="U16" i="1"/>
  <c r="R16" i="1"/>
  <c r="J18" i="1"/>
  <c r="G18" i="1"/>
  <c r="U17" i="1"/>
  <c r="R17" i="1"/>
  <c r="J16" i="1"/>
  <c r="G16" i="1"/>
  <c r="U15" i="1"/>
  <c r="R15" i="1"/>
  <c r="J14" i="1"/>
  <c r="G14" i="1"/>
  <c r="U12" i="1"/>
  <c r="R12" i="1"/>
  <c r="J15" i="1"/>
  <c r="G15" i="1"/>
  <c r="U13" i="1"/>
  <c r="R13" i="1"/>
  <c r="J13" i="1"/>
  <c r="G13" i="1"/>
  <c r="U11" i="1"/>
  <c r="R11" i="1"/>
  <c r="J9" i="1"/>
  <c r="G9" i="1"/>
  <c r="U10" i="1"/>
  <c r="R10" i="1"/>
  <c r="J10" i="1"/>
  <c r="G10" i="1"/>
  <c r="U14" i="1"/>
  <c r="R14" i="1"/>
  <c r="J12" i="1"/>
  <c r="G12" i="1"/>
  <c r="U9" i="1"/>
  <c r="R9" i="1"/>
  <c r="J11" i="1"/>
  <c r="G11" i="1"/>
  <c r="U8" i="1"/>
  <c r="R8" i="1"/>
  <c r="J8" i="1"/>
  <c r="G8" i="1"/>
  <c r="U7" i="1"/>
  <c r="R7" i="1"/>
  <c r="J7" i="1"/>
  <c r="G7" i="1"/>
  <c r="U6" i="1"/>
  <c r="R6" i="1"/>
  <c r="J4" i="1"/>
  <c r="G4" i="1"/>
  <c r="U5" i="1"/>
  <c r="R5" i="1"/>
  <c r="J5" i="1"/>
  <c r="G5" i="1"/>
  <c r="U4" i="1"/>
  <c r="R4" i="1"/>
  <c r="J6" i="1"/>
  <c r="G6" i="1"/>
</calcChain>
</file>

<file path=xl/sharedStrings.xml><?xml version="1.0" encoding="utf-8"?>
<sst xmlns="http://schemas.openxmlformats.org/spreadsheetml/2006/main" count="2453" uniqueCount="325">
  <si>
    <t>Apertura</t>
  </si>
  <si>
    <t>Clausura</t>
  </si>
  <si>
    <t>Tabela acumulada</t>
  </si>
  <si>
    <t>Grupo A</t>
  </si>
  <si>
    <t>1.</t>
  </si>
  <si>
    <t>Lanús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</si>
  <si>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</si>
  <si>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</si>
  <si>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</si>
  <si>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</si>
  <si>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</si>
  <si>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</si>
  <si>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</si>
  <si>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</si>
  <si>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</si>
  <si>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</si>
  <si>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2.</t>
  </si>
  <si>
    <t>Racing</t>
  </si>
  <si>
    <t>Boca Juniors</t>
  </si>
  <si>
    <t>CF</t>
  </si>
  <si>
    <t>Barracas Central</t>
  </si>
  <si>
    <t>3.</t>
  </si>
  <si>
    <t>Independiente Rivadavia</t>
  </si>
  <si>
    <t>FC</t>
  </si>
  <si>
    <t>4.</t>
  </si>
  <si>
    <t>Sarmiento</t>
  </si>
  <si>
    <t>San Lorenzo</t>
  </si>
  <si>
    <t>5.</t>
  </si>
  <si>
    <t>Vélez</t>
  </si>
  <si>
    <t>Belgrano</t>
  </si>
  <si>
    <t>Atlético Tucumán</t>
  </si>
  <si>
    <t>6.</t>
  </si>
  <si>
    <t>Banfield</t>
  </si>
  <si>
    <t>Estudiantes Río Cuarto</t>
  </si>
  <si>
    <t>7.</t>
  </si>
  <si>
    <t>Tigre</t>
  </si>
  <si>
    <t>Independiente</t>
  </si>
  <si>
    <t>8.</t>
  </si>
  <si>
    <t>9.</t>
  </si>
  <si>
    <t>Platense</t>
  </si>
  <si>
    <t>Rosario Central</t>
  </si>
  <si>
    <t>10.</t>
  </si>
  <si>
    <t>Deportivo Riestra</t>
  </si>
  <si>
    <t>11.</t>
  </si>
  <si>
    <t>12.</t>
  </si>
  <si>
    <t>Argentinos Juniors</t>
  </si>
  <si>
    <t>Aldosivi</t>
  </si>
  <si>
    <t>13.</t>
  </si>
  <si>
    <t>River Plate</t>
  </si>
  <si>
    <t>14.</t>
  </si>
  <si>
    <t>Instituto</t>
  </si>
  <si>
    <t>15.</t>
  </si>
  <si>
    <t>Unión</t>
  </si>
  <si>
    <t>16.</t>
  </si>
  <si>
    <t>17.</t>
  </si>
  <si>
    <t>18.</t>
  </si>
  <si>
    <t>Grupo B</t>
  </si>
  <si>
    <t>19.</t>
  </si>
  <si>
    <t>20.</t>
  </si>
  <si>
    <t>21.</t>
  </si>
  <si>
    <t>22.</t>
  </si>
  <si>
    <t>Huracán</t>
  </si>
  <si>
    <t>23.</t>
  </si>
  <si>
    <t>Defensa y Justicia</t>
  </si>
  <si>
    <t>24.</t>
  </si>
  <si>
    <t>Central Córdoba</t>
  </si>
  <si>
    <t>25.</t>
  </si>
  <si>
    <t>Estudiantes</t>
  </si>
  <si>
    <t>26.</t>
  </si>
  <si>
    <t>Talleres</t>
  </si>
  <si>
    <t>27.</t>
  </si>
  <si>
    <t>28.</t>
  </si>
  <si>
    <t>Newells</t>
  </si>
  <si>
    <t>29.</t>
  </si>
  <si>
    <t>30.</t>
  </si>
  <si>
    <t>Promedios</t>
  </si>
  <si>
    <t>Total</t>
  </si>
  <si>
    <t>Média</t>
  </si>
  <si>
    <t>Oitavas de final</t>
  </si>
  <si>
    <t>1x1 (3x4)</t>
  </si>
  <si>
    <t>0x2</t>
  </si>
  <si>
    <t>2x0</t>
  </si>
  <si>
    <t>0x0 (6x5)</t>
  </si>
  <si>
    <t>2x1</t>
  </si>
  <si>
    <t>0x1</t>
  </si>
  <si>
    <t>1x1 (5x4)</t>
  </si>
  <si>
    <t>1x1 (4x5)</t>
  </si>
  <si>
    <t>1x0</t>
  </si>
  <si>
    <t>0x0 (4x3)</t>
  </si>
  <si>
    <t>1x2</t>
  </si>
  <si>
    <t>1x1 (4x3)</t>
  </si>
  <si>
    <t>Quartas de final</t>
  </si>
  <si>
    <t>3x0</t>
  </si>
  <si>
    <t>0x0 (3x4)</t>
  </si>
  <si>
    <t>Semifinal</t>
  </si>
  <si>
    <t>0x0 (7x8)</t>
  </si>
  <si>
    <t>Final</t>
  </si>
  <si>
    <t>4x1</t>
  </si>
  <si>
    <t>Quilmes</t>
  </si>
  <si>
    <t>Gimnasia de Mendoza</t>
  </si>
  <si>
    <t>Gimnasia LP</t>
  </si>
  <si>
    <t>Almagro</t>
  </si>
  <si>
    <t>Newell's</t>
  </si>
  <si>
    <t>2x2 (3x4)</t>
  </si>
  <si>
    <t>2x2 (4x5)</t>
  </si>
  <si>
    <t>1x3</t>
  </si>
  <si>
    <t>1x1 (3x5)</t>
  </si>
  <si>
    <t>1x1 (2x4)</t>
  </si>
  <si>
    <t>3x1</t>
  </si>
  <si>
    <t>0x0 (4x2)</t>
  </si>
  <si>
    <t>Primera Nacional</t>
  </si>
  <si>
    <t>Los Andes</t>
  </si>
  <si>
    <t>San Telmo</t>
  </si>
  <si>
    <t>Almirante Brown</t>
  </si>
  <si>
    <t>Defensores de Belgrano</t>
  </si>
  <si>
    <t>Mitre</t>
  </si>
  <si>
    <t>Godoy Cruz</t>
  </si>
  <si>
    <t>Deportivo Madryn</t>
  </si>
  <si>
    <t>Racing de Córdoba</t>
  </si>
  <si>
    <t>Central Norte</t>
  </si>
  <si>
    <t>San Miguel</t>
  </si>
  <si>
    <t>Ciudad de Bolívar</t>
  </si>
  <si>
    <t>All Boys</t>
  </si>
  <si>
    <t>Ferro Carril Oeste</t>
  </si>
  <si>
    <t>Estudiantes (BA)</t>
  </si>
  <si>
    <t>Deportivo Morón</t>
  </si>
  <si>
    <t>Acassuso</t>
  </si>
  <si>
    <t>Colón</t>
  </si>
  <si>
    <t>San Martín (San Juan)</t>
  </si>
  <si>
    <t>Patronato</t>
  </si>
  <si>
    <t>Chacarita Juniors</t>
  </si>
  <si>
    <t>San Martín (Tucumán)</t>
  </si>
  <si>
    <t>Güemes</t>
  </si>
  <si>
    <t>Temperley</t>
  </si>
  <si>
    <t>Agropecuario</t>
  </si>
  <si>
    <t>Gimnasia y Tiro</t>
  </si>
  <si>
    <t>Atlético de Rafaela</t>
  </si>
  <si>
    <t>Colegiales</t>
  </si>
  <si>
    <t>Nueva Chicago</t>
  </si>
  <si>
    <t>Deportivo Maipú</t>
  </si>
  <si>
    <t>Atlanta</t>
  </si>
  <si>
    <t>Tristán Suárez</t>
  </si>
  <si>
    <t>Ferrocarril Midland</t>
  </si>
  <si>
    <t>Final por el Primer Ascenso</t>
  </si>
  <si>
    <t>Reducido</t>
  </si>
  <si>
    <t>2x2</t>
  </si>
  <si>
    <t>1x1</t>
  </si>
  <si>
    <t>0x0</t>
  </si>
  <si>
    <t>Chaco for Ever</t>
  </si>
  <si>
    <t>Gimnasia de Jujuy</t>
  </si>
  <si>
    <t>Copa Argentina</t>
  </si>
  <si>
    <t>Fase preliminar</t>
  </si>
  <si>
    <t>32-avos-de-final</t>
  </si>
  <si>
    <t>16-avos-de-final</t>
  </si>
  <si>
    <t>1x1 (2x3)</t>
  </si>
  <si>
    <t>0x0 (5x3)</t>
  </si>
  <si>
    <t>2x2 (2x4)</t>
  </si>
  <si>
    <t>1x1 (4x2)</t>
  </si>
  <si>
    <t>5x0</t>
  </si>
  <si>
    <t>0x0 (2x4)</t>
  </si>
  <si>
    <t>2x3</t>
  </si>
  <si>
    <t>2x4</t>
  </si>
  <si>
    <t>2x2 (6x7)</t>
  </si>
  <si>
    <t>2x2 (4x2)</t>
  </si>
  <si>
    <t>0x0 (5x4)</t>
  </si>
  <si>
    <t>3x2</t>
  </si>
  <si>
    <t>Campeões</t>
  </si>
  <si>
    <t>2A</t>
  </si>
  <si>
    <t>1C</t>
  </si>
  <si>
    <t>1L</t>
  </si>
  <si>
    <t>División Profesional</t>
  </si>
  <si>
    <t>Universitario</t>
  </si>
  <si>
    <t>Real Tomayapo</t>
  </si>
  <si>
    <t>Nacional Potosí</t>
  </si>
  <si>
    <t>Aurora</t>
  </si>
  <si>
    <t>Real Oruro</t>
  </si>
  <si>
    <t>Guabirá</t>
  </si>
  <si>
    <t>Oriente Petrolero</t>
  </si>
  <si>
    <t>GV San José</t>
  </si>
  <si>
    <t>ABB</t>
  </si>
  <si>
    <t>The Strongest</t>
  </si>
  <si>
    <t>Bolívar</t>
  </si>
  <si>
    <t>Bulo Bulo</t>
  </si>
  <si>
    <t>Blooming</t>
  </si>
  <si>
    <t>Always Ready</t>
  </si>
  <si>
    <t>Real Potosí</t>
  </si>
  <si>
    <t>Independiente Petrolero</t>
  </si>
  <si>
    <t>Grupo C</t>
  </si>
  <si>
    <t>Grupo D</t>
  </si>
  <si>
    <t>Copa de la División Profesional</t>
  </si>
  <si>
    <t>Liga de Primera</t>
  </si>
  <si>
    <t>Deportes La Serena</t>
  </si>
  <si>
    <t>Everton</t>
  </si>
  <si>
    <t>Palestino</t>
  </si>
  <si>
    <t>O'Higgins</t>
  </si>
  <si>
    <t>Universidad de Concepción</t>
  </si>
  <si>
    <t>Universidad Católica</t>
  </si>
  <si>
    <t>Cobresal</t>
  </si>
  <si>
    <t>Deportes Limache</t>
  </si>
  <si>
    <t>Universidad de Chile</t>
  </si>
  <si>
    <t>Unión La Calera</t>
  </si>
  <si>
    <t>Audax Italiano</t>
  </si>
  <si>
    <t>Colo-Colo</t>
  </si>
  <si>
    <t>Huachipato</t>
  </si>
  <si>
    <t>Coquimbo Unido</t>
  </si>
  <si>
    <t>Deportes Concepción</t>
  </si>
  <si>
    <t>Ñublense</t>
  </si>
  <si>
    <t>Copa Chile</t>
  </si>
  <si>
    <t>Bucaramanga</t>
  </si>
  <si>
    <t>Cúcuta Deportivo</t>
  </si>
  <si>
    <t>Deportivo Cali</t>
  </si>
  <si>
    <t>Atlético Nacional</t>
  </si>
  <si>
    <t>Fortaleza</t>
  </si>
  <si>
    <t>Deportivo Pereira</t>
  </si>
  <si>
    <t>Jaguares</t>
  </si>
  <si>
    <t>Millonarios</t>
  </si>
  <si>
    <t>Llaneros</t>
  </si>
  <si>
    <t>Junior</t>
  </si>
  <si>
    <t>Águilas Doradas</t>
  </si>
  <si>
    <t>América de Cali</t>
  </si>
  <si>
    <t>Tolima</t>
  </si>
  <si>
    <t>Boyacá Chicó</t>
  </si>
  <si>
    <t>Once Caldas</t>
  </si>
  <si>
    <t>Alianza</t>
  </si>
  <si>
    <t>Deportivo Pasto</t>
  </si>
  <si>
    <t>Santa Fe</t>
  </si>
  <si>
    <t>Independiente Medellín</t>
  </si>
  <si>
    <t>Internacional de Bogotá</t>
  </si>
  <si>
    <t>1x0 (4x5)</t>
  </si>
  <si>
    <t>Copa Colombia</t>
  </si>
  <si>
    <t>1x0 (3x4)</t>
  </si>
  <si>
    <t>2x0 (4x1)</t>
  </si>
  <si>
    <t>LigaPro Serie A</t>
  </si>
  <si>
    <t>Libertad</t>
  </si>
  <si>
    <t>Del Valle</t>
  </si>
  <si>
    <t>Macará</t>
  </si>
  <si>
    <t>Delfín</t>
  </si>
  <si>
    <t>Mushuc Runa</t>
  </si>
  <si>
    <t>Emelec</t>
  </si>
  <si>
    <t>Barcelona</t>
  </si>
  <si>
    <t>Orense</t>
  </si>
  <si>
    <t>Leones del Norte</t>
  </si>
  <si>
    <t>LDU</t>
  </si>
  <si>
    <t>Aucas</t>
  </si>
  <si>
    <t>Deportivo Cuenca</t>
  </si>
  <si>
    <t>Guayaquil City</t>
  </si>
  <si>
    <t>Manta</t>
  </si>
  <si>
    <t>El Nacional</t>
  </si>
  <si>
    <t>Championship round</t>
  </si>
  <si>
    <t>Qualiying round</t>
  </si>
  <si>
    <t>Copa Ecuador</t>
  </si>
  <si>
    <t>0x3</t>
  </si>
  <si>
    <t>0x1 (4x2)</t>
  </si>
  <si>
    <t>0x0 (5x6)</t>
  </si>
  <si>
    <t>2x2 (6x5)</t>
  </si>
  <si>
    <t>Primera División</t>
  </si>
  <si>
    <t>Sportivo Trinidense</t>
  </si>
  <si>
    <t>Nacional</t>
  </si>
  <si>
    <t>Sportivo Luqueño</t>
  </si>
  <si>
    <t>Cerro Porteño</t>
  </si>
  <si>
    <t>Guaraní</t>
  </si>
  <si>
    <t>Olimpia</t>
  </si>
  <si>
    <t>Recoleta</t>
  </si>
  <si>
    <t>Sportivo Ameliano</t>
  </si>
  <si>
    <t>Rubio Ñu</t>
  </si>
  <si>
    <t>2 de Mayo</t>
  </si>
  <si>
    <t>Copa Paraguay</t>
  </si>
  <si>
    <t>1x1 (7x6)</t>
  </si>
  <si>
    <t>4x3</t>
  </si>
  <si>
    <t>2C</t>
  </si>
  <si>
    <t>5A</t>
  </si>
  <si>
    <t>Los Chankas</t>
  </si>
  <si>
    <t>Alianza Lima</t>
  </si>
  <si>
    <t>Melgar</t>
  </si>
  <si>
    <t>Comerciantes Unidos</t>
  </si>
  <si>
    <t>Atlético Grau</t>
  </si>
  <si>
    <t>Sport Boys</t>
  </si>
  <si>
    <t>ADT</t>
  </si>
  <si>
    <t>Sport Huancayo</t>
  </si>
  <si>
    <t>Cienciano</t>
  </si>
  <si>
    <t>Deportivo Garcilaso</t>
  </si>
  <si>
    <t>Cajamarca</t>
  </si>
  <si>
    <t>Alianza Atlético</t>
  </si>
  <si>
    <t>UTC</t>
  </si>
  <si>
    <t>Juan Pablo II</t>
  </si>
  <si>
    <t>Moquegua</t>
  </si>
  <si>
    <t>Cusco</t>
  </si>
  <si>
    <t>Sporting Cristal</t>
  </si>
  <si>
    <t>0x0 (3x2)</t>
  </si>
  <si>
    <t>Copa Caliente de la Liga</t>
  </si>
  <si>
    <t>Grupo E</t>
  </si>
  <si>
    <t>Grupo F</t>
  </si>
  <si>
    <t>Montevideo City Torque</t>
  </si>
  <si>
    <t>Cerro</t>
  </si>
  <si>
    <t>Danubio</t>
  </si>
  <si>
    <t>Central Español</t>
  </si>
  <si>
    <t>Deportivo Maldonado</t>
  </si>
  <si>
    <t>Liverpool</t>
  </si>
  <si>
    <t>Peñarol</t>
  </si>
  <si>
    <t>Cerro Largo</t>
  </si>
  <si>
    <t>Juventud Las Piedras</t>
  </si>
  <si>
    <t>Albion</t>
  </si>
  <si>
    <t>Montevideo Wanderers</t>
  </si>
  <si>
    <t>Boston River</t>
  </si>
  <si>
    <t>Defensor</t>
  </si>
  <si>
    <t>Progreso</t>
  </si>
  <si>
    <t>Intermedio</t>
  </si>
  <si>
    <t>Copa Uruguay</t>
  </si>
  <si>
    <t>Trujillanos</t>
  </si>
  <si>
    <t>Carabobo</t>
  </si>
  <si>
    <t>Caracas</t>
  </si>
  <si>
    <t>Zamora</t>
  </si>
  <si>
    <t>Puerto Cabello</t>
  </si>
  <si>
    <t>Estudiantes de Mérida</t>
  </si>
  <si>
    <t>Deportivo La Guaira</t>
  </si>
  <si>
    <t>Deportivo Táchira</t>
  </si>
  <si>
    <t>Anzoátegui</t>
  </si>
  <si>
    <t>Rayo Zuliano</t>
  </si>
  <si>
    <t>Monagas</t>
  </si>
  <si>
    <t>UCV</t>
  </si>
  <si>
    <t>Metropolitanos</t>
  </si>
  <si>
    <t>Portuguesa</t>
  </si>
  <si>
    <t>Final absoluta</t>
  </si>
  <si>
    <t>Copa Venezuela</t>
  </si>
  <si>
    <t>1x4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</si>
</sst>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1" fillId="0" borderId="0" xfId="0" applyFont="1"/>
    <xf numFmtId="0" fontId="4" fillId="4" borderId="0" xfId="0" applyFont="1" applyFill="1"/>
    <xf numFmtId="0" fontId="0" fillId="3" borderId="0" xfId="0" applyFill="1"/>
    <xf numFmtId="0" fontId="2" fillId="5" borderId="0" xfId="0" applyFont="1" applyFill="1"/>
    <xf numFmtId="0" fontId="0" fillId="6" borderId="0" xfId="0" applyFill="1"/>
    <xf numFmtId="0" fontId="4" fillId="0" borderId="0" xfId="0" applyFont="1"/>
    <xf numFmtId="0" fontId="2" fillId="4" borderId="0" xfId="0" applyFont="1" applyFill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609B-757E-42ED-B9A8-6FC2E6B23A7E}">
  <dimension ref="A1:AW79"/>
  <sheetViews>
    <sheetView topLeftCell="N1" workbookViewId="0">
      <selection activeCell="N4" sqref="N4:N18"/>
    </sheetView>
  </sheetViews>
  <sheetFormatPr defaultRowHeight="14.4" x14ac:dyDescent="0.3"/>
  <cols>
    <col min="1" max="1" width="19.5546875" customWidth="1"/>
    <col min="2" max="2" width="20.5546875" customWidth="1"/>
    <col min="3" max="3" width="16.33203125" customWidth="1"/>
    <col min="12" max="12" width="14.109375" customWidth="1"/>
    <col min="13" max="13" width="20.6640625" customWidth="1"/>
    <col min="14" max="14" width="21" customWidth="1"/>
    <col min="23" max="23" width="16.33203125" customWidth="1"/>
    <col min="24" max="24" width="22.109375" customWidth="1"/>
    <col min="32" max="32" width="23.33203125" customWidth="1"/>
    <col min="33" max="33" width="20.88671875" customWidth="1"/>
    <col min="34" max="34" width="16.33203125" customWidth="1"/>
    <col min="36" max="36" width="14.6640625" customWidth="1"/>
    <col min="38" max="38" width="16" customWidth="1"/>
    <col min="43" max="43" width="21.5546875" customWidth="1"/>
    <col min="45" max="45" width="21.109375" customWidth="1"/>
  </cols>
  <sheetData>
    <row r="1" spans="1:49" x14ac:dyDescent="0.3">
      <c r="A1" t="s">
        <v>0</v>
      </c>
      <c r="L1" t="s">
        <v>1</v>
      </c>
      <c r="W1" t="s">
        <v>2</v>
      </c>
      <c r="AF1" t="s">
        <v>110</v>
      </c>
      <c r="AQ1" t="s">
        <v>150</v>
      </c>
      <c r="AU1" t="s">
        <v>166</v>
      </c>
    </row>
    <row r="2" spans="1:49" x14ac:dyDescent="0.3">
      <c r="A2" t="s">
        <v>3</v>
      </c>
      <c r="L2" t="s">
        <v>3</v>
      </c>
      <c r="W2" s="1" t="s">
        <v>4</v>
      </c>
      <c r="X2" t="s">
        <v>25</v>
      </c>
      <c r="AF2" t="s">
        <v>3</v>
      </c>
      <c r="AQ2" t="s">
        <v>151</v>
      </c>
      <c r="AU2" t="s">
        <v>36</v>
      </c>
      <c r="AV2">
        <v>18</v>
      </c>
      <c r="AW2" t="s">
        <v>167</v>
      </c>
    </row>
    <row r="3" spans="1:49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W3" s="1" t="s">
        <v>16</v>
      </c>
      <c r="X3" t="s">
        <v>50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Q3" t="s">
        <v>126</v>
      </c>
      <c r="AR3" t="s">
        <v>105</v>
      </c>
      <c r="AS3" t="s">
        <v>142</v>
      </c>
      <c r="AU3" t="s">
        <v>98</v>
      </c>
      <c r="AV3">
        <v>3</v>
      </c>
      <c r="AW3" t="s">
        <v>168</v>
      </c>
    </row>
    <row r="4" spans="1:49" x14ac:dyDescent="0.3">
      <c r="A4" s="2" t="s">
        <v>4</v>
      </c>
      <c r="B4" t="s">
        <v>69</v>
      </c>
      <c r="C4" s="3">
        <f t="shared" ref="C4:C18" si="0">E4*3+F4</f>
        <v>31</v>
      </c>
      <c r="D4">
        <v>16</v>
      </c>
      <c r="E4">
        <v>10</v>
      </c>
      <c r="F4">
        <v>1</v>
      </c>
      <c r="G4">
        <f t="shared" ref="G4:G18" si="1">D4-E4-F4</f>
        <v>5</v>
      </c>
      <c r="H4">
        <v>31</v>
      </c>
      <c r="I4">
        <v>23</v>
      </c>
      <c r="J4">
        <f t="shared" ref="J4:J18" si="2">H4-I4</f>
        <v>8</v>
      </c>
      <c r="K4" t="s">
        <v>23</v>
      </c>
      <c r="L4" s="2" t="s">
        <v>4</v>
      </c>
      <c r="M4" t="s">
        <v>17</v>
      </c>
      <c r="N4" s="3">
        <f t="shared" ref="N4:N18" si="3">P4*3+Q4</f>
        <v>32</v>
      </c>
      <c r="O4">
        <v>16</v>
      </c>
      <c r="P4">
        <v>10</v>
      </c>
      <c r="Q4">
        <v>2</v>
      </c>
      <c r="R4">
        <f t="shared" ref="R4:R18" si="4">O4-P4-Q4</f>
        <v>4</v>
      </c>
      <c r="S4">
        <v>33</v>
      </c>
      <c r="T4">
        <v>22</v>
      </c>
      <c r="U4">
        <f t="shared" ref="U4:U18" si="5">S4-T4</f>
        <v>11</v>
      </c>
      <c r="W4" s="1" t="s">
        <v>21</v>
      </c>
      <c r="X4" t="s">
        <v>33</v>
      </c>
      <c r="AF4" s="2" t="s">
        <v>4</v>
      </c>
      <c r="AG4" t="s">
        <v>127</v>
      </c>
      <c r="AH4" s="3">
        <f t="shared" ref="AH4:AH21" si="6">AJ4*3+AK4</f>
        <v>63</v>
      </c>
      <c r="AI4">
        <v>36</v>
      </c>
      <c r="AJ4">
        <v>19</v>
      </c>
      <c r="AK4">
        <v>6</v>
      </c>
      <c r="AL4">
        <f t="shared" ref="AL4:AL21" si="7">AI4-AJ4-AK4</f>
        <v>11</v>
      </c>
      <c r="AM4">
        <v>60</v>
      </c>
      <c r="AN4">
        <v>46</v>
      </c>
      <c r="AO4">
        <f t="shared" ref="AO4:AO21" si="8">AM4-AN4</f>
        <v>14</v>
      </c>
      <c r="AQ4" t="s">
        <v>141</v>
      </c>
      <c r="AR4" t="s">
        <v>84</v>
      </c>
      <c r="AS4" t="s">
        <v>127</v>
      </c>
      <c r="AU4" t="s">
        <v>25</v>
      </c>
      <c r="AV4">
        <v>1</v>
      </c>
      <c r="AW4" t="s">
        <v>169</v>
      </c>
    </row>
    <row r="5" spans="1:49" x14ac:dyDescent="0.3">
      <c r="A5" s="5" t="s">
        <v>16</v>
      </c>
      <c r="B5" t="s">
        <v>33</v>
      </c>
      <c r="C5" s="3">
        <f t="shared" si="0"/>
        <v>30</v>
      </c>
      <c r="D5">
        <v>16</v>
      </c>
      <c r="E5">
        <v>9</v>
      </c>
      <c r="F5">
        <v>3</v>
      </c>
      <c r="G5">
        <f t="shared" si="1"/>
        <v>4</v>
      </c>
      <c r="H5">
        <v>22</v>
      </c>
      <c r="I5">
        <v>17</v>
      </c>
      <c r="J5">
        <f t="shared" si="2"/>
        <v>5</v>
      </c>
      <c r="K5" t="s">
        <v>19</v>
      </c>
      <c r="L5" s="5" t="s">
        <v>16</v>
      </c>
      <c r="M5" t="s">
        <v>98</v>
      </c>
      <c r="N5" s="3">
        <f t="shared" si="3"/>
        <v>31</v>
      </c>
      <c r="O5">
        <v>16</v>
      </c>
      <c r="P5">
        <v>10</v>
      </c>
      <c r="Q5">
        <v>1</v>
      </c>
      <c r="R5">
        <f t="shared" si="4"/>
        <v>5</v>
      </c>
      <c r="S5">
        <v>28</v>
      </c>
      <c r="T5">
        <v>17</v>
      </c>
      <c r="U5">
        <f t="shared" si="5"/>
        <v>11</v>
      </c>
      <c r="W5" s="1" t="s">
        <v>24</v>
      </c>
      <c r="X5" t="s">
        <v>98</v>
      </c>
      <c r="AF5" s="10" t="s">
        <v>16</v>
      </c>
      <c r="AG5" t="s">
        <v>113</v>
      </c>
      <c r="AH5" s="3">
        <f t="shared" si="6"/>
        <v>58</v>
      </c>
      <c r="AI5">
        <v>36</v>
      </c>
      <c r="AJ5">
        <v>18</v>
      </c>
      <c r="AK5">
        <v>4</v>
      </c>
      <c r="AL5">
        <f t="shared" si="7"/>
        <v>14</v>
      </c>
      <c r="AM5">
        <v>68</v>
      </c>
      <c r="AN5">
        <v>63</v>
      </c>
      <c r="AO5">
        <f t="shared" si="8"/>
        <v>5</v>
      </c>
      <c r="AU5" t="s">
        <v>137</v>
      </c>
      <c r="AV5">
        <v>2</v>
      </c>
    </row>
    <row r="6" spans="1:49" x14ac:dyDescent="0.3">
      <c r="A6" s="5" t="s">
        <v>21</v>
      </c>
      <c r="B6" t="s">
        <v>25</v>
      </c>
      <c r="C6" s="3">
        <f t="shared" si="0"/>
        <v>29</v>
      </c>
      <c r="D6">
        <v>16</v>
      </c>
      <c r="E6">
        <v>9</v>
      </c>
      <c r="F6">
        <v>2</v>
      </c>
      <c r="G6">
        <f t="shared" si="1"/>
        <v>5</v>
      </c>
      <c r="H6">
        <v>29</v>
      </c>
      <c r="I6">
        <v>24</v>
      </c>
      <c r="J6">
        <f t="shared" si="2"/>
        <v>5</v>
      </c>
      <c r="K6" t="s">
        <v>23</v>
      </c>
      <c r="L6" s="5" t="s">
        <v>21</v>
      </c>
      <c r="M6" t="s">
        <v>25</v>
      </c>
      <c r="N6" s="3">
        <f t="shared" si="3"/>
        <v>31</v>
      </c>
      <c r="O6">
        <v>16</v>
      </c>
      <c r="P6">
        <v>10</v>
      </c>
      <c r="Q6">
        <v>1</v>
      </c>
      <c r="R6">
        <f t="shared" si="4"/>
        <v>5</v>
      </c>
      <c r="S6">
        <v>24</v>
      </c>
      <c r="T6">
        <v>14</v>
      </c>
      <c r="U6">
        <f t="shared" si="5"/>
        <v>10</v>
      </c>
      <c r="W6" s="4" t="s">
        <v>27</v>
      </c>
      <c r="X6" t="s">
        <v>18</v>
      </c>
      <c r="AF6" s="10" t="s">
        <v>21</v>
      </c>
      <c r="AG6" t="s">
        <v>125</v>
      </c>
      <c r="AH6" s="3">
        <f t="shared" si="6"/>
        <v>56</v>
      </c>
      <c r="AI6">
        <v>36</v>
      </c>
      <c r="AJ6">
        <v>16</v>
      </c>
      <c r="AK6">
        <v>8</v>
      </c>
      <c r="AL6">
        <f t="shared" si="7"/>
        <v>12</v>
      </c>
      <c r="AM6">
        <v>48</v>
      </c>
      <c r="AN6">
        <v>42</v>
      </c>
      <c r="AO6">
        <f t="shared" si="8"/>
        <v>6</v>
      </c>
      <c r="AQ6" t="s">
        <v>152</v>
      </c>
      <c r="AU6" t="s">
        <v>35</v>
      </c>
      <c r="AV6">
        <v>1</v>
      </c>
    </row>
    <row r="7" spans="1:49" x14ac:dyDescent="0.3">
      <c r="A7" s="5" t="s">
        <v>24</v>
      </c>
      <c r="B7" t="s">
        <v>32</v>
      </c>
      <c r="C7" s="3">
        <f t="shared" si="0"/>
        <v>26</v>
      </c>
      <c r="D7">
        <v>16</v>
      </c>
      <c r="E7">
        <v>8</v>
      </c>
      <c r="F7">
        <v>2</v>
      </c>
      <c r="G7">
        <f t="shared" si="1"/>
        <v>6</v>
      </c>
      <c r="H7">
        <v>28</v>
      </c>
      <c r="I7">
        <v>21</v>
      </c>
      <c r="J7">
        <f t="shared" si="2"/>
        <v>7</v>
      </c>
      <c r="K7" t="s">
        <v>19</v>
      </c>
      <c r="L7" s="5" t="s">
        <v>24</v>
      </c>
      <c r="M7" t="s">
        <v>18</v>
      </c>
      <c r="N7" s="3">
        <f t="shared" si="3"/>
        <v>30</v>
      </c>
      <c r="O7">
        <v>16</v>
      </c>
      <c r="P7">
        <v>9</v>
      </c>
      <c r="Q7">
        <v>3</v>
      </c>
      <c r="R7">
        <f t="shared" si="4"/>
        <v>4</v>
      </c>
      <c r="S7">
        <v>32</v>
      </c>
      <c r="T7">
        <v>24</v>
      </c>
      <c r="U7">
        <f t="shared" si="5"/>
        <v>8</v>
      </c>
      <c r="W7" s="6" t="s">
        <v>31</v>
      </c>
      <c r="X7" t="s">
        <v>101</v>
      </c>
      <c r="AF7" s="10" t="s">
        <v>24</v>
      </c>
      <c r="AG7" t="s">
        <v>124</v>
      </c>
      <c r="AH7" s="3">
        <f t="shared" si="6"/>
        <v>55</v>
      </c>
      <c r="AI7">
        <v>36</v>
      </c>
      <c r="AJ7">
        <v>16</v>
      </c>
      <c r="AK7">
        <v>7</v>
      </c>
      <c r="AL7">
        <f t="shared" si="7"/>
        <v>13</v>
      </c>
      <c r="AM7">
        <v>66</v>
      </c>
      <c r="AN7">
        <v>56</v>
      </c>
      <c r="AO7">
        <f t="shared" si="8"/>
        <v>10</v>
      </c>
      <c r="AQ7" t="s">
        <v>35</v>
      </c>
      <c r="AR7" t="s">
        <v>87</v>
      </c>
      <c r="AS7" t="s">
        <v>134</v>
      </c>
    </row>
    <row r="8" spans="1:49" x14ac:dyDescent="0.3">
      <c r="A8" s="5" t="s">
        <v>27</v>
      </c>
      <c r="B8" t="s">
        <v>40</v>
      </c>
      <c r="C8" s="3">
        <f t="shared" si="0"/>
        <v>25</v>
      </c>
      <c r="D8">
        <v>16</v>
      </c>
      <c r="E8">
        <v>7</v>
      </c>
      <c r="F8">
        <v>4</v>
      </c>
      <c r="G8">
        <f t="shared" si="1"/>
        <v>5</v>
      </c>
      <c r="H8">
        <v>24</v>
      </c>
      <c r="I8">
        <v>23</v>
      </c>
      <c r="J8">
        <f t="shared" si="2"/>
        <v>1</v>
      </c>
      <c r="K8" t="s">
        <v>19</v>
      </c>
      <c r="L8" s="5" t="s">
        <v>27</v>
      </c>
      <c r="M8" t="s">
        <v>33</v>
      </c>
      <c r="N8" s="3">
        <f t="shared" si="3"/>
        <v>26</v>
      </c>
      <c r="O8">
        <v>16</v>
      </c>
      <c r="P8">
        <v>8</v>
      </c>
      <c r="Q8">
        <v>2</v>
      </c>
      <c r="R8">
        <f t="shared" si="4"/>
        <v>6</v>
      </c>
      <c r="S8">
        <v>20</v>
      </c>
      <c r="T8">
        <v>17</v>
      </c>
      <c r="U8">
        <f t="shared" si="5"/>
        <v>3</v>
      </c>
      <c r="W8" s="6" t="s">
        <v>34</v>
      </c>
      <c r="X8" t="s">
        <v>29</v>
      </c>
      <c r="AF8" s="10" t="s">
        <v>27</v>
      </c>
      <c r="AG8" t="s">
        <v>121</v>
      </c>
      <c r="AH8" s="3">
        <f t="shared" si="6"/>
        <v>55</v>
      </c>
      <c r="AI8">
        <v>36</v>
      </c>
      <c r="AJ8">
        <v>16</v>
      </c>
      <c r="AK8">
        <v>7</v>
      </c>
      <c r="AL8">
        <f t="shared" si="7"/>
        <v>13</v>
      </c>
      <c r="AM8">
        <v>58</v>
      </c>
      <c r="AN8">
        <v>56</v>
      </c>
      <c r="AO8">
        <f t="shared" si="8"/>
        <v>2</v>
      </c>
      <c r="AQ8" t="s">
        <v>99</v>
      </c>
      <c r="AR8" t="s">
        <v>81</v>
      </c>
      <c r="AS8" t="s">
        <v>113</v>
      </c>
    </row>
    <row r="9" spans="1:49" x14ac:dyDescent="0.3">
      <c r="A9" s="5" t="s">
        <v>31</v>
      </c>
      <c r="B9" t="s">
        <v>65</v>
      </c>
      <c r="C9" s="3">
        <f t="shared" si="0"/>
        <v>24</v>
      </c>
      <c r="D9">
        <v>16</v>
      </c>
      <c r="E9">
        <v>7</v>
      </c>
      <c r="F9">
        <v>3</v>
      </c>
      <c r="G9">
        <f t="shared" si="1"/>
        <v>6</v>
      </c>
      <c r="H9">
        <v>28</v>
      </c>
      <c r="I9">
        <v>27</v>
      </c>
      <c r="J9">
        <f t="shared" si="2"/>
        <v>1</v>
      </c>
      <c r="K9" t="s">
        <v>19</v>
      </c>
      <c r="L9" s="5" t="s">
        <v>31</v>
      </c>
      <c r="M9" t="s">
        <v>65</v>
      </c>
      <c r="N9" s="3">
        <f t="shared" si="3"/>
        <v>23</v>
      </c>
      <c r="O9">
        <v>16</v>
      </c>
      <c r="P9">
        <v>7</v>
      </c>
      <c r="Q9">
        <v>2</v>
      </c>
      <c r="R9">
        <f t="shared" si="4"/>
        <v>7</v>
      </c>
      <c r="S9">
        <v>24</v>
      </c>
      <c r="T9">
        <v>21</v>
      </c>
      <c r="U9">
        <f t="shared" si="5"/>
        <v>3</v>
      </c>
      <c r="W9" s="1" t="s">
        <v>37</v>
      </c>
      <c r="X9" t="s">
        <v>36</v>
      </c>
      <c r="AF9" s="10" t="s">
        <v>31</v>
      </c>
      <c r="AG9" t="s">
        <v>123</v>
      </c>
      <c r="AH9" s="3">
        <f t="shared" si="6"/>
        <v>52</v>
      </c>
      <c r="AI9">
        <v>36</v>
      </c>
      <c r="AJ9">
        <v>13</v>
      </c>
      <c r="AK9">
        <v>13</v>
      </c>
      <c r="AL9">
        <f t="shared" si="7"/>
        <v>10</v>
      </c>
      <c r="AM9">
        <v>63</v>
      </c>
      <c r="AN9">
        <v>52</v>
      </c>
      <c r="AO9">
        <f t="shared" si="8"/>
        <v>11</v>
      </c>
      <c r="AQ9" t="s">
        <v>26</v>
      </c>
      <c r="AR9" t="s">
        <v>84</v>
      </c>
      <c r="AS9" t="s">
        <v>121</v>
      </c>
    </row>
    <row r="10" spans="1:49" x14ac:dyDescent="0.3">
      <c r="A10" s="5" t="s">
        <v>34</v>
      </c>
      <c r="B10" t="s">
        <v>28</v>
      </c>
      <c r="C10" s="3">
        <f t="shared" si="0"/>
        <v>23</v>
      </c>
      <c r="D10">
        <v>16</v>
      </c>
      <c r="E10">
        <v>6</v>
      </c>
      <c r="F10">
        <v>5</v>
      </c>
      <c r="G10">
        <f t="shared" si="1"/>
        <v>5</v>
      </c>
      <c r="H10">
        <v>28</v>
      </c>
      <c r="I10">
        <v>28</v>
      </c>
      <c r="J10">
        <f t="shared" si="2"/>
        <v>0</v>
      </c>
      <c r="K10" t="s">
        <v>23</v>
      </c>
      <c r="L10" s="5" t="s">
        <v>34</v>
      </c>
      <c r="M10" t="s">
        <v>26</v>
      </c>
      <c r="N10" s="3">
        <f t="shared" si="3"/>
        <v>23</v>
      </c>
      <c r="O10">
        <v>16</v>
      </c>
      <c r="P10">
        <v>7</v>
      </c>
      <c r="Q10">
        <v>2</v>
      </c>
      <c r="R10">
        <f t="shared" si="4"/>
        <v>7</v>
      </c>
      <c r="S10">
        <v>20</v>
      </c>
      <c r="T10">
        <v>22</v>
      </c>
      <c r="U10">
        <f t="shared" si="5"/>
        <v>-2</v>
      </c>
      <c r="W10" s="6" t="s">
        <v>38</v>
      </c>
      <c r="X10" t="s">
        <v>17</v>
      </c>
      <c r="AF10" s="10" t="s">
        <v>34</v>
      </c>
      <c r="AG10" t="s">
        <v>122</v>
      </c>
      <c r="AH10" s="3">
        <f t="shared" si="6"/>
        <v>52</v>
      </c>
      <c r="AI10">
        <v>36</v>
      </c>
      <c r="AJ10">
        <v>15</v>
      </c>
      <c r="AK10">
        <v>7</v>
      </c>
      <c r="AL10">
        <f t="shared" si="7"/>
        <v>14</v>
      </c>
      <c r="AM10">
        <v>53</v>
      </c>
      <c r="AN10">
        <v>56</v>
      </c>
      <c r="AO10">
        <f t="shared" si="8"/>
        <v>-3</v>
      </c>
      <c r="AQ10" t="s">
        <v>61</v>
      </c>
      <c r="AR10" t="s">
        <v>86</v>
      </c>
      <c r="AS10" t="s">
        <v>132</v>
      </c>
    </row>
    <row r="11" spans="1:49" x14ac:dyDescent="0.3">
      <c r="A11" s="5" t="s">
        <v>37</v>
      </c>
      <c r="B11" t="s">
        <v>18</v>
      </c>
      <c r="C11" s="3">
        <f t="shared" si="0"/>
        <v>21</v>
      </c>
      <c r="D11">
        <v>16</v>
      </c>
      <c r="E11">
        <v>5</v>
      </c>
      <c r="F11">
        <v>6</v>
      </c>
      <c r="G11">
        <f t="shared" si="1"/>
        <v>5</v>
      </c>
      <c r="H11">
        <v>30</v>
      </c>
      <c r="I11">
        <v>26</v>
      </c>
      <c r="J11">
        <f t="shared" si="2"/>
        <v>4</v>
      </c>
      <c r="K11" t="s">
        <v>23</v>
      </c>
      <c r="L11" s="5" t="s">
        <v>37</v>
      </c>
      <c r="M11" t="s">
        <v>39</v>
      </c>
      <c r="N11" s="3">
        <f t="shared" si="3"/>
        <v>22</v>
      </c>
      <c r="O11">
        <v>16</v>
      </c>
      <c r="P11">
        <v>7</v>
      </c>
      <c r="Q11">
        <v>1</v>
      </c>
      <c r="R11">
        <f t="shared" si="4"/>
        <v>8</v>
      </c>
      <c r="S11">
        <v>20</v>
      </c>
      <c r="T11">
        <v>19</v>
      </c>
      <c r="U11">
        <f t="shared" si="5"/>
        <v>1</v>
      </c>
      <c r="W11" s="6" t="s">
        <v>41</v>
      </c>
      <c r="X11" t="s">
        <v>52</v>
      </c>
      <c r="AF11" s="10" t="s">
        <v>37</v>
      </c>
      <c r="AG11" t="s">
        <v>111</v>
      </c>
      <c r="AH11" s="3">
        <f t="shared" si="6"/>
        <v>52</v>
      </c>
      <c r="AI11">
        <v>36</v>
      </c>
      <c r="AJ11">
        <v>16</v>
      </c>
      <c r="AK11">
        <v>4</v>
      </c>
      <c r="AL11">
        <f t="shared" si="7"/>
        <v>16</v>
      </c>
      <c r="AM11">
        <v>49</v>
      </c>
      <c r="AN11">
        <v>56</v>
      </c>
      <c r="AO11">
        <f t="shared" si="8"/>
        <v>-7</v>
      </c>
      <c r="AQ11" t="s">
        <v>42</v>
      </c>
      <c r="AR11" t="s">
        <v>80</v>
      </c>
      <c r="AS11" t="s">
        <v>138</v>
      </c>
    </row>
    <row r="12" spans="1:49" x14ac:dyDescent="0.3">
      <c r="A12" t="s">
        <v>38</v>
      </c>
      <c r="B12" t="s">
        <v>98</v>
      </c>
      <c r="C12" s="3">
        <f t="shared" si="0"/>
        <v>21</v>
      </c>
      <c r="D12">
        <v>16</v>
      </c>
      <c r="E12">
        <v>6</v>
      </c>
      <c r="F12">
        <v>3</v>
      </c>
      <c r="G12">
        <f t="shared" si="1"/>
        <v>7</v>
      </c>
      <c r="H12">
        <v>27</v>
      </c>
      <c r="I12">
        <v>28</v>
      </c>
      <c r="J12">
        <f t="shared" si="2"/>
        <v>-1</v>
      </c>
      <c r="K12" t="s">
        <v>19</v>
      </c>
      <c r="L12" t="s">
        <v>38</v>
      </c>
      <c r="M12" t="s">
        <v>32</v>
      </c>
      <c r="N12" s="3">
        <f t="shared" si="3"/>
        <v>21</v>
      </c>
      <c r="O12">
        <v>16</v>
      </c>
      <c r="P12">
        <v>6</v>
      </c>
      <c r="Q12">
        <v>3</v>
      </c>
      <c r="R12">
        <f t="shared" si="4"/>
        <v>7</v>
      </c>
      <c r="S12">
        <v>18</v>
      </c>
      <c r="T12">
        <v>17</v>
      </c>
      <c r="U12">
        <f t="shared" si="5"/>
        <v>1</v>
      </c>
      <c r="W12" s="6" t="s">
        <v>43</v>
      </c>
      <c r="X12" t="s">
        <v>100</v>
      </c>
      <c r="AF12" t="s">
        <v>38</v>
      </c>
      <c r="AG12" t="s">
        <v>119</v>
      </c>
      <c r="AH12" s="3">
        <f t="shared" si="6"/>
        <v>51</v>
      </c>
      <c r="AI12">
        <v>36</v>
      </c>
      <c r="AJ12">
        <v>15</v>
      </c>
      <c r="AK12">
        <v>6</v>
      </c>
      <c r="AL12">
        <f t="shared" si="7"/>
        <v>15</v>
      </c>
      <c r="AM12">
        <v>55</v>
      </c>
      <c r="AN12">
        <v>52</v>
      </c>
      <c r="AO12">
        <f t="shared" si="8"/>
        <v>3</v>
      </c>
      <c r="AQ12" t="s">
        <v>36</v>
      </c>
      <c r="AR12" t="s">
        <v>81</v>
      </c>
      <c r="AS12" t="s">
        <v>119</v>
      </c>
    </row>
    <row r="13" spans="1:49" x14ac:dyDescent="0.3">
      <c r="A13" t="s">
        <v>41</v>
      </c>
      <c r="B13" t="s">
        <v>63</v>
      </c>
      <c r="C13" s="3">
        <f t="shared" si="0"/>
        <v>19</v>
      </c>
      <c r="D13">
        <v>16</v>
      </c>
      <c r="E13">
        <v>4</v>
      </c>
      <c r="F13">
        <v>7</v>
      </c>
      <c r="G13">
        <f t="shared" si="1"/>
        <v>5</v>
      </c>
      <c r="H13">
        <v>24</v>
      </c>
      <c r="I13">
        <v>24</v>
      </c>
      <c r="J13">
        <f t="shared" si="2"/>
        <v>0</v>
      </c>
      <c r="K13" t="s">
        <v>19</v>
      </c>
      <c r="L13" t="s">
        <v>41</v>
      </c>
      <c r="M13" t="s">
        <v>67</v>
      </c>
      <c r="N13" s="3">
        <f t="shared" si="3"/>
        <v>21</v>
      </c>
      <c r="O13">
        <v>16</v>
      </c>
      <c r="P13">
        <v>7</v>
      </c>
      <c r="Q13">
        <v>0</v>
      </c>
      <c r="R13">
        <f t="shared" si="4"/>
        <v>9</v>
      </c>
      <c r="S13">
        <v>18</v>
      </c>
      <c r="T13">
        <v>19</v>
      </c>
      <c r="U13">
        <f t="shared" si="5"/>
        <v>-1</v>
      </c>
      <c r="W13" s="6" t="s">
        <v>44</v>
      </c>
      <c r="X13" t="s">
        <v>69</v>
      </c>
      <c r="AF13" t="s">
        <v>41</v>
      </c>
      <c r="AG13" t="s">
        <v>117</v>
      </c>
      <c r="AH13" s="3">
        <f t="shared" si="6"/>
        <v>50</v>
      </c>
      <c r="AI13">
        <v>36</v>
      </c>
      <c r="AJ13">
        <v>14</v>
      </c>
      <c r="AK13">
        <v>8</v>
      </c>
      <c r="AL13">
        <f t="shared" si="7"/>
        <v>14</v>
      </c>
      <c r="AM13">
        <v>47</v>
      </c>
      <c r="AN13">
        <v>48</v>
      </c>
      <c r="AO13">
        <f t="shared" si="8"/>
        <v>-1</v>
      </c>
      <c r="AQ13" t="s">
        <v>25</v>
      </c>
      <c r="AR13" t="s">
        <v>82</v>
      </c>
      <c r="AS13" t="s">
        <v>111</v>
      </c>
    </row>
    <row r="14" spans="1:49" x14ac:dyDescent="0.3">
      <c r="A14" t="s">
        <v>43</v>
      </c>
      <c r="B14" t="s">
        <v>67</v>
      </c>
      <c r="C14" s="3">
        <f t="shared" si="0"/>
        <v>19</v>
      </c>
      <c r="D14">
        <v>16</v>
      </c>
      <c r="E14">
        <v>5</v>
      </c>
      <c r="F14">
        <v>4</v>
      </c>
      <c r="G14">
        <f t="shared" si="1"/>
        <v>7</v>
      </c>
      <c r="H14">
        <v>21</v>
      </c>
      <c r="I14">
        <v>22</v>
      </c>
      <c r="J14">
        <f t="shared" si="2"/>
        <v>-1</v>
      </c>
      <c r="K14" t="s">
        <v>23</v>
      </c>
      <c r="L14" t="s">
        <v>43</v>
      </c>
      <c r="M14" t="s">
        <v>99</v>
      </c>
      <c r="N14" s="3">
        <f t="shared" si="3"/>
        <v>21</v>
      </c>
      <c r="O14">
        <v>16</v>
      </c>
      <c r="P14">
        <v>7</v>
      </c>
      <c r="Q14">
        <v>0</v>
      </c>
      <c r="R14">
        <f t="shared" si="4"/>
        <v>9</v>
      </c>
      <c r="S14">
        <v>18</v>
      </c>
      <c r="T14">
        <v>24</v>
      </c>
      <c r="U14">
        <f t="shared" si="5"/>
        <v>-6</v>
      </c>
      <c r="W14" t="s">
        <v>47</v>
      </c>
      <c r="X14" t="s">
        <v>32</v>
      </c>
      <c r="AF14" t="s">
        <v>43</v>
      </c>
      <c r="AG14" t="s">
        <v>148</v>
      </c>
      <c r="AH14" s="3">
        <f t="shared" si="6"/>
        <v>50</v>
      </c>
      <c r="AI14">
        <v>36</v>
      </c>
      <c r="AJ14">
        <v>14</v>
      </c>
      <c r="AK14">
        <v>8</v>
      </c>
      <c r="AL14">
        <f t="shared" si="7"/>
        <v>14</v>
      </c>
      <c r="AM14">
        <v>52</v>
      </c>
      <c r="AN14">
        <v>57</v>
      </c>
      <c r="AO14">
        <f t="shared" si="8"/>
        <v>-5</v>
      </c>
      <c r="AQ14" t="s">
        <v>98</v>
      </c>
      <c r="AR14" t="s">
        <v>154</v>
      </c>
      <c r="AS14" t="s">
        <v>130</v>
      </c>
    </row>
    <row r="15" spans="1:49" x14ac:dyDescent="0.3">
      <c r="A15" t="s">
        <v>44</v>
      </c>
      <c r="B15" t="s">
        <v>39</v>
      </c>
      <c r="C15" s="3">
        <f t="shared" si="0"/>
        <v>19</v>
      </c>
      <c r="D15">
        <v>16</v>
      </c>
      <c r="E15">
        <v>5</v>
      </c>
      <c r="F15">
        <v>4</v>
      </c>
      <c r="G15">
        <f t="shared" si="1"/>
        <v>7</v>
      </c>
      <c r="H15">
        <v>22</v>
      </c>
      <c r="I15">
        <v>25</v>
      </c>
      <c r="J15">
        <f t="shared" si="2"/>
        <v>-3</v>
      </c>
      <c r="K15" t="s">
        <v>23</v>
      </c>
      <c r="L15" t="s">
        <v>44</v>
      </c>
      <c r="M15" t="s">
        <v>69</v>
      </c>
      <c r="N15" s="3">
        <f t="shared" si="3"/>
        <v>18</v>
      </c>
      <c r="O15">
        <v>16</v>
      </c>
      <c r="P15">
        <v>5</v>
      </c>
      <c r="Q15">
        <v>3</v>
      </c>
      <c r="R15">
        <f t="shared" si="4"/>
        <v>8</v>
      </c>
      <c r="S15">
        <v>22</v>
      </c>
      <c r="T15">
        <v>28</v>
      </c>
      <c r="U15">
        <f t="shared" si="5"/>
        <v>-6</v>
      </c>
      <c r="W15" t="s">
        <v>49</v>
      </c>
      <c r="X15" t="s">
        <v>65</v>
      </c>
      <c r="AF15" s="8" t="s">
        <v>44</v>
      </c>
      <c r="AG15" t="s">
        <v>120</v>
      </c>
      <c r="AH15" s="3">
        <f t="shared" si="6"/>
        <v>50</v>
      </c>
      <c r="AI15">
        <v>36</v>
      </c>
      <c r="AJ15">
        <v>15</v>
      </c>
      <c r="AK15">
        <v>5</v>
      </c>
      <c r="AL15">
        <f t="shared" si="7"/>
        <v>16</v>
      </c>
      <c r="AM15">
        <v>54</v>
      </c>
      <c r="AN15">
        <v>60</v>
      </c>
      <c r="AO15">
        <f t="shared" si="8"/>
        <v>-6</v>
      </c>
      <c r="AQ15" t="s">
        <v>40</v>
      </c>
      <c r="AR15" t="s">
        <v>105</v>
      </c>
      <c r="AS15" t="s">
        <v>117</v>
      </c>
    </row>
    <row r="16" spans="1:49" x14ac:dyDescent="0.3">
      <c r="A16" t="s">
        <v>47</v>
      </c>
      <c r="B16" t="s">
        <v>17</v>
      </c>
      <c r="C16" s="3">
        <f t="shared" si="0"/>
        <v>17</v>
      </c>
      <c r="D16">
        <v>16</v>
      </c>
      <c r="E16">
        <v>3</v>
      </c>
      <c r="F16">
        <v>8</v>
      </c>
      <c r="G16">
        <f t="shared" si="1"/>
        <v>5</v>
      </c>
      <c r="H16">
        <v>22</v>
      </c>
      <c r="I16">
        <v>26</v>
      </c>
      <c r="J16">
        <f t="shared" si="2"/>
        <v>-4</v>
      </c>
      <c r="K16" t="s">
        <v>19</v>
      </c>
      <c r="L16" t="s">
        <v>47</v>
      </c>
      <c r="M16" t="s">
        <v>40</v>
      </c>
      <c r="N16" s="3">
        <f t="shared" si="3"/>
        <v>18</v>
      </c>
      <c r="O16">
        <v>16</v>
      </c>
      <c r="P16">
        <v>5</v>
      </c>
      <c r="Q16">
        <v>3</v>
      </c>
      <c r="R16">
        <f t="shared" si="4"/>
        <v>8</v>
      </c>
      <c r="S16">
        <v>17</v>
      </c>
      <c r="T16">
        <v>23</v>
      </c>
      <c r="U16">
        <f t="shared" si="5"/>
        <v>-6</v>
      </c>
      <c r="W16" s="1" t="s">
        <v>51</v>
      </c>
      <c r="X16" t="s">
        <v>35</v>
      </c>
      <c r="AF16" t="s">
        <v>47</v>
      </c>
      <c r="AG16" t="s">
        <v>116</v>
      </c>
      <c r="AH16" s="3">
        <f t="shared" si="6"/>
        <v>44</v>
      </c>
      <c r="AI16">
        <v>36</v>
      </c>
      <c r="AJ16">
        <v>12</v>
      </c>
      <c r="AK16">
        <v>8</v>
      </c>
      <c r="AL16">
        <f t="shared" si="7"/>
        <v>16</v>
      </c>
      <c r="AM16">
        <v>48</v>
      </c>
      <c r="AN16">
        <v>50</v>
      </c>
      <c r="AO16">
        <f t="shared" si="8"/>
        <v>-2</v>
      </c>
      <c r="AQ16" t="s">
        <v>101</v>
      </c>
      <c r="AR16" t="s">
        <v>87</v>
      </c>
      <c r="AS16" t="s">
        <v>135</v>
      </c>
    </row>
    <row r="17" spans="1:45" x14ac:dyDescent="0.3">
      <c r="A17" t="s">
        <v>49</v>
      </c>
      <c r="B17" t="s">
        <v>26</v>
      </c>
      <c r="C17" s="3">
        <f t="shared" si="0"/>
        <v>13</v>
      </c>
      <c r="D17">
        <v>16</v>
      </c>
      <c r="E17">
        <v>3</v>
      </c>
      <c r="F17">
        <v>4</v>
      </c>
      <c r="G17">
        <f t="shared" si="1"/>
        <v>9</v>
      </c>
      <c r="H17">
        <v>17</v>
      </c>
      <c r="I17">
        <v>28</v>
      </c>
      <c r="J17">
        <f t="shared" si="2"/>
        <v>-11</v>
      </c>
      <c r="K17" t="s">
        <v>19</v>
      </c>
      <c r="L17" t="s">
        <v>49</v>
      </c>
      <c r="M17" t="s">
        <v>28</v>
      </c>
      <c r="N17" s="3">
        <f t="shared" si="3"/>
        <v>17</v>
      </c>
      <c r="O17">
        <v>16</v>
      </c>
      <c r="P17">
        <v>5</v>
      </c>
      <c r="Q17">
        <v>2</v>
      </c>
      <c r="R17">
        <f t="shared" si="4"/>
        <v>9</v>
      </c>
      <c r="S17">
        <v>13</v>
      </c>
      <c r="T17">
        <v>19</v>
      </c>
      <c r="U17">
        <f t="shared" si="5"/>
        <v>-6</v>
      </c>
      <c r="W17" t="s">
        <v>53</v>
      </c>
      <c r="X17" t="s">
        <v>61</v>
      </c>
      <c r="AF17" t="s">
        <v>49</v>
      </c>
      <c r="AG17" t="s">
        <v>118</v>
      </c>
      <c r="AH17" s="3">
        <f t="shared" si="6"/>
        <v>44</v>
      </c>
      <c r="AI17">
        <v>36</v>
      </c>
      <c r="AJ17">
        <v>12</v>
      </c>
      <c r="AK17">
        <v>8</v>
      </c>
      <c r="AL17">
        <f t="shared" si="7"/>
        <v>16</v>
      </c>
      <c r="AM17">
        <v>49</v>
      </c>
      <c r="AN17">
        <v>55</v>
      </c>
      <c r="AO17">
        <f t="shared" si="8"/>
        <v>-6</v>
      </c>
      <c r="AQ17" t="s">
        <v>100</v>
      </c>
      <c r="AR17" t="s">
        <v>81</v>
      </c>
      <c r="AS17" t="s">
        <v>112</v>
      </c>
    </row>
    <row r="18" spans="1:45" x14ac:dyDescent="0.3">
      <c r="A18" t="s">
        <v>51</v>
      </c>
      <c r="B18" t="s">
        <v>99</v>
      </c>
      <c r="C18" s="3">
        <f t="shared" si="0"/>
        <v>10</v>
      </c>
      <c r="D18">
        <v>16</v>
      </c>
      <c r="E18">
        <v>2</v>
      </c>
      <c r="F18">
        <v>4</v>
      </c>
      <c r="G18">
        <f t="shared" si="1"/>
        <v>10</v>
      </c>
      <c r="H18">
        <v>15</v>
      </c>
      <c r="I18">
        <v>31</v>
      </c>
      <c r="J18">
        <f t="shared" si="2"/>
        <v>-16</v>
      </c>
      <c r="K18" t="s">
        <v>23</v>
      </c>
      <c r="L18" t="s">
        <v>51</v>
      </c>
      <c r="M18" t="s">
        <v>63</v>
      </c>
      <c r="N18" s="3">
        <f t="shared" si="3"/>
        <v>14</v>
      </c>
      <c r="O18">
        <v>16</v>
      </c>
      <c r="P18">
        <v>4</v>
      </c>
      <c r="Q18">
        <v>2</v>
      </c>
      <c r="R18">
        <f t="shared" si="4"/>
        <v>10</v>
      </c>
      <c r="S18">
        <v>17</v>
      </c>
      <c r="T18">
        <v>31</v>
      </c>
      <c r="U18">
        <f t="shared" si="5"/>
        <v>-14</v>
      </c>
      <c r="W18" s="8" t="s">
        <v>54</v>
      </c>
      <c r="X18" t="s">
        <v>22</v>
      </c>
      <c r="AF18" t="s">
        <v>51</v>
      </c>
      <c r="AG18" t="s">
        <v>114</v>
      </c>
      <c r="AH18" s="3">
        <f t="shared" si="6"/>
        <v>44</v>
      </c>
      <c r="AI18">
        <v>36</v>
      </c>
      <c r="AJ18">
        <v>13</v>
      </c>
      <c r="AK18">
        <v>5</v>
      </c>
      <c r="AL18">
        <f t="shared" si="7"/>
        <v>18</v>
      </c>
      <c r="AM18">
        <v>52</v>
      </c>
      <c r="AN18">
        <v>59</v>
      </c>
      <c r="AO18">
        <f t="shared" si="8"/>
        <v>-7</v>
      </c>
      <c r="AQ18" t="s">
        <v>28</v>
      </c>
      <c r="AR18" t="s">
        <v>89</v>
      </c>
      <c r="AS18" t="s">
        <v>120</v>
      </c>
    </row>
    <row r="19" spans="1:45" x14ac:dyDescent="0.3">
      <c r="W19" t="s">
        <v>55</v>
      </c>
      <c r="X19" t="s">
        <v>40</v>
      </c>
      <c r="AF19" t="s">
        <v>53</v>
      </c>
      <c r="AG19" t="s">
        <v>126</v>
      </c>
      <c r="AH19" s="3">
        <f t="shared" si="6"/>
        <v>43</v>
      </c>
      <c r="AI19">
        <v>36</v>
      </c>
      <c r="AJ19">
        <v>11</v>
      </c>
      <c r="AK19">
        <v>10</v>
      </c>
      <c r="AL19">
        <f t="shared" si="7"/>
        <v>15</v>
      </c>
      <c r="AM19">
        <v>57</v>
      </c>
      <c r="AN19">
        <v>67</v>
      </c>
      <c r="AO19">
        <f t="shared" si="8"/>
        <v>-10</v>
      </c>
      <c r="AQ19" t="s">
        <v>63</v>
      </c>
      <c r="AR19" t="s">
        <v>87</v>
      </c>
      <c r="AS19" t="s">
        <v>129</v>
      </c>
    </row>
    <row r="20" spans="1:45" x14ac:dyDescent="0.3">
      <c r="A20" t="s">
        <v>56</v>
      </c>
      <c r="L20" t="s">
        <v>56</v>
      </c>
      <c r="W20" s="7" t="s">
        <v>57</v>
      </c>
      <c r="X20" t="s">
        <v>102</v>
      </c>
      <c r="AF20" t="s">
        <v>54</v>
      </c>
      <c r="AG20" t="s">
        <v>115</v>
      </c>
      <c r="AH20" s="3">
        <f t="shared" si="6"/>
        <v>40</v>
      </c>
      <c r="AI20">
        <v>36</v>
      </c>
      <c r="AJ20">
        <v>10</v>
      </c>
      <c r="AK20">
        <v>10</v>
      </c>
      <c r="AL20">
        <f t="shared" si="7"/>
        <v>16</v>
      </c>
      <c r="AM20">
        <v>41</v>
      </c>
      <c r="AN20">
        <v>51</v>
      </c>
      <c r="AO20">
        <f t="shared" si="8"/>
        <v>-10</v>
      </c>
      <c r="AQ20" t="s">
        <v>52</v>
      </c>
      <c r="AR20" t="s">
        <v>84</v>
      </c>
      <c r="AS20" t="s">
        <v>115</v>
      </c>
    </row>
    <row r="21" spans="1:45" x14ac:dyDescent="0.3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  <c r="L21" t="s">
        <v>6</v>
      </c>
      <c r="M21" t="s">
        <v>7</v>
      </c>
      <c r="N21" t="s">
        <v>8</v>
      </c>
      <c r="O21" t="s">
        <v>9</v>
      </c>
      <c r="P21" t="s">
        <v>10</v>
      </c>
      <c r="Q21" t="s">
        <v>11</v>
      </c>
      <c r="R21" t="s">
        <v>12</v>
      </c>
      <c r="S21" t="s">
        <v>13</v>
      </c>
      <c r="T21" t="s">
        <v>14</v>
      </c>
      <c r="U21" t="s">
        <v>15</v>
      </c>
      <c r="W21" t="s">
        <v>58</v>
      </c>
      <c r="X21" t="s">
        <v>20</v>
      </c>
      <c r="AF21" t="s">
        <v>55</v>
      </c>
      <c r="AG21" t="s">
        <v>112</v>
      </c>
      <c r="AH21" s="3">
        <f t="shared" si="6"/>
        <v>38</v>
      </c>
      <c r="AI21">
        <v>36</v>
      </c>
      <c r="AJ21">
        <v>10</v>
      </c>
      <c r="AK21">
        <v>8</v>
      </c>
      <c r="AL21">
        <f t="shared" si="7"/>
        <v>18</v>
      </c>
      <c r="AM21">
        <v>51</v>
      </c>
      <c r="AN21">
        <v>63</v>
      </c>
      <c r="AO21">
        <f t="shared" si="8"/>
        <v>-12</v>
      </c>
      <c r="AQ21" t="s">
        <v>29</v>
      </c>
      <c r="AR21" t="s">
        <v>89</v>
      </c>
      <c r="AS21" t="s">
        <v>131</v>
      </c>
    </row>
    <row r="22" spans="1:45" x14ac:dyDescent="0.3">
      <c r="A22" s="2" t="s">
        <v>4</v>
      </c>
      <c r="B22" t="s">
        <v>50</v>
      </c>
      <c r="C22" s="3">
        <f t="shared" ref="C22:C36" si="9">E22*3+F22</f>
        <v>30</v>
      </c>
      <c r="D22">
        <v>16</v>
      </c>
      <c r="E22">
        <v>9</v>
      </c>
      <c r="F22">
        <v>3</v>
      </c>
      <c r="G22">
        <f t="shared" ref="G22:G36" si="10">D22-E22-F22</f>
        <v>4</v>
      </c>
      <c r="H22">
        <v>33</v>
      </c>
      <c r="I22">
        <v>23</v>
      </c>
      <c r="J22">
        <f t="shared" ref="J22:J36" si="11">H22-I22</f>
        <v>10</v>
      </c>
      <c r="K22" t="s">
        <v>23</v>
      </c>
      <c r="L22" s="2" t="s">
        <v>4</v>
      </c>
      <c r="M22" t="s">
        <v>61</v>
      </c>
      <c r="N22" s="3">
        <f t="shared" ref="N22:N36" si="12">P22*3+Q22</f>
        <v>29</v>
      </c>
      <c r="O22">
        <v>16</v>
      </c>
      <c r="P22">
        <v>8</v>
      </c>
      <c r="Q22">
        <v>5</v>
      </c>
      <c r="R22">
        <f t="shared" ref="R22:R36" si="13">O22-P22-Q22</f>
        <v>3</v>
      </c>
      <c r="S22">
        <v>26</v>
      </c>
      <c r="T22">
        <v>21</v>
      </c>
      <c r="U22">
        <f t="shared" ref="U22:U36" si="14">S22-T22</f>
        <v>5</v>
      </c>
      <c r="W22" s="8" t="s">
        <v>59</v>
      </c>
      <c r="X22" t="s">
        <v>39</v>
      </c>
      <c r="AQ22" t="s">
        <v>5</v>
      </c>
      <c r="AR22" t="s">
        <v>89</v>
      </c>
      <c r="AS22" t="s">
        <v>139</v>
      </c>
    </row>
    <row r="23" spans="1:45" x14ac:dyDescent="0.3">
      <c r="A23" s="5" t="s">
        <v>16</v>
      </c>
      <c r="B23" t="s">
        <v>100</v>
      </c>
      <c r="C23" s="3">
        <f t="shared" si="9"/>
        <v>30</v>
      </c>
      <c r="D23">
        <v>16</v>
      </c>
      <c r="E23">
        <v>9</v>
      </c>
      <c r="F23">
        <v>3</v>
      </c>
      <c r="G23">
        <f t="shared" si="10"/>
        <v>4</v>
      </c>
      <c r="H23">
        <v>29</v>
      </c>
      <c r="I23">
        <v>19</v>
      </c>
      <c r="J23">
        <f t="shared" si="11"/>
        <v>10</v>
      </c>
      <c r="K23" t="s">
        <v>19</v>
      </c>
      <c r="L23" s="5" t="s">
        <v>16</v>
      </c>
      <c r="M23" t="s">
        <v>50</v>
      </c>
      <c r="N23" s="3">
        <f t="shared" si="12"/>
        <v>28</v>
      </c>
      <c r="O23">
        <v>16</v>
      </c>
      <c r="P23">
        <v>9</v>
      </c>
      <c r="Q23">
        <v>1</v>
      </c>
      <c r="R23">
        <f t="shared" si="13"/>
        <v>6</v>
      </c>
      <c r="S23">
        <v>21</v>
      </c>
      <c r="T23">
        <v>16</v>
      </c>
      <c r="U23">
        <f t="shared" si="14"/>
        <v>5</v>
      </c>
      <c r="W23" t="s">
        <v>60</v>
      </c>
      <c r="X23" t="s">
        <v>48</v>
      </c>
      <c r="AF23" t="s">
        <v>56</v>
      </c>
      <c r="AQ23" t="s">
        <v>48</v>
      </c>
      <c r="AR23" t="s">
        <v>84</v>
      </c>
      <c r="AS23" t="s">
        <v>124</v>
      </c>
    </row>
    <row r="24" spans="1:45" x14ac:dyDescent="0.3">
      <c r="A24" s="5" t="s">
        <v>21</v>
      </c>
      <c r="B24" t="s">
        <v>101</v>
      </c>
      <c r="C24" s="3">
        <f t="shared" si="9"/>
        <v>28</v>
      </c>
      <c r="D24">
        <v>16</v>
      </c>
      <c r="E24">
        <v>8</v>
      </c>
      <c r="F24">
        <v>4</v>
      </c>
      <c r="G24">
        <f t="shared" si="10"/>
        <v>4</v>
      </c>
      <c r="H24">
        <v>31</v>
      </c>
      <c r="I24">
        <v>23</v>
      </c>
      <c r="J24">
        <f t="shared" si="11"/>
        <v>8</v>
      </c>
      <c r="K24" t="s">
        <v>23</v>
      </c>
      <c r="L24" s="5" t="s">
        <v>21</v>
      </c>
      <c r="M24" t="s">
        <v>36</v>
      </c>
      <c r="N24" s="3">
        <f t="shared" si="12"/>
        <v>26</v>
      </c>
      <c r="O24">
        <v>16</v>
      </c>
      <c r="P24">
        <v>8</v>
      </c>
      <c r="Q24">
        <v>2</v>
      </c>
      <c r="R24">
        <f t="shared" si="13"/>
        <v>6</v>
      </c>
      <c r="S24">
        <v>36</v>
      </c>
      <c r="T24">
        <v>30</v>
      </c>
      <c r="U24">
        <f t="shared" si="14"/>
        <v>6</v>
      </c>
      <c r="W24" t="s">
        <v>62</v>
      </c>
      <c r="X24" t="s">
        <v>67</v>
      </c>
      <c r="AF24" t="s">
        <v>6</v>
      </c>
      <c r="AG24" t="s">
        <v>7</v>
      </c>
      <c r="AH24" t="s">
        <v>8</v>
      </c>
      <c r="AI24" t="s">
        <v>9</v>
      </c>
      <c r="AJ24" t="s">
        <v>10</v>
      </c>
      <c r="AK24" t="s">
        <v>11</v>
      </c>
      <c r="AL24" t="s">
        <v>12</v>
      </c>
      <c r="AM24" t="s">
        <v>13</v>
      </c>
      <c r="AN24" t="s">
        <v>14</v>
      </c>
      <c r="AO24" t="s">
        <v>15</v>
      </c>
      <c r="AQ24" t="s">
        <v>39</v>
      </c>
      <c r="AR24" t="s">
        <v>86</v>
      </c>
      <c r="AS24" t="s">
        <v>128</v>
      </c>
    </row>
    <row r="25" spans="1:45" x14ac:dyDescent="0.3">
      <c r="A25" s="5" t="s">
        <v>24</v>
      </c>
      <c r="B25" t="s">
        <v>29</v>
      </c>
      <c r="C25" s="3">
        <f t="shared" si="9"/>
        <v>25</v>
      </c>
      <c r="D25">
        <v>16</v>
      </c>
      <c r="E25">
        <v>7</v>
      </c>
      <c r="F25">
        <v>4</v>
      </c>
      <c r="G25">
        <f t="shared" si="10"/>
        <v>5</v>
      </c>
      <c r="H25">
        <v>22</v>
      </c>
      <c r="I25">
        <v>20</v>
      </c>
      <c r="J25">
        <f t="shared" si="11"/>
        <v>2</v>
      </c>
      <c r="K25" t="s">
        <v>19</v>
      </c>
      <c r="L25" s="5" t="s">
        <v>24</v>
      </c>
      <c r="M25" t="s">
        <v>35</v>
      </c>
      <c r="N25" s="3">
        <f t="shared" si="12"/>
        <v>26</v>
      </c>
      <c r="O25">
        <v>16</v>
      </c>
      <c r="P25">
        <v>8</v>
      </c>
      <c r="Q25">
        <v>2</v>
      </c>
      <c r="R25">
        <f t="shared" si="13"/>
        <v>6</v>
      </c>
      <c r="S25">
        <v>29</v>
      </c>
      <c r="T25">
        <v>24</v>
      </c>
      <c r="U25">
        <f t="shared" si="14"/>
        <v>5</v>
      </c>
      <c r="W25" t="s">
        <v>64</v>
      </c>
      <c r="X25" t="s">
        <v>28</v>
      </c>
      <c r="AF25" s="2" t="s">
        <v>4</v>
      </c>
      <c r="AG25" t="s">
        <v>137</v>
      </c>
      <c r="AH25" s="3">
        <f t="shared" ref="AH25:AH42" si="15">AJ25*3+AK25</f>
        <v>70</v>
      </c>
      <c r="AI25">
        <v>36</v>
      </c>
      <c r="AJ25">
        <v>21</v>
      </c>
      <c r="AK25">
        <v>7</v>
      </c>
      <c r="AL25">
        <f t="shared" ref="AL25:AL42" si="16">AI25-AJ25-AK25</f>
        <v>8</v>
      </c>
      <c r="AM25">
        <v>64</v>
      </c>
      <c r="AN25">
        <v>45</v>
      </c>
      <c r="AO25">
        <f t="shared" ref="AO25:AO42" si="17">AM25-AN25</f>
        <v>19</v>
      </c>
      <c r="AQ25" t="s">
        <v>45</v>
      </c>
      <c r="AR25" t="s">
        <v>83</v>
      </c>
      <c r="AS25" t="s">
        <v>123</v>
      </c>
    </row>
    <row r="26" spans="1:45" x14ac:dyDescent="0.3">
      <c r="A26" s="5" t="s">
        <v>27</v>
      </c>
      <c r="B26" t="s">
        <v>52</v>
      </c>
      <c r="C26" s="3">
        <f t="shared" si="9"/>
        <v>24</v>
      </c>
      <c r="D26">
        <v>16</v>
      </c>
      <c r="E26">
        <v>7</v>
      </c>
      <c r="F26">
        <v>3</v>
      </c>
      <c r="G26">
        <f t="shared" si="10"/>
        <v>6</v>
      </c>
      <c r="H26">
        <v>28</v>
      </c>
      <c r="I26">
        <v>25</v>
      </c>
      <c r="J26">
        <f t="shared" si="11"/>
        <v>3</v>
      </c>
      <c r="K26" t="s">
        <v>23</v>
      </c>
      <c r="L26" s="5" t="s">
        <v>27</v>
      </c>
      <c r="M26" t="s">
        <v>29</v>
      </c>
      <c r="N26" s="3">
        <f t="shared" si="12"/>
        <v>26</v>
      </c>
      <c r="O26">
        <v>16</v>
      </c>
      <c r="P26">
        <v>8</v>
      </c>
      <c r="Q26">
        <v>2</v>
      </c>
      <c r="R26">
        <f t="shared" si="13"/>
        <v>6</v>
      </c>
      <c r="S26">
        <v>23</v>
      </c>
      <c r="T26">
        <v>23</v>
      </c>
      <c r="U26">
        <f t="shared" si="14"/>
        <v>0</v>
      </c>
      <c r="W26" t="s">
        <v>66</v>
      </c>
      <c r="X26" t="s">
        <v>30</v>
      </c>
      <c r="AF26" s="10" t="s">
        <v>16</v>
      </c>
      <c r="AG26" t="s">
        <v>140</v>
      </c>
      <c r="AH26" s="3">
        <f t="shared" si="15"/>
        <v>69</v>
      </c>
      <c r="AI26">
        <v>36</v>
      </c>
      <c r="AJ26">
        <v>21</v>
      </c>
      <c r="AK26">
        <v>6</v>
      </c>
      <c r="AL26">
        <f t="shared" si="16"/>
        <v>9</v>
      </c>
      <c r="AM26">
        <v>60</v>
      </c>
      <c r="AN26">
        <v>36</v>
      </c>
      <c r="AO26">
        <f t="shared" si="17"/>
        <v>24</v>
      </c>
      <c r="AQ26" t="s">
        <v>50</v>
      </c>
      <c r="AR26" t="s">
        <v>84</v>
      </c>
      <c r="AS26" t="s">
        <v>148</v>
      </c>
    </row>
    <row r="27" spans="1:45" x14ac:dyDescent="0.3">
      <c r="A27" s="5" t="s">
        <v>31</v>
      </c>
      <c r="B27" t="s">
        <v>36</v>
      </c>
      <c r="C27" s="3">
        <f t="shared" si="9"/>
        <v>24</v>
      </c>
      <c r="D27">
        <v>16</v>
      </c>
      <c r="E27">
        <v>7</v>
      </c>
      <c r="F27">
        <v>3</v>
      </c>
      <c r="G27">
        <f t="shared" si="10"/>
        <v>6</v>
      </c>
      <c r="H27">
        <v>26</v>
      </c>
      <c r="I27">
        <v>28</v>
      </c>
      <c r="J27">
        <f t="shared" si="11"/>
        <v>-2</v>
      </c>
      <c r="K27" t="s">
        <v>23</v>
      </c>
      <c r="L27" s="5" t="s">
        <v>31</v>
      </c>
      <c r="M27" t="s">
        <v>52</v>
      </c>
      <c r="N27" s="3">
        <f t="shared" si="12"/>
        <v>25</v>
      </c>
      <c r="O27">
        <v>16</v>
      </c>
      <c r="P27">
        <v>7</v>
      </c>
      <c r="Q27">
        <v>4</v>
      </c>
      <c r="R27">
        <f t="shared" si="13"/>
        <v>5</v>
      </c>
      <c r="S27">
        <v>27</v>
      </c>
      <c r="T27">
        <v>24</v>
      </c>
      <c r="U27">
        <f t="shared" si="14"/>
        <v>3</v>
      </c>
      <c r="W27" t="s">
        <v>68</v>
      </c>
      <c r="X27" t="s">
        <v>45</v>
      </c>
      <c r="AF27" s="10" t="s">
        <v>21</v>
      </c>
      <c r="AG27" t="s">
        <v>128</v>
      </c>
      <c r="AH27" s="3">
        <f t="shared" si="15"/>
        <v>64</v>
      </c>
      <c r="AI27">
        <v>36</v>
      </c>
      <c r="AJ27">
        <v>19</v>
      </c>
      <c r="AK27">
        <v>7</v>
      </c>
      <c r="AL27">
        <f t="shared" si="16"/>
        <v>10</v>
      </c>
      <c r="AM27">
        <v>54</v>
      </c>
      <c r="AN27">
        <v>41</v>
      </c>
      <c r="AO27">
        <f t="shared" si="17"/>
        <v>13</v>
      </c>
      <c r="AQ27" t="s">
        <v>30</v>
      </c>
      <c r="AR27" t="s">
        <v>90</v>
      </c>
      <c r="AS27" t="s">
        <v>114</v>
      </c>
    </row>
    <row r="28" spans="1:45" x14ac:dyDescent="0.3">
      <c r="A28" s="5" t="s">
        <v>34</v>
      </c>
      <c r="B28" t="s">
        <v>45</v>
      </c>
      <c r="C28" s="3">
        <f t="shared" si="9"/>
        <v>23</v>
      </c>
      <c r="D28">
        <v>16</v>
      </c>
      <c r="E28">
        <v>6</v>
      </c>
      <c r="F28">
        <v>5</v>
      </c>
      <c r="G28">
        <f t="shared" si="10"/>
        <v>5</v>
      </c>
      <c r="H28">
        <v>24</v>
      </c>
      <c r="I28">
        <v>23</v>
      </c>
      <c r="J28">
        <f t="shared" si="11"/>
        <v>1</v>
      </c>
      <c r="K28" t="s">
        <v>19</v>
      </c>
      <c r="L28" s="5" t="s">
        <v>34</v>
      </c>
      <c r="M28" t="s">
        <v>22</v>
      </c>
      <c r="N28" s="3">
        <f t="shared" si="12"/>
        <v>24</v>
      </c>
      <c r="O28">
        <v>16</v>
      </c>
      <c r="P28">
        <v>7</v>
      </c>
      <c r="Q28">
        <v>3</v>
      </c>
      <c r="R28">
        <f t="shared" si="13"/>
        <v>6</v>
      </c>
      <c r="S28">
        <v>26</v>
      </c>
      <c r="T28">
        <v>22</v>
      </c>
      <c r="U28">
        <f t="shared" si="14"/>
        <v>4</v>
      </c>
      <c r="W28" t="s">
        <v>70</v>
      </c>
      <c r="X28" t="s">
        <v>26</v>
      </c>
      <c r="AF28" s="10" t="s">
        <v>24</v>
      </c>
      <c r="AG28" t="s">
        <v>141</v>
      </c>
      <c r="AH28" s="3">
        <f t="shared" si="15"/>
        <v>59</v>
      </c>
      <c r="AI28">
        <v>36</v>
      </c>
      <c r="AJ28">
        <v>16</v>
      </c>
      <c r="AK28">
        <v>11</v>
      </c>
      <c r="AL28">
        <f t="shared" si="16"/>
        <v>9</v>
      </c>
      <c r="AM28">
        <v>63</v>
      </c>
      <c r="AN28">
        <v>48</v>
      </c>
      <c r="AO28">
        <f t="shared" si="17"/>
        <v>15</v>
      </c>
      <c r="AQ28" t="s">
        <v>72</v>
      </c>
      <c r="AR28" t="s">
        <v>93</v>
      </c>
      <c r="AS28" t="s">
        <v>136</v>
      </c>
    </row>
    <row r="29" spans="1:45" x14ac:dyDescent="0.3">
      <c r="A29" s="5" t="s">
        <v>37</v>
      </c>
      <c r="B29" t="s">
        <v>20</v>
      </c>
      <c r="C29" s="3">
        <f t="shared" si="9"/>
        <v>23</v>
      </c>
      <c r="D29">
        <v>16</v>
      </c>
      <c r="E29">
        <v>7</v>
      </c>
      <c r="F29">
        <v>2</v>
      </c>
      <c r="G29">
        <f t="shared" si="10"/>
        <v>7</v>
      </c>
      <c r="H29">
        <v>26</v>
      </c>
      <c r="I29">
        <v>30</v>
      </c>
      <c r="J29">
        <f t="shared" si="11"/>
        <v>-4</v>
      </c>
      <c r="K29" t="s">
        <v>19</v>
      </c>
      <c r="L29" s="5" t="s">
        <v>37</v>
      </c>
      <c r="M29" t="s">
        <v>101</v>
      </c>
      <c r="N29" s="3">
        <f t="shared" si="12"/>
        <v>23</v>
      </c>
      <c r="O29">
        <v>16</v>
      </c>
      <c r="P29">
        <v>7</v>
      </c>
      <c r="Q29">
        <v>2</v>
      </c>
      <c r="R29">
        <f t="shared" si="13"/>
        <v>7</v>
      </c>
      <c r="S29">
        <v>29</v>
      </c>
      <c r="T29">
        <v>30</v>
      </c>
      <c r="U29">
        <f t="shared" si="14"/>
        <v>-1</v>
      </c>
      <c r="W29" t="s">
        <v>71</v>
      </c>
      <c r="X29" t="s">
        <v>63</v>
      </c>
      <c r="AF29" s="10" t="s">
        <v>27</v>
      </c>
      <c r="AG29" t="s">
        <v>136</v>
      </c>
      <c r="AH29" s="3">
        <f t="shared" si="15"/>
        <v>53</v>
      </c>
      <c r="AI29">
        <v>36</v>
      </c>
      <c r="AJ29">
        <v>16</v>
      </c>
      <c r="AK29">
        <v>5</v>
      </c>
      <c r="AL29">
        <f t="shared" si="16"/>
        <v>15</v>
      </c>
      <c r="AM29">
        <v>52</v>
      </c>
      <c r="AN29">
        <v>53</v>
      </c>
      <c r="AO29">
        <f t="shared" si="17"/>
        <v>-1</v>
      </c>
      <c r="AQ29" t="s">
        <v>33</v>
      </c>
      <c r="AR29" t="s">
        <v>155</v>
      </c>
      <c r="AS29" t="s">
        <v>116</v>
      </c>
    </row>
    <row r="30" spans="1:45" x14ac:dyDescent="0.3">
      <c r="A30" t="s">
        <v>38</v>
      </c>
      <c r="B30" t="s">
        <v>102</v>
      </c>
      <c r="C30" s="3">
        <f t="shared" si="9"/>
        <v>22</v>
      </c>
      <c r="D30">
        <v>16</v>
      </c>
      <c r="E30">
        <v>7</v>
      </c>
      <c r="F30">
        <v>1</v>
      </c>
      <c r="G30">
        <f t="shared" si="10"/>
        <v>8</v>
      </c>
      <c r="H30">
        <v>24</v>
      </c>
      <c r="I30">
        <v>27</v>
      </c>
      <c r="J30">
        <f t="shared" si="11"/>
        <v>-3</v>
      </c>
      <c r="K30" t="s">
        <v>23</v>
      </c>
      <c r="L30" t="s">
        <v>38</v>
      </c>
      <c r="M30" t="s">
        <v>48</v>
      </c>
      <c r="N30" s="3">
        <f t="shared" si="12"/>
        <v>22</v>
      </c>
      <c r="O30">
        <v>16</v>
      </c>
      <c r="P30">
        <v>7</v>
      </c>
      <c r="Q30">
        <v>1</v>
      </c>
      <c r="R30">
        <f t="shared" si="13"/>
        <v>8</v>
      </c>
      <c r="S30">
        <v>25</v>
      </c>
      <c r="T30">
        <v>21</v>
      </c>
      <c r="U30">
        <f t="shared" si="14"/>
        <v>4</v>
      </c>
      <c r="W30" t="s">
        <v>73</v>
      </c>
      <c r="X30" t="s">
        <v>5</v>
      </c>
      <c r="AF30" s="10" t="s">
        <v>31</v>
      </c>
      <c r="AG30" t="s">
        <v>130</v>
      </c>
      <c r="AH30" s="3">
        <f t="shared" si="15"/>
        <v>52</v>
      </c>
      <c r="AI30">
        <v>36</v>
      </c>
      <c r="AJ30">
        <v>14</v>
      </c>
      <c r="AK30">
        <v>10</v>
      </c>
      <c r="AL30">
        <f t="shared" si="16"/>
        <v>12</v>
      </c>
      <c r="AM30">
        <v>49</v>
      </c>
      <c r="AN30">
        <v>40</v>
      </c>
      <c r="AO30">
        <f t="shared" si="17"/>
        <v>9</v>
      </c>
      <c r="AQ30" t="s">
        <v>18</v>
      </c>
      <c r="AR30" t="s">
        <v>105</v>
      </c>
      <c r="AS30" t="s">
        <v>133</v>
      </c>
    </row>
    <row r="31" spans="1:45" x14ac:dyDescent="0.3">
      <c r="A31" t="s">
        <v>41</v>
      </c>
      <c r="B31" t="s">
        <v>22</v>
      </c>
      <c r="C31" s="3">
        <f t="shared" si="9"/>
        <v>21</v>
      </c>
      <c r="D31">
        <v>16</v>
      </c>
      <c r="E31">
        <v>6</v>
      </c>
      <c r="F31">
        <v>3</v>
      </c>
      <c r="G31">
        <f t="shared" si="10"/>
        <v>7</v>
      </c>
      <c r="H31">
        <v>23</v>
      </c>
      <c r="I31">
        <v>30</v>
      </c>
      <c r="J31">
        <f t="shared" si="11"/>
        <v>-7</v>
      </c>
      <c r="K31" t="s">
        <v>19</v>
      </c>
      <c r="L31" t="s">
        <v>41</v>
      </c>
      <c r="M31" t="s">
        <v>102</v>
      </c>
      <c r="N31" s="3">
        <f t="shared" si="12"/>
        <v>21</v>
      </c>
      <c r="O31">
        <v>16</v>
      </c>
      <c r="P31">
        <v>6</v>
      </c>
      <c r="Q31">
        <v>3</v>
      </c>
      <c r="R31">
        <f t="shared" si="13"/>
        <v>7</v>
      </c>
      <c r="S31">
        <v>22</v>
      </c>
      <c r="T31">
        <v>32</v>
      </c>
      <c r="U31">
        <f t="shared" si="14"/>
        <v>-10</v>
      </c>
      <c r="W31" s="7" t="s">
        <v>74</v>
      </c>
      <c r="X31" t="s">
        <v>99</v>
      </c>
      <c r="AF31" s="10" t="s">
        <v>34</v>
      </c>
      <c r="AG31" t="s">
        <v>149</v>
      </c>
      <c r="AH31" s="3">
        <f t="shared" si="15"/>
        <v>51</v>
      </c>
      <c r="AI31">
        <v>36</v>
      </c>
      <c r="AJ31">
        <v>14</v>
      </c>
      <c r="AK31">
        <v>9</v>
      </c>
      <c r="AL31">
        <f t="shared" si="16"/>
        <v>13</v>
      </c>
      <c r="AM31">
        <v>60</v>
      </c>
      <c r="AN31">
        <v>48</v>
      </c>
      <c r="AO31">
        <f t="shared" si="17"/>
        <v>12</v>
      </c>
      <c r="AQ31" t="s">
        <v>17</v>
      </c>
      <c r="AR31" t="s">
        <v>80</v>
      </c>
      <c r="AS31" t="s">
        <v>118</v>
      </c>
    </row>
    <row r="32" spans="1:45" x14ac:dyDescent="0.3">
      <c r="A32" t="s">
        <v>43</v>
      </c>
      <c r="B32" t="s">
        <v>30</v>
      </c>
      <c r="C32" s="3">
        <f t="shared" si="9"/>
        <v>20</v>
      </c>
      <c r="D32">
        <v>16</v>
      </c>
      <c r="E32">
        <v>5</v>
      </c>
      <c r="F32">
        <v>5</v>
      </c>
      <c r="G32">
        <f t="shared" si="10"/>
        <v>6</v>
      </c>
      <c r="H32">
        <v>27</v>
      </c>
      <c r="I32">
        <v>26</v>
      </c>
      <c r="J32">
        <f t="shared" si="11"/>
        <v>1</v>
      </c>
      <c r="K32" t="s">
        <v>23</v>
      </c>
      <c r="L32" t="s">
        <v>43</v>
      </c>
      <c r="M32" t="s">
        <v>30</v>
      </c>
      <c r="N32" s="3">
        <f t="shared" si="12"/>
        <v>19</v>
      </c>
      <c r="O32">
        <v>16</v>
      </c>
      <c r="P32">
        <v>6</v>
      </c>
      <c r="Q32">
        <v>1</v>
      </c>
      <c r="R32">
        <f t="shared" si="13"/>
        <v>9</v>
      </c>
      <c r="S32">
        <v>26</v>
      </c>
      <c r="T32">
        <v>28</v>
      </c>
      <c r="U32">
        <f t="shared" si="14"/>
        <v>-2</v>
      </c>
      <c r="AF32" s="10" t="s">
        <v>37</v>
      </c>
      <c r="AG32" t="s">
        <v>132</v>
      </c>
      <c r="AH32" s="3">
        <f t="shared" si="15"/>
        <v>50</v>
      </c>
      <c r="AI32">
        <v>36</v>
      </c>
      <c r="AJ32">
        <v>13</v>
      </c>
      <c r="AK32">
        <v>11</v>
      </c>
      <c r="AL32">
        <f t="shared" si="16"/>
        <v>12</v>
      </c>
      <c r="AM32">
        <v>52</v>
      </c>
      <c r="AN32">
        <v>50</v>
      </c>
      <c r="AO32">
        <f t="shared" si="17"/>
        <v>2</v>
      </c>
      <c r="AQ32" t="s">
        <v>22</v>
      </c>
      <c r="AR32" t="s">
        <v>84</v>
      </c>
      <c r="AS32" t="s">
        <v>149</v>
      </c>
    </row>
    <row r="33" spans="1:45" x14ac:dyDescent="0.3">
      <c r="A33" t="s">
        <v>44</v>
      </c>
      <c r="B33" t="s">
        <v>35</v>
      </c>
      <c r="C33" s="3">
        <f t="shared" si="9"/>
        <v>20</v>
      </c>
      <c r="D33">
        <v>16</v>
      </c>
      <c r="E33">
        <v>6</v>
      </c>
      <c r="F33">
        <v>2</v>
      </c>
      <c r="G33">
        <f t="shared" si="10"/>
        <v>8</v>
      </c>
      <c r="H33">
        <v>20</v>
      </c>
      <c r="I33">
        <v>21</v>
      </c>
      <c r="J33">
        <f t="shared" si="11"/>
        <v>-1</v>
      </c>
      <c r="K33" t="s">
        <v>19</v>
      </c>
      <c r="L33" t="s">
        <v>44</v>
      </c>
      <c r="M33" t="s">
        <v>20</v>
      </c>
      <c r="N33" s="3">
        <f t="shared" si="12"/>
        <v>19</v>
      </c>
      <c r="O33">
        <v>16</v>
      </c>
      <c r="P33">
        <v>5</v>
      </c>
      <c r="Q33">
        <v>4</v>
      </c>
      <c r="R33">
        <f t="shared" si="13"/>
        <v>7</v>
      </c>
      <c r="S33">
        <v>26</v>
      </c>
      <c r="T33">
        <v>31</v>
      </c>
      <c r="U33">
        <f t="shared" si="14"/>
        <v>-5</v>
      </c>
      <c r="W33" t="s">
        <v>75</v>
      </c>
      <c r="AF33" t="s">
        <v>38</v>
      </c>
      <c r="AG33" t="s">
        <v>131</v>
      </c>
      <c r="AH33" s="3">
        <f t="shared" si="15"/>
        <v>49</v>
      </c>
      <c r="AI33">
        <v>36</v>
      </c>
      <c r="AJ33">
        <v>14</v>
      </c>
      <c r="AK33">
        <v>7</v>
      </c>
      <c r="AL33">
        <f t="shared" si="16"/>
        <v>15</v>
      </c>
      <c r="AM33">
        <v>57</v>
      </c>
      <c r="AN33">
        <v>61</v>
      </c>
      <c r="AO33">
        <f t="shared" si="17"/>
        <v>-4</v>
      </c>
      <c r="AQ33" t="s">
        <v>69</v>
      </c>
      <c r="AR33" t="s">
        <v>87</v>
      </c>
      <c r="AS33" t="s">
        <v>142</v>
      </c>
    </row>
    <row r="34" spans="1:45" x14ac:dyDescent="0.3">
      <c r="A34" t="s">
        <v>47</v>
      </c>
      <c r="B34" t="s">
        <v>48</v>
      </c>
      <c r="C34" s="3">
        <f t="shared" si="9"/>
        <v>18</v>
      </c>
      <c r="D34">
        <v>16</v>
      </c>
      <c r="E34">
        <v>4</v>
      </c>
      <c r="F34">
        <v>6</v>
      </c>
      <c r="G34">
        <f t="shared" si="10"/>
        <v>6</v>
      </c>
      <c r="H34">
        <v>24</v>
      </c>
      <c r="I34">
        <v>25</v>
      </c>
      <c r="J34">
        <f t="shared" si="11"/>
        <v>-1</v>
      </c>
      <c r="K34" t="s">
        <v>19</v>
      </c>
      <c r="L34" t="s">
        <v>47</v>
      </c>
      <c r="M34" t="s">
        <v>100</v>
      </c>
      <c r="N34" s="3">
        <f t="shared" si="12"/>
        <v>19</v>
      </c>
      <c r="O34">
        <v>16</v>
      </c>
      <c r="P34">
        <v>6</v>
      </c>
      <c r="Q34">
        <v>1</v>
      </c>
      <c r="R34">
        <f t="shared" si="13"/>
        <v>9</v>
      </c>
      <c r="S34">
        <v>18</v>
      </c>
      <c r="T34">
        <v>25</v>
      </c>
      <c r="U34">
        <f t="shared" si="14"/>
        <v>-7</v>
      </c>
      <c r="W34" t="s">
        <v>6</v>
      </c>
      <c r="X34" t="s">
        <v>7</v>
      </c>
      <c r="Y34">
        <v>2025</v>
      </c>
      <c r="Z34">
        <v>2026</v>
      </c>
      <c r="AA34">
        <v>2027</v>
      </c>
      <c r="AB34" t="s">
        <v>76</v>
      </c>
      <c r="AC34" t="s">
        <v>9</v>
      </c>
      <c r="AD34" t="s">
        <v>77</v>
      </c>
      <c r="AF34" t="s">
        <v>41</v>
      </c>
      <c r="AG34" t="s">
        <v>129</v>
      </c>
      <c r="AH34" s="3">
        <f t="shared" si="15"/>
        <v>47</v>
      </c>
      <c r="AI34">
        <v>36</v>
      </c>
      <c r="AJ34">
        <v>12</v>
      </c>
      <c r="AK34">
        <v>11</v>
      </c>
      <c r="AL34">
        <f t="shared" si="16"/>
        <v>13</v>
      </c>
      <c r="AM34">
        <v>51</v>
      </c>
      <c r="AN34">
        <v>51</v>
      </c>
      <c r="AO34">
        <f t="shared" si="17"/>
        <v>0</v>
      </c>
      <c r="AQ34" t="s">
        <v>32</v>
      </c>
      <c r="AR34" t="s">
        <v>156</v>
      </c>
      <c r="AS34" t="s">
        <v>137</v>
      </c>
    </row>
    <row r="35" spans="1:45" x14ac:dyDescent="0.3">
      <c r="A35" t="s">
        <v>49</v>
      </c>
      <c r="B35" t="s">
        <v>61</v>
      </c>
      <c r="C35" s="3">
        <f t="shared" si="9"/>
        <v>17</v>
      </c>
      <c r="D35">
        <v>16</v>
      </c>
      <c r="E35">
        <v>5</v>
      </c>
      <c r="F35">
        <v>2</v>
      </c>
      <c r="G35">
        <f t="shared" si="10"/>
        <v>9</v>
      </c>
      <c r="H35">
        <v>29</v>
      </c>
      <c r="I35">
        <v>33</v>
      </c>
      <c r="J35">
        <f t="shared" si="11"/>
        <v>-4</v>
      </c>
      <c r="K35" t="s">
        <v>23</v>
      </c>
      <c r="L35" t="s">
        <v>49</v>
      </c>
      <c r="M35" t="s">
        <v>5</v>
      </c>
      <c r="N35" s="3">
        <f t="shared" si="12"/>
        <v>18</v>
      </c>
      <c r="O35">
        <v>16</v>
      </c>
      <c r="P35">
        <v>4</v>
      </c>
      <c r="Q35">
        <v>6</v>
      </c>
      <c r="R35">
        <f t="shared" si="13"/>
        <v>6</v>
      </c>
      <c r="S35">
        <v>16</v>
      </c>
      <c r="T35">
        <v>20</v>
      </c>
      <c r="U35">
        <f t="shared" si="14"/>
        <v>-4</v>
      </c>
      <c r="W35" s="8" t="s">
        <v>4</v>
      </c>
      <c r="X35" t="s">
        <v>18</v>
      </c>
      <c r="Y35">
        <v>62</v>
      </c>
      <c r="Z35">
        <v>56</v>
      </c>
      <c r="AA35">
        <v>51</v>
      </c>
      <c r="AB35">
        <f t="shared" ref="AB35:AB64" si="18">Y35+Z35+AA35</f>
        <v>169</v>
      </c>
      <c r="AC35">
        <v>96</v>
      </c>
      <c r="AD35">
        <f t="shared" ref="AD35:AD64" si="19">AB35/AC35</f>
        <v>1.7604166666666667</v>
      </c>
      <c r="AF35" t="s">
        <v>43</v>
      </c>
      <c r="AG35" t="s">
        <v>46</v>
      </c>
      <c r="AH35" s="3">
        <f t="shared" si="15"/>
        <v>46</v>
      </c>
      <c r="AI35">
        <v>36</v>
      </c>
      <c r="AJ35">
        <v>11</v>
      </c>
      <c r="AK35">
        <v>13</v>
      </c>
      <c r="AL35">
        <f t="shared" si="16"/>
        <v>12</v>
      </c>
      <c r="AM35">
        <v>56</v>
      </c>
      <c r="AN35">
        <v>60</v>
      </c>
      <c r="AO35">
        <f t="shared" si="17"/>
        <v>-4</v>
      </c>
      <c r="AQ35" t="s">
        <v>67</v>
      </c>
      <c r="AR35" t="s">
        <v>157</v>
      </c>
      <c r="AS35" t="s">
        <v>125</v>
      </c>
    </row>
    <row r="36" spans="1:45" x14ac:dyDescent="0.3">
      <c r="A36" t="s">
        <v>51</v>
      </c>
      <c r="B36" t="s">
        <v>5</v>
      </c>
      <c r="C36" s="3">
        <f t="shared" si="9"/>
        <v>14</v>
      </c>
      <c r="D36">
        <v>16</v>
      </c>
      <c r="E36">
        <v>4</v>
      </c>
      <c r="F36">
        <v>2</v>
      </c>
      <c r="G36">
        <f t="shared" si="10"/>
        <v>10</v>
      </c>
      <c r="H36">
        <v>18</v>
      </c>
      <c r="I36">
        <v>26</v>
      </c>
      <c r="J36">
        <f t="shared" si="11"/>
        <v>-8</v>
      </c>
      <c r="K36" t="s">
        <v>23</v>
      </c>
      <c r="L36" t="s">
        <v>51</v>
      </c>
      <c r="M36" t="s">
        <v>45</v>
      </c>
      <c r="N36" s="3">
        <f t="shared" si="12"/>
        <v>15</v>
      </c>
      <c r="O36">
        <v>16</v>
      </c>
      <c r="P36">
        <v>5</v>
      </c>
      <c r="Q36">
        <v>0</v>
      </c>
      <c r="R36">
        <f t="shared" si="13"/>
        <v>11</v>
      </c>
      <c r="S36">
        <v>17</v>
      </c>
      <c r="T36">
        <v>27</v>
      </c>
      <c r="U36">
        <f t="shared" si="14"/>
        <v>-10</v>
      </c>
      <c r="W36" s="8" t="s">
        <v>16</v>
      </c>
      <c r="X36" t="s">
        <v>17</v>
      </c>
      <c r="Y36">
        <v>53</v>
      </c>
      <c r="Z36">
        <v>63</v>
      </c>
      <c r="AA36">
        <v>49</v>
      </c>
      <c r="AB36">
        <f t="shared" si="18"/>
        <v>165</v>
      </c>
      <c r="AC36">
        <v>96</v>
      </c>
      <c r="AD36">
        <f t="shared" si="19"/>
        <v>1.71875</v>
      </c>
      <c r="AF36" t="s">
        <v>44</v>
      </c>
      <c r="AG36" t="s">
        <v>133</v>
      </c>
      <c r="AH36" s="3">
        <f t="shared" si="15"/>
        <v>45</v>
      </c>
      <c r="AI36">
        <v>36</v>
      </c>
      <c r="AJ36">
        <v>12</v>
      </c>
      <c r="AK36">
        <v>9</v>
      </c>
      <c r="AL36">
        <f t="shared" si="16"/>
        <v>15</v>
      </c>
      <c r="AM36">
        <v>58</v>
      </c>
      <c r="AN36">
        <v>64</v>
      </c>
      <c r="AO36">
        <f t="shared" si="17"/>
        <v>-6</v>
      </c>
      <c r="AQ36" t="s">
        <v>65</v>
      </c>
      <c r="AR36" t="s">
        <v>84</v>
      </c>
      <c r="AS36" t="s">
        <v>140</v>
      </c>
    </row>
    <row r="37" spans="1:45" x14ac:dyDescent="0.3">
      <c r="W37" s="8" t="s">
        <v>21</v>
      </c>
      <c r="X37" t="s">
        <v>98</v>
      </c>
      <c r="Y37">
        <v>0</v>
      </c>
      <c r="Z37">
        <v>0</v>
      </c>
      <c r="AA37">
        <v>52</v>
      </c>
      <c r="AB37">
        <f t="shared" si="18"/>
        <v>52</v>
      </c>
      <c r="AC37">
        <v>32</v>
      </c>
      <c r="AD37">
        <f t="shared" si="19"/>
        <v>1.625</v>
      </c>
      <c r="AF37" t="s">
        <v>47</v>
      </c>
      <c r="AG37" t="s">
        <v>142</v>
      </c>
      <c r="AH37" s="3">
        <f t="shared" si="15"/>
        <v>44</v>
      </c>
      <c r="AI37">
        <v>36</v>
      </c>
      <c r="AJ37">
        <v>12</v>
      </c>
      <c r="AK37">
        <v>8</v>
      </c>
      <c r="AL37">
        <f t="shared" si="16"/>
        <v>16</v>
      </c>
      <c r="AM37">
        <v>44</v>
      </c>
      <c r="AN37">
        <v>51</v>
      </c>
      <c r="AO37">
        <f t="shared" si="17"/>
        <v>-7</v>
      </c>
      <c r="AQ37" t="s">
        <v>46</v>
      </c>
      <c r="AR37" t="s">
        <v>105</v>
      </c>
      <c r="AS37" t="s">
        <v>122</v>
      </c>
    </row>
    <row r="38" spans="1:45" x14ac:dyDescent="0.3">
      <c r="A38" t="s">
        <v>78</v>
      </c>
      <c r="L38" t="s">
        <v>78</v>
      </c>
      <c r="W38" s="8" t="s">
        <v>24</v>
      </c>
      <c r="X38" t="s">
        <v>101</v>
      </c>
      <c r="Y38">
        <v>0</v>
      </c>
      <c r="Z38">
        <v>0</v>
      </c>
      <c r="AA38">
        <v>51</v>
      </c>
      <c r="AB38">
        <f t="shared" si="18"/>
        <v>51</v>
      </c>
      <c r="AC38">
        <v>32</v>
      </c>
      <c r="AD38">
        <f t="shared" si="19"/>
        <v>1.59375</v>
      </c>
      <c r="AF38" t="s">
        <v>49</v>
      </c>
      <c r="AG38" t="s">
        <v>42</v>
      </c>
      <c r="AH38" s="3">
        <f t="shared" si="15"/>
        <v>42</v>
      </c>
      <c r="AI38">
        <v>36</v>
      </c>
      <c r="AJ38">
        <v>13</v>
      </c>
      <c r="AK38">
        <v>3</v>
      </c>
      <c r="AL38">
        <f t="shared" si="16"/>
        <v>20</v>
      </c>
      <c r="AM38">
        <v>57</v>
      </c>
      <c r="AN38">
        <v>57</v>
      </c>
      <c r="AO38">
        <f t="shared" si="17"/>
        <v>0</v>
      </c>
      <c r="AQ38" t="s">
        <v>20</v>
      </c>
      <c r="AR38" t="s">
        <v>89</v>
      </c>
      <c r="AS38" t="s">
        <v>127</v>
      </c>
    </row>
    <row r="39" spans="1:45" x14ac:dyDescent="0.3">
      <c r="A39" t="str">
        <f>B4</f>
        <v>Talleres</v>
      </c>
      <c r="B39" t="s">
        <v>81</v>
      </c>
      <c r="C39" t="str">
        <f>B29</f>
        <v>Barracas Central</v>
      </c>
      <c r="L39" t="str">
        <f>M4</f>
        <v>Racing</v>
      </c>
      <c r="M39" t="s">
        <v>84</v>
      </c>
      <c r="N39" t="str">
        <f>M29</f>
        <v>Almagro</v>
      </c>
      <c r="W39" s="8" t="s">
        <v>27</v>
      </c>
      <c r="X39" t="s">
        <v>33</v>
      </c>
      <c r="Y39">
        <v>0</v>
      </c>
      <c r="Z39">
        <v>44</v>
      </c>
      <c r="AA39">
        <v>56</v>
      </c>
      <c r="AB39">
        <f t="shared" si="18"/>
        <v>100</v>
      </c>
      <c r="AC39">
        <v>64</v>
      </c>
      <c r="AD39">
        <f t="shared" si="19"/>
        <v>1.5625</v>
      </c>
      <c r="AF39" t="s">
        <v>51</v>
      </c>
      <c r="AG39" t="s">
        <v>134</v>
      </c>
      <c r="AH39" s="3">
        <f t="shared" si="15"/>
        <v>42</v>
      </c>
      <c r="AI39">
        <v>36</v>
      </c>
      <c r="AJ39">
        <v>10</v>
      </c>
      <c r="AK39">
        <v>12</v>
      </c>
      <c r="AL39">
        <f t="shared" si="16"/>
        <v>14</v>
      </c>
      <c r="AM39">
        <v>54</v>
      </c>
      <c r="AN39">
        <v>60</v>
      </c>
      <c r="AO39">
        <f t="shared" si="17"/>
        <v>-6</v>
      </c>
    </row>
    <row r="40" spans="1:45" x14ac:dyDescent="0.3">
      <c r="A40" t="str">
        <f>B25</f>
        <v>Belgrano</v>
      </c>
      <c r="B40" t="s">
        <v>103</v>
      </c>
      <c r="C40" t="str">
        <f>B8</f>
        <v>Rosario Central</v>
      </c>
      <c r="L40" t="str">
        <f>M25</f>
        <v>Tigre</v>
      </c>
      <c r="M40" t="s">
        <v>92</v>
      </c>
      <c r="N40" t="str">
        <f>M8</f>
        <v>Estudiantes Río Cuarto</v>
      </c>
      <c r="W40" s="8" t="s">
        <v>31</v>
      </c>
      <c r="X40" t="s">
        <v>25</v>
      </c>
      <c r="Y40">
        <v>35</v>
      </c>
      <c r="Z40">
        <v>55</v>
      </c>
      <c r="AA40">
        <v>60</v>
      </c>
      <c r="AB40">
        <f t="shared" si="18"/>
        <v>150</v>
      </c>
      <c r="AC40">
        <v>96</v>
      </c>
      <c r="AD40">
        <f t="shared" si="19"/>
        <v>1.5625</v>
      </c>
      <c r="AF40" t="s">
        <v>53</v>
      </c>
      <c r="AG40" t="s">
        <v>138</v>
      </c>
      <c r="AH40" s="3">
        <f t="shared" si="15"/>
        <v>41</v>
      </c>
      <c r="AI40">
        <v>36</v>
      </c>
      <c r="AJ40">
        <v>11</v>
      </c>
      <c r="AK40">
        <v>8</v>
      </c>
      <c r="AL40">
        <f t="shared" si="16"/>
        <v>17</v>
      </c>
      <c r="AM40">
        <v>46</v>
      </c>
      <c r="AN40">
        <v>61</v>
      </c>
      <c r="AO40">
        <f t="shared" si="17"/>
        <v>-15</v>
      </c>
      <c r="AQ40" t="s">
        <v>153</v>
      </c>
    </row>
    <row r="41" spans="1:45" x14ac:dyDescent="0.3">
      <c r="A41" t="str">
        <f>B23</f>
        <v>Gimnasia LP</v>
      </c>
      <c r="B41" t="s">
        <v>87</v>
      </c>
      <c r="C41" t="str">
        <f>B10</f>
        <v>Vélez</v>
      </c>
      <c r="L41" t="str">
        <f>M23</f>
        <v>Instituto</v>
      </c>
      <c r="M41" t="s">
        <v>83</v>
      </c>
      <c r="N41" t="str">
        <f>M10</f>
        <v>San Lorenzo</v>
      </c>
      <c r="W41" s="8" t="s">
        <v>34</v>
      </c>
      <c r="X41" t="s">
        <v>5</v>
      </c>
      <c r="Y41">
        <v>50</v>
      </c>
      <c r="Z41">
        <v>65</v>
      </c>
      <c r="AA41">
        <v>32</v>
      </c>
      <c r="AB41">
        <f t="shared" si="18"/>
        <v>147</v>
      </c>
      <c r="AC41">
        <v>96</v>
      </c>
      <c r="AD41">
        <f t="shared" si="19"/>
        <v>1.53125</v>
      </c>
      <c r="AF41" t="s">
        <v>54</v>
      </c>
      <c r="AG41" t="s">
        <v>135</v>
      </c>
      <c r="AH41" s="3">
        <f t="shared" si="15"/>
        <v>40</v>
      </c>
      <c r="AI41">
        <v>36</v>
      </c>
      <c r="AJ41">
        <v>10</v>
      </c>
      <c r="AK41">
        <v>10</v>
      </c>
      <c r="AL41">
        <f t="shared" si="16"/>
        <v>16</v>
      </c>
      <c r="AM41">
        <v>50</v>
      </c>
      <c r="AN41">
        <v>66</v>
      </c>
      <c r="AO41">
        <f t="shared" si="17"/>
        <v>-16</v>
      </c>
      <c r="AQ41" t="s">
        <v>35</v>
      </c>
      <c r="AR41" t="s">
        <v>87</v>
      </c>
      <c r="AS41" t="s">
        <v>99</v>
      </c>
    </row>
    <row r="42" spans="1:45" x14ac:dyDescent="0.3">
      <c r="A42" t="str">
        <f>B6</f>
        <v>Sarmiento</v>
      </c>
      <c r="B42" t="s">
        <v>104</v>
      </c>
      <c r="C42" t="str">
        <f>B27</f>
        <v>Independiente</v>
      </c>
      <c r="L42" t="str">
        <f>M6</f>
        <v>Sarmiento</v>
      </c>
      <c r="M42" t="s">
        <v>106</v>
      </c>
      <c r="N42" t="str">
        <f>M27</f>
        <v>Unión</v>
      </c>
      <c r="W42" s="8" t="s">
        <v>37</v>
      </c>
      <c r="X42" t="s">
        <v>40</v>
      </c>
      <c r="Y42">
        <v>66</v>
      </c>
      <c r="Z42">
        <v>36</v>
      </c>
      <c r="AA42">
        <v>43</v>
      </c>
      <c r="AB42">
        <f t="shared" si="18"/>
        <v>145</v>
      </c>
      <c r="AC42">
        <v>96</v>
      </c>
      <c r="AD42">
        <f t="shared" si="19"/>
        <v>1.5104166666666667</v>
      </c>
      <c r="AF42" t="s">
        <v>55</v>
      </c>
      <c r="AG42" t="s">
        <v>139</v>
      </c>
      <c r="AH42" s="3">
        <f t="shared" si="15"/>
        <v>40</v>
      </c>
      <c r="AI42">
        <v>36</v>
      </c>
      <c r="AJ42">
        <v>11</v>
      </c>
      <c r="AK42">
        <v>7</v>
      </c>
      <c r="AL42">
        <f t="shared" si="16"/>
        <v>18</v>
      </c>
      <c r="AM42">
        <v>49</v>
      </c>
      <c r="AN42">
        <v>66</v>
      </c>
      <c r="AO42">
        <f t="shared" si="17"/>
        <v>-17</v>
      </c>
      <c r="AQ42" t="s">
        <v>121</v>
      </c>
      <c r="AR42" t="s">
        <v>92</v>
      </c>
      <c r="AS42" t="s">
        <v>132</v>
      </c>
    </row>
    <row r="43" spans="1:45" x14ac:dyDescent="0.3">
      <c r="A43" t="str">
        <f>B22</f>
        <v>Instituto</v>
      </c>
      <c r="B43" t="s">
        <v>87</v>
      </c>
      <c r="C43" t="str">
        <f>B11</f>
        <v>Boca Juniors</v>
      </c>
      <c r="L43" t="str">
        <f>M22</f>
        <v>Huracán</v>
      </c>
      <c r="M43" t="s">
        <v>87</v>
      </c>
      <c r="N43" t="str">
        <f>M11</f>
        <v>Platense</v>
      </c>
      <c r="W43" s="8" t="s">
        <v>38</v>
      </c>
      <c r="X43" t="s">
        <v>29</v>
      </c>
      <c r="Y43">
        <v>37</v>
      </c>
      <c r="Z43">
        <v>55</v>
      </c>
      <c r="AA43">
        <v>51</v>
      </c>
      <c r="AB43">
        <f t="shared" si="18"/>
        <v>143</v>
      </c>
      <c r="AC43">
        <v>96</v>
      </c>
      <c r="AD43">
        <f t="shared" si="19"/>
        <v>1.4895833333333333</v>
      </c>
      <c r="AQ43" t="s">
        <v>138</v>
      </c>
      <c r="AR43" t="s">
        <v>158</v>
      </c>
      <c r="AS43" t="s">
        <v>36</v>
      </c>
    </row>
    <row r="44" spans="1:45" x14ac:dyDescent="0.3">
      <c r="A44" t="str">
        <f>B7</f>
        <v>Banfield</v>
      </c>
      <c r="B44" t="s">
        <v>86</v>
      </c>
      <c r="C44" t="str">
        <f>B26</f>
        <v>Unión</v>
      </c>
      <c r="L44" t="str">
        <f>M7</f>
        <v>Boca Juniors</v>
      </c>
      <c r="M44" t="s">
        <v>87</v>
      </c>
      <c r="N44" t="str">
        <f>M26</f>
        <v>Belgrano</v>
      </c>
      <c r="W44" t="s">
        <v>41</v>
      </c>
      <c r="X44" t="s">
        <v>45</v>
      </c>
      <c r="Y44">
        <v>57</v>
      </c>
      <c r="Z44">
        <v>47</v>
      </c>
      <c r="AA44">
        <v>38</v>
      </c>
      <c r="AB44">
        <f t="shared" si="18"/>
        <v>142</v>
      </c>
      <c r="AC44">
        <v>96</v>
      </c>
      <c r="AD44">
        <f t="shared" si="19"/>
        <v>1.4791666666666667</v>
      </c>
      <c r="AF44" t="s">
        <v>143</v>
      </c>
      <c r="AQ44" t="s">
        <v>25</v>
      </c>
      <c r="AR44" t="s">
        <v>81</v>
      </c>
      <c r="AS44" t="s">
        <v>130</v>
      </c>
    </row>
    <row r="45" spans="1:45" x14ac:dyDescent="0.3">
      <c r="A45" t="str">
        <f>B5</f>
        <v>Estudiantes Río Cuarto</v>
      </c>
      <c r="B45" t="s">
        <v>105</v>
      </c>
      <c r="C45" t="str">
        <f>B28</f>
        <v>Argentinos Juniors</v>
      </c>
      <c r="L45" t="str">
        <f>M5</f>
        <v>Quilmes</v>
      </c>
      <c r="M45" t="s">
        <v>83</v>
      </c>
      <c r="N45" t="str">
        <f>M28</f>
        <v>Independiente Rivadavia</v>
      </c>
      <c r="W45" t="s">
        <v>43</v>
      </c>
      <c r="X45" t="s">
        <v>36</v>
      </c>
      <c r="Y45">
        <v>47</v>
      </c>
      <c r="Z45">
        <v>44</v>
      </c>
      <c r="AA45">
        <v>50</v>
      </c>
      <c r="AB45">
        <f t="shared" si="18"/>
        <v>141</v>
      </c>
      <c r="AC45">
        <v>96</v>
      </c>
      <c r="AD45">
        <f t="shared" si="19"/>
        <v>1.46875</v>
      </c>
      <c r="AF45" t="s">
        <v>137</v>
      </c>
      <c r="AG45" t="s">
        <v>87</v>
      </c>
      <c r="AH45" t="s">
        <v>127</v>
      </c>
      <c r="AQ45" t="s">
        <v>117</v>
      </c>
      <c r="AR45" t="s">
        <v>84</v>
      </c>
      <c r="AS45" t="s">
        <v>101</v>
      </c>
    </row>
    <row r="46" spans="1:45" x14ac:dyDescent="0.3">
      <c r="A46" t="str">
        <f>B24</f>
        <v>Almagro</v>
      </c>
      <c r="B46" t="s">
        <v>83</v>
      </c>
      <c r="C46" t="str">
        <f>B9</f>
        <v>Central Córdoba</v>
      </c>
      <c r="L46" t="str">
        <f>M24</f>
        <v>Independiente</v>
      </c>
      <c r="M46" t="s">
        <v>83</v>
      </c>
      <c r="N46" t="str">
        <f>M9</f>
        <v>Central Córdoba</v>
      </c>
      <c r="W46" t="s">
        <v>44</v>
      </c>
      <c r="X46" t="s">
        <v>22</v>
      </c>
      <c r="Y46">
        <v>43</v>
      </c>
      <c r="Z46">
        <v>53</v>
      </c>
      <c r="AA46">
        <v>45</v>
      </c>
      <c r="AB46">
        <f t="shared" si="18"/>
        <v>141</v>
      </c>
      <c r="AC46">
        <v>96</v>
      </c>
      <c r="AD46">
        <f t="shared" si="19"/>
        <v>1.46875</v>
      </c>
      <c r="AQ46" t="s">
        <v>100</v>
      </c>
      <c r="AR46" t="s">
        <v>159</v>
      </c>
      <c r="AS46" t="s">
        <v>120</v>
      </c>
    </row>
    <row r="47" spans="1:45" x14ac:dyDescent="0.3">
      <c r="W47" t="s">
        <v>47</v>
      </c>
      <c r="X47" t="s">
        <v>48</v>
      </c>
      <c r="Y47">
        <v>53</v>
      </c>
      <c r="Z47">
        <v>46</v>
      </c>
      <c r="AA47">
        <v>40</v>
      </c>
      <c r="AB47">
        <f t="shared" si="18"/>
        <v>139</v>
      </c>
      <c r="AC47">
        <v>96</v>
      </c>
      <c r="AD47">
        <f t="shared" si="19"/>
        <v>1.4479166666666667</v>
      </c>
      <c r="AF47" t="s">
        <v>144</v>
      </c>
      <c r="AQ47" t="s">
        <v>63</v>
      </c>
      <c r="AR47" t="s">
        <v>160</v>
      </c>
      <c r="AS47" t="s">
        <v>115</v>
      </c>
    </row>
    <row r="48" spans="1:45" x14ac:dyDescent="0.3">
      <c r="A48" t="s">
        <v>91</v>
      </c>
      <c r="L48" t="s">
        <v>91</v>
      </c>
      <c r="W48" t="s">
        <v>49</v>
      </c>
      <c r="X48" t="s">
        <v>20</v>
      </c>
      <c r="Y48">
        <v>49</v>
      </c>
      <c r="Z48">
        <v>48</v>
      </c>
      <c r="AA48">
        <v>42</v>
      </c>
      <c r="AB48">
        <f t="shared" si="18"/>
        <v>139</v>
      </c>
      <c r="AC48">
        <v>96</v>
      </c>
      <c r="AD48">
        <f t="shared" si="19"/>
        <v>1.4479166666666667</v>
      </c>
      <c r="AF48" t="s">
        <v>78</v>
      </c>
      <c r="AQ48" t="s">
        <v>131</v>
      </c>
      <c r="AR48" t="s">
        <v>92</v>
      </c>
      <c r="AS48" t="s">
        <v>139</v>
      </c>
    </row>
    <row r="49" spans="1:45" x14ac:dyDescent="0.3">
      <c r="A49" t="s">
        <v>69</v>
      </c>
      <c r="B49" t="s">
        <v>83</v>
      </c>
      <c r="C49" t="s">
        <v>40</v>
      </c>
      <c r="L49" t="s">
        <v>35</v>
      </c>
      <c r="M49" t="s">
        <v>107</v>
      </c>
      <c r="N49" t="s">
        <v>101</v>
      </c>
      <c r="W49" t="s">
        <v>51</v>
      </c>
      <c r="X49" t="s">
        <v>50</v>
      </c>
      <c r="Y49">
        <v>34</v>
      </c>
      <c r="Z49">
        <v>46</v>
      </c>
      <c r="AA49">
        <v>58</v>
      </c>
      <c r="AB49">
        <f t="shared" si="18"/>
        <v>138</v>
      </c>
      <c r="AC49">
        <v>96</v>
      </c>
      <c r="AD49">
        <f t="shared" si="19"/>
        <v>1.4375</v>
      </c>
      <c r="AF49" t="str">
        <f>AG5</f>
        <v>Almirante Brown</v>
      </c>
      <c r="AG49" t="s">
        <v>147</v>
      </c>
      <c r="AH49" t="str">
        <f>AG32</f>
        <v>Güemes</v>
      </c>
      <c r="AQ49" t="s">
        <v>124</v>
      </c>
      <c r="AR49" t="s">
        <v>161</v>
      </c>
      <c r="AS49" t="s">
        <v>128</v>
      </c>
    </row>
    <row r="50" spans="1:45" x14ac:dyDescent="0.3">
      <c r="A50" t="s">
        <v>100</v>
      </c>
      <c r="B50" t="s">
        <v>79</v>
      </c>
      <c r="C50" t="s">
        <v>36</v>
      </c>
      <c r="L50" t="s">
        <v>50</v>
      </c>
      <c r="M50" t="s">
        <v>81</v>
      </c>
      <c r="N50" t="s">
        <v>52</v>
      </c>
      <c r="W50" t="s">
        <v>53</v>
      </c>
      <c r="X50" t="s">
        <v>32</v>
      </c>
      <c r="Y50">
        <v>35</v>
      </c>
      <c r="Z50">
        <v>55</v>
      </c>
      <c r="AA50">
        <v>47</v>
      </c>
      <c r="AB50">
        <f t="shared" si="18"/>
        <v>137</v>
      </c>
      <c r="AC50">
        <v>96</v>
      </c>
      <c r="AD50">
        <f t="shared" si="19"/>
        <v>1.4270833333333333</v>
      </c>
      <c r="AF50" t="str">
        <f>AG28</f>
        <v>Tristán Suárez</v>
      </c>
      <c r="AG50" t="s">
        <v>84</v>
      </c>
      <c r="AH50" t="str">
        <f>AG9</f>
        <v>Ferro Carril Oeste</v>
      </c>
      <c r="AQ50" t="s">
        <v>45</v>
      </c>
      <c r="AR50" t="s">
        <v>105</v>
      </c>
      <c r="AS50" t="s">
        <v>148</v>
      </c>
    </row>
    <row r="51" spans="1:45" x14ac:dyDescent="0.3">
      <c r="A51" t="s">
        <v>50</v>
      </c>
      <c r="B51" t="s">
        <v>83</v>
      </c>
      <c r="C51" t="s">
        <v>52</v>
      </c>
      <c r="L51" t="s">
        <v>18</v>
      </c>
      <c r="M51" t="s">
        <v>84</v>
      </c>
      <c r="N51" t="s">
        <v>61</v>
      </c>
      <c r="W51" t="s">
        <v>54</v>
      </c>
      <c r="X51" t="s">
        <v>26</v>
      </c>
      <c r="Y51">
        <v>51</v>
      </c>
      <c r="Z51">
        <v>49</v>
      </c>
      <c r="AA51">
        <v>36</v>
      </c>
      <c r="AB51">
        <f t="shared" si="18"/>
        <v>136</v>
      </c>
      <c r="AC51">
        <v>96</v>
      </c>
      <c r="AD51">
        <f t="shared" si="19"/>
        <v>1.4166666666666667</v>
      </c>
      <c r="AF51" t="str">
        <f>AG6</f>
        <v>Deportivo Morón</v>
      </c>
      <c r="AG51" t="s">
        <v>89</v>
      </c>
      <c r="AH51" t="str">
        <f>AG31</f>
        <v>Gimnasia de Jujuy</v>
      </c>
      <c r="AQ51" t="s">
        <v>30</v>
      </c>
      <c r="AR51" t="s">
        <v>89</v>
      </c>
      <c r="AS51" t="s">
        <v>136</v>
      </c>
    </row>
    <row r="52" spans="1:45" x14ac:dyDescent="0.3">
      <c r="A52" t="s">
        <v>101</v>
      </c>
      <c r="B52" t="s">
        <v>81</v>
      </c>
      <c r="C52" t="s">
        <v>45</v>
      </c>
      <c r="L52" t="s">
        <v>98</v>
      </c>
      <c r="M52" t="s">
        <v>83</v>
      </c>
      <c r="N52" t="s">
        <v>36</v>
      </c>
      <c r="W52" t="s">
        <v>55</v>
      </c>
      <c r="X52" t="s">
        <v>35</v>
      </c>
      <c r="Y52">
        <v>49</v>
      </c>
      <c r="Z52">
        <v>41</v>
      </c>
      <c r="AA52">
        <v>46</v>
      </c>
      <c r="AB52">
        <f t="shared" si="18"/>
        <v>136</v>
      </c>
      <c r="AC52">
        <v>96</v>
      </c>
      <c r="AD52">
        <f t="shared" si="19"/>
        <v>1.4166666666666667</v>
      </c>
      <c r="AF52" t="str">
        <f>AG27</f>
        <v>San Martín (San Juan)</v>
      </c>
      <c r="AG52" t="s">
        <v>80</v>
      </c>
      <c r="AH52" t="str">
        <f>AG10</f>
        <v>All Boys</v>
      </c>
      <c r="AQ52" t="s">
        <v>33</v>
      </c>
      <c r="AR52" t="s">
        <v>87</v>
      </c>
      <c r="AS52" t="s">
        <v>133</v>
      </c>
    </row>
    <row r="53" spans="1:45" x14ac:dyDescent="0.3">
      <c r="W53" t="s">
        <v>57</v>
      </c>
      <c r="X53" t="s">
        <v>28</v>
      </c>
      <c r="Y53">
        <v>40</v>
      </c>
      <c r="Z53">
        <v>55</v>
      </c>
      <c r="AA53">
        <v>40</v>
      </c>
      <c r="AB53">
        <f t="shared" si="18"/>
        <v>135</v>
      </c>
      <c r="AC53">
        <v>96</v>
      </c>
      <c r="AD53">
        <f t="shared" si="19"/>
        <v>1.40625</v>
      </c>
      <c r="AF53" t="str">
        <f>AG7</f>
        <v>Estudiantes (BA)</v>
      </c>
      <c r="AG53" t="s">
        <v>147</v>
      </c>
      <c r="AH53" t="str">
        <f>AG30</f>
        <v>Chacarita Juniors</v>
      </c>
      <c r="AQ53" t="s">
        <v>118</v>
      </c>
      <c r="AR53" t="s">
        <v>162</v>
      </c>
      <c r="AS53" t="s">
        <v>149</v>
      </c>
    </row>
    <row r="54" spans="1:45" x14ac:dyDescent="0.3">
      <c r="A54" t="s">
        <v>94</v>
      </c>
      <c r="L54" t="s">
        <v>94</v>
      </c>
      <c r="W54" t="s">
        <v>58</v>
      </c>
      <c r="X54" t="s">
        <v>61</v>
      </c>
      <c r="Y54">
        <v>47</v>
      </c>
      <c r="Z54">
        <v>40</v>
      </c>
      <c r="AA54">
        <v>46</v>
      </c>
      <c r="AB54">
        <f t="shared" si="18"/>
        <v>133</v>
      </c>
      <c r="AC54">
        <v>96</v>
      </c>
      <c r="AD54">
        <f t="shared" si="19"/>
        <v>1.3854166666666667</v>
      </c>
      <c r="AF54" t="str">
        <f>AG26</f>
        <v>Atlanta</v>
      </c>
      <c r="AG54" t="s">
        <v>145</v>
      </c>
      <c r="AH54" t="str">
        <f>AG11</f>
        <v>Los Andes</v>
      </c>
      <c r="AQ54" t="s">
        <v>69</v>
      </c>
      <c r="AR54" t="s">
        <v>160</v>
      </c>
      <c r="AS54" t="s">
        <v>137</v>
      </c>
    </row>
    <row r="55" spans="1:45" x14ac:dyDescent="0.3">
      <c r="A55" t="s">
        <v>69</v>
      </c>
      <c r="B55" t="s">
        <v>84</v>
      </c>
      <c r="C55" t="s">
        <v>36</v>
      </c>
      <c r="L55" t="s">
        <v>50</v>
      </c>
      <c r="M55" t="s">
        <v>108</v>
      </c>
      <c r="N55" t="s">
        <v>101</v>
      </c>
      <c r="W55" t="s">
        <v>59</v>
      </c>
      <c r="X55" t="s">
        <v>52</v>
      </c>
      <c r="Y55">
        <v>39</v>
      </c>
      <c r="Z55">
        <v>45</v>
      </c>
      <c r="AA55">
        <v>49</v>
      </c>
      <c r="AB55">
        <f t="shared" si="18"/>
        <v>133</v>
      </c>
      <c r="AC55">
        <v>96</v>
      </c>
      <c r="AD55">
        <f t="shared" si="19"/>
        <v>1.3854166666666667</v>
      </c>
      <c r="AF55" t="str">
        <f>AG8</f>
        <v>Ciudad de Bolívar</v>
      </c>
      <c r="AG55" t="s">
        <v>147</v>
      </c>
      <c r="AH55" t="str">
        <f>AG29</f>
        <v>Atlético de Rafaela</v>
      </c>
      <c r="AQ55" t="s">
        <v>67</v>
      </c>
      <c r="AR55" t="s">
        <v>87</v>
      </c>
      <c r="AS55" t="s">
        <v>140</v>
      </c>
    </row>
    <row r="56" spans="1:45" x14ac:dyDescent="0.3">
      <c r="A56" t="s">
        <v>50</v>
      </c>
      <c r="B56" t="s">
        <v>84</v>
      </c>
      <c r="C56" t="s">
        <v>101</v>
      </c>
      <c r="L56" t="s">
        <v>98</v>
      </c>
      <c r="M56" t="s">
        <v>87</v>
      </c>
      <c r="N56" t="s">
        <v>61</v>
      </c>
      <c r="W56" t="s">
        <v>60</v>
      </c>
      <c r="X56" t="s">
        <v>100</v>
      </c>
      <c r="Y56">
        <v>38</v>
      </c>
      <c r="Z56">
        <v>45</v>
      </c>
      <c r="AA56">
        <v>49</v>
      </c>
      <c r="AB56">
        <f t="shared" si="18"/>
        <v>132</v>
      </c>
      <c r="AC56">
        <v>96</v>
      </c>
      <c r="AD56">
        <f t="shared" si="19"/>
        <v>1.375</v>
      </c>
      <c r="AQ56" t="s">
        <v>122</v>
      </c>
      <c r="AR56" t="s">
        <v>87</v>
      </c>
      <c r="AS56" t="s">
        <v>127</v>
      </c>
    </row>
    <row r="57" spans="1:45" x14ac:dyDescent="0.3">
      <c r="W57" t="s">
        <v>62</v>
      </c>
      <c r="X57" t="s">
        <v>65</v>
      </c>
      <c r="Y57">
        <v>42</v>
      </c>
      <c r="Z57">
        <v>40</v>
      </c>
      <c r="AA57">
        <v>47</v>
      </c>
      <c r="AB57">
        <f t="shared" si="18"/>
        <v>129</v>
      </c>
      <c r="AC57">
        <v>96</v>
      </c>
      <c r="AD57">
        <f t="shared" si="19"/>
        <v>1.34375</v>
      </c>
      <c r="AF57" t="s">
        <v>91</v>
      </c>
    </row>
    <row r="58" spans="1:45" x14ac:dyDescent="0.3">
      <c r="A58" t="s">
        <v>96</v>
      </c>
      <c r="L58" t="s">
        <v>96</v>
      </c>
      <c r="W58" t="s">
        <v>64</v>
      </c>
      <c r="X58" t="s">
        <v>99</v>
      </c>
      <c r="Y58">
        <v>0</v>
      </c>
      <c r="Z58">
        <v>52</v>
      </c>
      <c r="AA58">
        <v>31</v>
      </c>
      <c r="AB58">
        <f t="shared" si="18"/>
        <v>83</v>
      </c>
      <c r="AC58">
        <v>64</v>
      </c>
      <c r="AD58">
        <f t="shared" si="19"/>
        <v>1.296875</v>
      </c>
      <c r="AF58" t="s">
        <v>149</v>
      </c>
      <c r="AG58" t="s">
        <v>81</v>
      </c>
      <c r="AH58" t="s">
        <v>127</v>
      </c>
      <c r="AJ58" t="s">
        <v>127</v>
      </c>
      <c r="AK58" t="s">
        <v>84</v>
      </c>
      <c r="AL58" t="s">
        <v>149</v>
      </c>
      <c r="AQ58" t="s">
        <v>78</v>
      </c>
    </row>
    <row r="59" spans="1:45" x14ac:dyDescent="0.3">
      <c r="A59" t="s">
        <v>101</v>
      </c>
      <c r="B59" t="s">
        <v>89</v>
      </c>
      <c r="C59" t="s">
        <v>36</v>
      </c>
      <c r="L59" t="s">
        <v>98</v>
      </c>
      <c r="M59" t="s">
        <v>109</v>
      </c>
      <c r="N59" t="s">
        <v>50</v>
      </c>
      <c r="W59" t="s">
        <v>66</v>
      </c>
      <c r="X59" t="s">
        <v>67</v>
      </c>
      <c r="Y59">
        <v>42</v>
      </c>
      <c r="Z59">
        <v>37</v>
      </c>
      <c r="AA59">
        <v>40</v>
      </c>
      <c r="AB59">
        <f t="shared" si="18"/>
        <v>119</v>
      </c>
      <c r="AC59">
        <v>96</v>
      </c>
      <c r="AD59">
        <f t="shared" si="19"/>
        <v>1.2395833333333333</v>
      </c>
      <c r="AF59" t="s">
        <v>122</v>
      </c>
      <c r="AG59" t="s">
        <v>108</v>
      </c>
      <c r="AH59" t="s">
        <v>140</v>
      </c>
      <c r="AJ59" t="s">
        <v>140</v>
      </c>
      <c r="AK59" t="s">
        <v>87</v>
      </c>
      <c r="AL59" t="s">
        <v>122</v>
      </c>
      <c r="AQ59" t="s">
        <v>35</v>
      </c>
      <c r="AR59" t="s">
        <v>87</v>
      </c>
      <c r="AS59" t="s">
        <v>121</v>
      </c>
    </row>
    <row r="60" spans="1:45" x14ac:dyDescent="0.3">
      <c r="W60" t="s">
        <v>68</v>
      </c>
      <c r="X60" t="s">
        <v>69</v>
      </c>
      <c r="Y60">
        <v>34</v>
      </c>
      <c r="Z60">
        <v>36</v>
      </c>
      <c r="AA60">
        <v>49</v>
      </c>
      <c r="AB60">
        <f t="shared" si="18"/>
        <v>119</v>
      </c>
      <c r="AC60">
        <v>96</v>
      </c>
      <c r="AD60">
        <f t="shared" si="19"/>
        <v>1.2395833333333333</v>
      </c>
      <c r="AF60" t="s">
        <v>123</v>
      </c>
      <c r="AG60" t="s">
        <v>147</v>
      </c>
      <c r="AH60" t="s">
        <v>113</v>
      </c>
      <c r="AJ60" t="s">
        <v>113</v>
      </c>
      <c r="AK60" t="s">
        <v>81</v>
      </c>
      <c r="AL60" t="s">
        <v>123</v>
      </c>
      <c r="AQ60" t="s">
        <v>138</v>
      </c>
      <c r="AR60" t="s">
        <v>163</v>
      </c>
      <c r="AS60" t="s">
        <v>25</v>
      </c>
    </row>
    <row r="61" spans="1:45" x14ac:dyDescent="0.3">
      <c r="W61" t="s">
        <v>70</v>
      </c>
      <c r="X61" t="s">
        <v>39</v>
      </c>
      <c r="Y61">
        <v>35</v>
      </c>
      <c r="Z61">
        <v>42</v>
      </c>
      <c r="AA61">
        <v>41</v>
      </c>
      <c r="AB61">
        <f t="shared" si="18"/>
        <v>118</v>
      </c>
      <c r="AC61">
        <v>96</v>
      </c>
      <c r="AD61">
        <f t="shared" si="19"/>
        <v>1.2291666666666667</v>
      </c>
      <c r="AF61" t="s">
        <v>121</v>
      </c>
      <c r="AG61" t="s">
        <v>87</v>
      </c>
      <c r="AH61" t="s">
        <v>124</v>
      </c>
      <c r="AJ61" t="s">
        <v>124</v>
      </c>
      <c r="AK61" t="s">
        <v>84</v>
      </c>
      <c r="AL61" t="s">
        <v>121</v>
      </c>
      <c r="AQ61" t="s">
        <v>101</v>
      </c>
      <c r="AR61" t="s">
        <v>164</v>
      </c>
      <c r="AS61" t="s">
        <v>120</v>
      </c>
    </row>
    <row r="62" spans="1:45" x14ac:dyDescent="0.3">
      <c r="W62" t="s">
        <v>71</v>
      </c>
      <c r="X62" t="s">
        <v>30</v>
      </c>
      <c r="Y62">
        <v>34</v>
      </c>
      <c r="Z62">
        <v>42</v>
      </c>
      <c r="AA62">
        <v>39</v>
      </c>
      <c r="AB62">
        <f t="shared" si="18"/>
        <v>115</v>
      </c>
      <c r="AC62">
        <v>96</v>
      </c>
      <c r="AD62">
        <f t="shared" si="19"/>
        <v>1.1979166666666667</v>
      </c>
      <c r="AQ62" t="s">
        <v>115</v>
      </c>
      <c r="AR62" t="s">
        <v>88</v>
      </c>
      <c r="AS62" t="s">
        <v>131</v>
      </c>
    </row>
    <row r="63" spans="1:45" x14ac:dyDescent="0.3">
      <c r="W63" t="s">
        <v>73</v>
      </c>
      <c r="X63" t="s">
        <v>63</v>
      </c>
      <c r="Y63">
        <v>38</v>
      </c>
      <c r="Z63">
        <v>40</v>
      </c>
      <c r="AA63">
        <v>33</v>
      </c>
      <c r="AB63">
        <f t="shared" si="18"/>
        <v>111</v>
      </c>
      <c r="AC63">
        <v>96</v>
      </c>
      <c r="AD63">
        <f t="shared" si="19"/>
        <v>1.15625</v>
      </c>
      <c r="AF63" t="s">
        <v>94</v>
      </c>
      <c r="AQ63" t="s">
        <v>128</v>
      </c>
      <c r="AR63" t="s">
        <v>87</v>
      </c>
      <c r="AS63" t="s">
        <v>148</v>
      </c>
    </row>
    <row r="64" spans="1:45" x14ac:dyDescent="0.3">
      <c r="W64" s="7" t="s">
        <v>74</v>
      </c>
      <c r="X64" t="s">
        <v>102</v>
      </c>
      <c r="Y64">
        <v>33</v>
      </c>
      <c r="Z64">
        <v>33</v>
      </c>
      <c r="AA64">
        <v>43</v>
      </c>
      <c r="AB64">
        <f t="shared" si="18"/>
        <v>109</v>
      </c>
      <c r="AC64">
        <v>96</v>
      </c>
      <c r="AD64">
        <f t="shared" si="19"/>
        <v>1.1354166666666667</v>
      </c>
      <c r="AF64" t="s">
        <v>149</v>
      </c>
      <c r="AG64" t="s">
        <v>81</v>
      </c>
      <c r="AH64" t="s">
        <v>113</v>
      </c>
      <c r="AJ64" t="s">
        <v>113</v>
      </c>
      <c r="AK64" t="s">
        <v>146</v>
      </c>
      <c r="AL64" t="s">
        <v>149</v>
      </c>
      <c r="AQ64" t="s">
        <v>136</v>
      </c>
      <c r="AR64" t="s">
        <v>87</v>
      </c>
      <c r="AS64" t="s">
        <v>33</v>
      </c>
    </row>
    <row r="65" spans="32:45" x14ac:dyDescent="0.3">
      <c r="AF65" t="s">
        <v>122</v>
      </c>
      <c r="AG65" t="s">
        <v>84</v>
      </c>
      <c r="AH65" t="s">
        <v>121</v>
      </c>
      <c r="AJ65" t="s">
        <v>121</v>
      </c>
      <c r="AK65" t="s">
        <v>145</v>
      </c>
      <c r="AL65" t="s">
        <v>122</v>
      </c>
      <c r="AQ65" t="s">
        <v>149</v>
      </c>
      <c r="AR65" t="s">
        <v>165</v>
      </c>
      <c r="AS65" t="s">
        <v>137</v>
      </c>
    </row>
    <row r="66" spans="32:45" x14ac:dyDescent="0.3">
      <c r="AQ66" t="s">
        <v>67</v>
      </c>
      <c r="AR66" t="s">
        <v>106</v>
      </c>
      <c r="AS66" t="s">
        <v>122</v>
      </c>
    </row>
    <row r="67" spans="32:45" x14ac:dyDescent="0.3">
      <c r="AF67" t="s">
        <v>96</v>
      </c>
    </row>
    <row r="68" spans="32:45" x14ac:dyDescent="0.3">
      <c r="AF68" t="s">
        <v>149</v>
      </c>
      <c r="AG68" t="s">
        <v>81</v>
      </c>
      <c r="AH68" t="s">
        <v>121</v>
      </c>
      <c r="AJ68" t="s">
        <v>121</v>
      </c>
      <c r="AK68" t="s">
        <v>83</v>
      </c>
      <c r="AL68" t="s">
        <v>149</v>
      </c>
      <c r="AQ68" t="s">
        <v>91</v>
      </c>
    </row>
    <row r="69" spans="32:45" x14ac:dyDescent="0.3">
      <c r="AQ69" t="s">
        <v>35</v>
      </c>
      <c r="AR69" t="s">
        <v>83</v>
      </c>
      <c r="AS69" t="s">
        <v>138</v>
      </c>
    </row>
    <row r="70" spans="32:45" x14ac:dyDescent="0.3">
      <c r="AQ70" t="s">
        <v>101</v>
      </c>
      <c r="AR70" t="s">
        <v>87</v>
      </c>
      <c r="AS70" t="s">
        <v>115</v>
      </c>
    </row>
    <row r="71" spans="32:45" x14ac:dyDescent="0.3">
      <c r="AQ71" t="s">
        <v>128</v>
      </c>
      <c r="AR71" t="s">
        <v>84</v>
      </c>
      <c r="AS71" t="s">
        <v>136</v>
      </c>
    </row>
    <row r="72" spans="32:45" x14ac:dyDescent="0.3">
      <c r="AQ72" t="s">
        <v>149</v>
      </c>
      <c r="AR72" t="s">
        <v>86</v>
      </c>
      <c r="AS72" t="s">
        <v>122</v>
      </c>
    </row>
    <row r="74" spans="32:45" x14ac:dyDescent="0.3">
      <c r="AQ74" t="s">
        <v>94</v>
      </c>
    </row>
    <row r="75" spans="32:45" x14ac:dyDescent="0.3">
      <c r="AQ75" t="s">
        <v>35</v>
      </c>
      <c r="AR75" t="s">
        <v>81</v>
      </c>
      <c r="AS75" t="s">
        <v>101</v>
      </c>
    </row>
    <row r="76" spans="32:45" x14ac:dyDescent="0.3">
      <c r="AQ76" t="s">
        <v>136</v>
      </c>
      <c r="AR76" t="s">
        <v>85</v>
      </c>
      <c r="AS76" t="s">
        <v>122</v>
      </c>
    </row>
    <row r="78" spans="32:45" x14ac:dyDescent="0.3">
      <c r="AQ78" t="s">
        <v>96</v>
      </c>
    </row>
    <row r="79" spans="32:45" x14ac:dyDescent="0.3">
      <c r="AQ79" t="s">
        <v>35</v>
      </c>
      <c r="AR79" t="s">
        <v>108</v>
      </c>
      <c r="AS79" t="s">
        <v>136</v>
      </c>
    </row>
  </sheetData>
  <sortState xmlns:xlrd2="http://schemas.microsoft.com/office/spreadsheetml/2017/richdata2" ref="AG25:AO42">
    <sortCondition descending="1" ref="AH25:AH42"/>
    <sortCondition descending="1" ref="AO25:AO42"/>
    <sortCondition descending="1" ref="AM25:AM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7811-3FF8-4622-8F43-76D2681CD4DD}">
  <dimension ref="A1:X41"/>
  <sheetViews>
    <sheetView workbookViewId="0">
      <selection activeCell="A6" sqref="A6"/>
    </sheetView>
  </sheetViews>
  <sheetFormatPr defaultRowHeight="14.4" x14ac:dyDescent="0.3"/>
  <cols>
    <col min="1" max="1" width="17.44140625" customWidth="1"/>
    <col min="2" max="2" width="21.21875" customWidth="1"/>
    <col min="12" max="12" width="26.33203125" customWidth="1"/>
    <col min="13" max="13" width="21.44140625" customWidth="1"/>
    <col min="14" max="14" width="15.5546875" customWidth="1"/>
    <col min="16" max="16" width="15.21875" customWidth="1"/>
    <col min="18" max="18" width="14.33203125" customWidth="1"/>
    <col min="23" max="23" width="13.5546875" customWidth="1"/>
  </cols>
  <sheetData>
    <row r="1" spans="1:24" x14ac:dyDescent="0.3">
      <c r="A1" t="s">
        <v>170</v>
      </c>
      <c r="L1" t="s">
        <v>189</v>
      </c>
      <c r="W1" t="s">
        <v>166</v>
      </c>
    </row>
    <row r="2" spans="1:24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3</v>
      </c>
      <c r="W2" t="s">
        <v>172</v>
      </c>
      <c r="X2">
        <v>1</v>
      </c>
    </row>
    <row r="3" spans="1:24" x14ac:dyDescent="0.3">
      <c r="A3" s="1" t="s">
        <v>4</v>
      </c>
      <c r="B3" t="s">
        <v>172</v>
      </c>
      <c r="C3" s="3">
        <f t="shared" ref="C3:C18" si="0">E3*3+F3</f>
        <v>54</v>
      </c>
      <c r="D3">
        <v>30</v>
      </c>
      <c r="E3">
        <v>16</v>
      </c>
      <c r="F3">
        <v>6</v>
      </c>
      <c r="G3">
        <f>D3-E3-F3</f>
        <v>8</v>
      </c>
      <c r="H3">
        <v>51</v>
      </c>
      <c r="I3">
        <v>33</v>
      </c>
      <c r="J3">
        <f>H3-I3</f>
        <v>18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W3" t="s">
        <v>172</v>
      </c>
      <c r="X3">
        <v>1</v>
      </c>
    </row>
    <row r="4" spans="1:24" x14ac:dyDescent="0.3">
      <c r="A4" s="1" t="s">
        <v>16</v>
      </c>
      <c r="B4" t="s">
        <v>175</v>
      </c>
      <c r="C4" s="3">
        <f t="shared" si="0"/>
        <v>46</v>
      </c>
      <c r="D4">
        <v>30</v>
      </c>
      <c r="E4">
        <v>14</v>
      </c>
      <c r="F4">
        <v>4</v>
      </c>
      <c r="G4">
        <f t="shared" ref="G4:G18" si="1">D4-E4-F4</f>
        <v>12</v>
      </c>
      <c r="H4">
        <v>45</v>
      </c>
      <c r="I4">
        <v>38</v>
      </c>
      <c r="J4">
        <f t="shared" ref="J4:J18" si="2">H4-I4</f>
        <v>7</v>
      </c>
      <c r="L4" s="2" t="s">
        <v>4</v>
      </c>
      <c r="M4" t="s">
        <v>175</v>
      </c>
      <c r="N4" s="3">
        <f>P4*3+Q4</f>
        <v>13</v>
      </c>
      <c r="O4">
        <v>6</v>
      </c>
      <c r="P4">
        <v>4</v>
      </c>
      <c r="Q4">
        <v>1</v>
      </c>
      <c r="R4">
        <f>O4-P4-Q4</f>
        <v>1</v>
      </c>
      <c r="S4">
        <v>12</v>
      </c>
      <c r="T4">
        <v>7</v>
      </c>
      <c r="U4">
        <f>S4-T4</f>
        <v>5</v>
      </c>
    </row>
    <row r="5" spans="1:24" x14ac:dyDescent="0.3">
      <c r="A5" s="11" t="s">
        <v>21</v>
      </c>
      <c r="B5" t="s">
        <v>180</v>
      </c>
      <c r="C5" s="3">
        <f t="shared" si="0"/>
        <v>46</v>
      </c>
      <c r="D5">
        <v>30</v>
      </c>
      <c r="E5">
        <v>13</v>
      </c>
      <c r="F5">
        <v>7</v>
      </c>
      <c r="G5">
        <f t="shared" si="1"/>
        <v>10</v>
      </c>
      <c r="H5">
        <v>53</v>
      </c>
      <c r="I5">
        <v>48</v>
      </c>
      <c r="J5">
        <f t="shared" si="2"/>
        <v>5</v>
      </c>
      <c r="L5" s="5" t="s">
        <v>16</v>
      </c>
      <c r="M5" t="s">
        <v>174</v>
      </c>
      <c r="N5" s="3">
        <f>P5*3+Q5</f>
        <v>10</v>
      </c>
      <c r="O5">
        <v>6</v>
      </c>
      <c r="P5">
        <v>3</v>
      </c>
      <c r="Q5">
        <v>1</v>
      </c>
      <c r="R5">
        <f>O5-P5-Q5</f>
        <v>2</v>
      </c>
      <c r="S5">
        <v>9</v>
      </c>
      <c r="T5">
        <v>7</v>
      </c>
      <c r="U5">
        <f>S5-T5</f>
        <v>2</v>
      </c>
    </row>
    <row r="6" spans="1:24" x14ac:dyDescent="0.3">
      <c r="A6" s="9" t="s">
        <v>24</v>
      </c>
      <c r="B6" t="s">
        <v>177</v>
      </c>
      <c r="C6" s="3">
        <f t="shared" si="0"/>
        <v>46</v>
      </c>
      <c r="D6">
        <v>30</v>
      </c>
      <c r="E6">
        <v>13</v>
      </c>
      <c r="F6">
        <v>7</v>
      </c>
      <c r="G6">
        <f t="shared" si="1"/>
        <v>10</v>
      </c>
      <c r="H6">
        <v>43</v>
      </c>
      <c r="I6">
        <v>43</v>
      </c>
      <c r="J6">
        <f t="shared" si="2"/>
        <v>0</v>
      </c>
      <c r="L6" t="s">
        <v>21</v>
      </c>
      <c r="M6" t="s">
        <v>184</v>
      </c>
      <c r="N6" s="3">
        <f>P6*3+Q6</f>
        <v>5</v>
      </c>
      <c r="O6">
        <v>6</v>
      </c>
      <c r="P6">
        <v>1</v>
      </c>
      <c r="Q6">
        <v>2</v>
      </c>
      <c r="R6">
        <f>O6-P6-Q6</f>
        <v>3</v>
      </c>
      <c r="S6">
        <v>6</v>
      </c>
      <c r="T6">
        <v>8</v>
      </c>
      <c r="U6">
        <f>S6-T6</f>
        <v>-2</v>
      </c>
    </row>
    <row r="7" spans="1:24" x14ac:dyDescent="0.3">
      <c r="A7" s="6" t="s">
        <v>27</v>
      </c>
      <c r="B7" t="s">
        <v>178</v>
      </c>
      <c r="C7" s="3">
        <f t="shared" si="0"/>
        <v>45</v>
      </c>
      <c r="D7">
        <v>30</v>
      </c>
      <c r="E7">
        <v>12</v>
      </c>
      <c r="F7">
        <v>9</v>
      </c>
      <c r="G7">
        <f t="shared" si="1"/>
        <v>9</v>
      </c>
      <c r="H7">
        <v>53</v>
      </c>
      <c r="I7">
        <v>40</v>
      </c>
      <c r="J7">
        <f t="shared" si="2"/>
        <v>13</v>
      </c>
      <c r="L7" t="s">
        <v>24</v>
      </c>
      <c r="M7" t="s">
        <v>181</v>
      </c>
      <c r="N7" s="3">
        <f>P7*3+Q7</f>
        <v>5</v>
      </c>
      <c r="O7">
        <v>6</v>
      </c>
      <c r="P7">
        <v>1</v>
      </c>
      <c r="Q7">
        <v>2</v>
      </c>
      <c r="R7">
        <f>O7-P7-Q7</f>
        <v>3</v>
      </c>
      <c r="S7">
        <v>4</v>
      </c>
      <c r="T7">
        <v>9</v>
      </c>
      <c r="U7">
        <f>S7-T7</f>
        <v>-5</v>
      </c>
    </row>
    <row r="8" spans="1:24" x14ac:dyDescent="0.3">
      <c r="A8" s="6" t="s">
        <v>31</v>
      </c>
      <c r="B8" t="s">
        <v>176</v>
      </c>
      <c r="C8" s="3">
        <f t="shared" si="0"/>
        <v>45</v>
      </c>
      <c r="D8">
        <v>30</v>
      </c>
      <c r="E8">
        <v>11</v>
      </c>
      <c r="F8">
        <v>12</v>
      </c>
      <c r="G8">
        <f t="shared" si="1"/>
        <v>7</v>
      </c>
      <c r="H8">
        <v>46</v>
      </c>
      <c r="I8">
        <v>43</v>
      </c>
      <c r="J8">
        <f t="shared" si="2"/>
        <v>3</v>
      </c>
    </row>
    <row r="9" spans="1:24" x14ac:dyDescent="0.3">
      <c r="A9" s="6" t="s">
        <v>34</v>
      </c>
      <c r="B9" t="s">
        <v>179</v>
      </c>
      <c r="C9" s="3">
        <f t="shared" si="0"/>
        <v>42</v>
      </c>
      <c r="D9">
        <v>30</v>
      </c>
      <c r="E9">
        <v>12</v>
      </c>
      <c r="F9">
        <v>6</v>
      </c>
      <c r="G9">
        <f t="shared" si="1"/>
        <v>12</v>
      </c>
      <c r="H9">
        <v>35</v>
      </c>
      <c r="I9">
        <v>34</v>
      </c>
      <c r="J9">
        <f t="shared" si="2"/>
        <v>1</v>
      </c>
      <c r="L9" t="s">
        <v>56</v>
      </c>
    </row>
    <row r="10" spans="1:24" x14ac:dyDescent="0.3">
      <c r="A10" s="6" t="s">
        <v>37</v>
      </c>
      <c r="B10" t="s">
        <v>171</v>
      </c>
      <c r="C10" s="3">
        <f t="shared" si="0"/>
        <v>40</v>
      </c>
      <c r="D10">
        <v>30</v>
      </c>
      <c r="E10">
        <v>11</v>
      </c>
      <c r="F10">
        <v>7</v>
      </c>
      <c r="G10">
        <f t="shared" si="1"/>
        <v>12</v>
      </c>
      <c r="H10">
        <v>37</v>
      </c>
      <c r="I10">
        <v>37</v>
      </c>
      <c r="J10">
        <f t="shared" si="2"/>
        <v>0</v>
      </c>
      <c r="L10" t="s">
        <v>6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12</v>
      </c>
      <c r="S10" t="s">
        <v>13</v>
      </c>
      <c r="T10" t="s">
        <v>14</v>
      </c>
      <c r="U10" t="s">
        <v>15</v>
      </c>
    </row>
    <row r="11" spans="1:24" x14ac:dyDescent="0.3">
      <c r="A11" t="s">
        <v>38</v>
      </c>
      <c r="B11" t="s">
        <v>182</v>
      </c>
      <c r="C11" s="3">
        <f t="shared" si="0"/>
        <v>40</v>
      </c>
      <c r="D11">
        <v>30</v>
      </c>
      <c r="E11">
        <v>10</v>
      </c>
      <c r="F11">
        <v>10</v>
      </c>
      <c r="G11">
        <f t="shared" si="1"/>
        <v>10</v>
      </c>
      <c r="H11">
        <v>39</v>
      </c>
      <c r="I11">
        <v>47</v>
      </c>
      <c r="J11">
        <f t="shared" si="2"/>
        <v>-8</v>
      </c>
      <c r="L11" s="2" t="s">
        <v>4</v>
      </c>
      <c r="M11" t="s">
        <v>171</v>
      </c>
      <c r="N11" s="3">
        <f>P11*3+Q11</f>
        <v>10</v>
      </c>
      <c r="O11">
        <v>6</v>
      </c>
      <c r="P11">
        <v>3</v>
      </c>
      <c r="Q11">
        <v>1</v>
      </c>
      <c r="R11">
        <f>O11-P11-Q11</f>
        <v>2</v>
      </c>
      <c r="S11">
        <v>8</v>
      </c>
      <c r="T11">
        <v>5</v>
      </c>
      <c r="U11">
        <f>S11-T11</f>
        <v>3</v>
      </c>
    </row>
    <row r="12" spans="1:24" x14ac:dyDescent="0.3">
      <c r="A12" t="s">
        <v>41</v>
      </c>
      <c r="B12" t="s">
        <v>185</v>
      </c>
      <c r="C12" s="3">
        <f t="shared" si="0"/>
        <v>39</v>
      </c>
      <c r="D12">
        <v>30</v>
      </c>
      <c r="E12">
        <v>11</v>
      </c>
      <c r="F12">
        <v>6</v>
      </c>
      <c r="G12">
        <f t="shared" si="1"/>
        <v>13</v>
      </c>
      <c r="H12">
        <v>43</v>
      </c>
      <c r="I12">
        <v>46</v>
      </c>
      <c r="J12">
        <f t="shared" si="2"/>
        <v>-3</v>
      </c>
      <c r="L12" s="5" t="s">
        <v>16</v>
      </c>
      <c r="M12" t="s">
        <v>172</v>
      </c>
      <c r="N12" s="3">
        <f>P12*3+Q12</f>
        <v>10</v>
      </c>
      <c r="O12">
        <v>6</v>
      </c>
      <c r="P12">
        <v>3</v>
      </c>
      <c r="Q12">
        <v>1</v>
      </c>
      <c r="R12">
        <f>O12-P12-Q12</f>
        <v>2</v>
      </c>
      <c r="S12">
        <v>7</v>
      </c>
      <c r="T12">
        <v>7</v>
      </c>
      <c r="U12">
        <f>S12-T12</f>
        <v>0</v>
      </c>
    </row>
    <row r="13" spans="1:24" x14ac:dyDescent="0.3">
      <c r="A13" t="s">
        <v>43</v>
      </c>
      <c r="B13" t="s">
        <v>186</v>
      </c>
      <c r="C13" s="3">
        <f t="shared" si="0"/>
        <v>38</v>
      </c>
      <c r="D13">
        <v>30</v>
      </c>
      <c r="E13">
        <v>9</v>
      </c>
      <c r="F13">
        <v>11</v>
      </c>
      <c r="G13">
        <f t="shared" si="1"/>
        <v>10</v>
      </c>
      <c r="H13">
        <v>33</v>
      </c>
      <c r="I13">
        <v>36</v>
      </c>
      <c r="J13">
        <f t="shared" si="2"/>
        <v>-3</v>
      </c>
      <c r="L13" t="s">
        <v>21</v>
      </c>
      <c r="M13" t="s">
        <v>182</v>
      </c>
      <c r="N13" s="3">
        <f>P13*3+Q13</f>
        <v>7</v>
      </c>
      <c r="O13">
        <v>6</v>
      </c>
      <c r="P13">
        <v>2</v>
      </c>
      <c r="Q13">
        <v>1</v>
      </c>
      <c r="R13">
        <f>O13-P13-Q13</f>
        <v>3</v>
      </c>
      <c r="S13">
        <v>8</v>
      </c>
      <c r="T13">
        <v>9</v>
      </c>
      <c r="U13">
        <f>S13-T13</f>
        <v>-1</v>
      </c>
    </row>
    <row r="14" spans="1:24" x14ac:dyDescent="0.3">
      <c r="A14" t="s">
        <v>44</v>
      </c>
      <c r="B14" t="s">
        <v>183</v>
      </c>
      <c r="C14" s="3">
        <f t="shared" si="0"/>
        <v>38</v>
      </c>
      <c r="D14">
        <v>30</v>
      </c>
      <c r="E14">
        <v>10</v>
      </c>
      <c r="F14">
        <v>8</v>
      </c>
      <c r="G14">
        <f t="shared" si="1"/>
        <v>12</v>
      </c>
      <c r="H14">
        <v>41</v>
      </c>
      <c r="I14">
        <v>48</v>
      </c>
      <c r="J14">
        <f t="shared" si="2"/>
        <v>-7</v>
      </c>
      <c r="L14" t="s">
        <v>24</v>
      </c>
      <c r="M14" t="s">
        <v>185</v>
      </c>
      <c r="N14" s="3">
        <f>P14*3+Q14</f>
        <v>7</v>
      </c>
      <c r="O14">
        <v>6</v>
      </c>
      <c r="P14">
        <v>2</v>
      </c>
      <c r="Q14">
        <v>1</v>
      </c>
      <c r="R14">
        <f>O14-P14-Q14</f>
        <v>3</v>
      </c>
      <c r="S14">
        <v>6</v>
      </c>
      <c r="T14">
        <v>8</v>
      </c>
      <c r="U14">
        <f>S14-T14</f>
        <v>-2</v>
      </c>
    </row>
    <row r="15" spans="1:24" x14ac:dyDescent="0.3">
      <c r="A15" t="s">
        <v>47</v>
      </c>
      <c r="B15" t="s">
        <v>181</v>
      </c>
      <c r="C15" s="3">
        <f t="shared" si="0"/>
        <v>37</v>
      </c>
      <c r="D15">
        <v>30</v>
      </c>
      <c r="E15">
        <v>10</v>
      </c>
      <c r="F15">
        <v>7</v>
      </c>
      <c r="G15">
        <f t="shared" si="1"/>
        <v>13</v>
      </c>
      <c r="H15">
        <v>41</v>
      </c>
      <c r="I15">
        <v>40</v>
      </c>
      <c r="J15">
        <f t="shared" si="2"/>
        <v>1</v>
      </c>
    </row>
    <row r="16" spans="1:24" x14ac:dyDescent="0.3">
      <c r="A16" t="s">
        <v>49</v>
      </c>
      <c r="B16" t="s">
        <v>174</v>
      </c>
      <c r="C16" s="3">
        <f t="shared" si="0"/>
        <v>37</v>
      </c>
      <c r="D16">
        <v>30</v>
      </c>
      <c r="E16">
        <v>9</v>
      </c>
      <c r="F16">
        <v>10</v>
      </c>
      <c r="G16">
        <f t="shared" si="1"/>
        <v>11</v>
      </c>
      <c r="H16">
        <v>42</v>
      </c>
      <c r="I16">
        <v>44</v>
      </c>
      <c r="J16">
        <f t="shared" si="2"/>
        <v>-2</v>
      </c>
      <c r="L16" t="s">
        <v>187</v>
      </c>
    </row>
    <row r="17" spans="1:21" x14ac:dyDescent="0.3">
      <c r="A17" t="s">
        <v>51</v>
      </c>
      <c r="B17" t="s">
        <v>184</v>
      </c>
      <c r="C17" s="3">
        <f t="shared" si="0"/>
        <v>33</v>
      </c>
      <c r="D17">
        <v>30</v>
      </c>
      <c r="E17">
        <v>9</v>
      </c>
      <c r="F17">
        <v>6</v>
      </c>
      <c r="G17">
        <f t="shared" si="1"/>
        <v>15</v>
      </c>
      <c r="H17">
        <v>30</v>
      </c>
      <c r="I17">
        <v>42</v>
      </c>
      <c r="J17">
        <f t="shared" si="2"/>
        <v>-12</v>
      </c>
      <c r="L17" t="s">
        <v>6</v>
      </c>
      <c r="M17" t="s">
        <v>7</v>
      </c>
      <c r="N17" t="s">
        <v>8</v>
      </c>
      <c r="O17" t="s">
        <v>9</v>
      </c>
      <c r="P17" t="s">
        <v>10</v>
      </c>
      <c r="Q17" t="s">
        <v>11</v>
      </c>
      <c r="R17" t="s">
        <v>12</v>
      </c>
      <c r="S17" t="s">
        <v>13</v>
      </c>
      <c r="T17" t="s">
        <v>14</v>
      </c>
      <c r="U17" t="s">
        <v>15</v>
      </c>
    </row>
    <row r="18" spans="1:21" x14ac:dyDescent="0.3">
      <c r="A18" t="s">
        <v>53</v>
      </c>
      <c r="B18" t="s">
        <v>173</v>
      </c>
      <c r="C18" s="3">
        <f t="shared" si="0"/>
        <v>31</v>
      </c>
      <c r="D18">
        <v>30</v>
      </c>
      <c r="E18">
        <v>7</v>
      </c>
      <c r="F18">
        <v>10</v>
      </c>
      <c r="G18">
        <f t="shared" si="1"/>
        <v>13</v>
      </c>
      <c r="H18">
        <v>39</v>
      </c>
      <c r="I18">
        <v>52</v>
      </c>
      <c r="J18">
        <f t="shared" si="2"/>
        <v>-13</v>
      </c>
      <c r="L18" s="2" t="s">
        <v>4</v>
      </c>
      <c r="M18" t="s">
        <v>178</v>
      </c>
      <c r="N18" s="3">
        <f>P18*3+Q18</f>
        <v>15</v>
      </c>
      <c r="O18">
        <v>6</v>
      </c>
      <c r="P18">
        <v>5</v>
      </c>
      <c r="Q18">
        <v>0</v>
      </c>
      <c r="R18">
        <f>O18-P18-Q18</f>
        <v>1</v>
      </c>
      <c r="S18">
        <v>14</v>
      </c>
      <c r="T18">
        <v>3</v>
      </c>
      <c r="U18">
        <f>S18-T18</f>
        <v>11</v>
      </c>
    </row>
    <row r="19" spans="1:21" x14ac:dyDescent="0.3">
      <c r="L19" s="5" t="s">
        <v>16</v>
      </c>
      <c r="M19" t="s">
        <v>176</v>
      </c>
      <c r="N19" s="3">
        <f>P19*3+Q19</f>
        <v>10</v>
      </c>
      <c r="O19">
        <v>6</v>
      </c>
      <c r="P19">
        <v>3</v>
      </c>
      <c r="Q19">
        <v>1</v>
      </c>
      <c r="R19">
        <f>O19-P19-Q19</f>
        <v>2</v>
      </c>
      <c r="S19">
        <v>5</v>
      </c>
      <c r="T19">
        <v>7</v>
      </c>
      <c r="U19">
        <f>S19-T19</f>
        <v>-2</v>
      </c>
    </row>
    <row r="20" spans="1:21" x14ac:dyDescent="0.3">
      <c r="L20" t="s">
        <v>21</v>
      </c>
      <c r="M20" t="s">
        <v>186</v>
      </c>
      <c r="N20" s="3">
        <f>P20*3+Q20</f>
        <v>7</v>
      </c>
      <c r="O20">
        <v>6</v>
      </c>
      <c r="P20">
        <v>2</v>
      </c>
      <c r="Q20">
        <v>1</v>
      </c>
      <c r="R20">
        <f>O20-P20-Q20</f>
        <v>3</v>
      </c>
      <c r="S20">
        <v>5</v>
      </c>
      <c r="T20">
        <v>7</v>
      </c>
      <c r="U20">
        <f>S20-T20</f>
        <v>-2</v>
      </c>
    </row>
    <row r="21" spans="1:21" x14ac:dyDescent="0.3">
      <c r="L21" t="s">
        <v>24</v>
      </c>
      <c r="M21" t="s">
        <v>180</v>
      </c>
      <c r="N21" s="3">
        <f>P21*3+Q21</f>
        <v>3</v>
      </c>
      <c r="O21">
        <v>6</v>
      </c>
      <c r="P21">
        <v>1</v>
      </c>
      <c r="Q21">
        <v>0</v>
      </c>
      <c r="R21">
        <f>O21-P21-Q21</f>
        <v>5</v>
      </c>
      <c r="S21">
        <v>2</v>
      </c>
      <c r="T21">
        <v>9</v>
      </c>
      <c r="U21">
        <f>S21-T21</f>
        <v>-7</v>
      </c>
    </row>
    <row r="23" spans="1:21" x14ac:dyDescent="0.3">
      <c r="L23" t="s">
        <v>188</v>
      </c>
    </row>
    <row r="24" spans="1:21" x14ac:dyDescent="0.3">
      <c r="L24" t="s">
        <v>6</v>
      </c>
      <c r="M24" t="s">
        <v>7</v>
      </c>
      <c r="N24" t="s">
        <v>8</v>
      </c>
      <c r="O24" t="s">
        <v>9</v>
      </c>
      <c r="P24" t="s">
        <v>10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</row>
    <row r="25" spans="1:21" x14ac:dyDescent="0.3">
      <c r="L25" s="2" t="s">
        <v>4</v>
      </c>
      <c r="M25" t="s">
        <v>177</v>
      </c>
      <c r="N25" s="3">
        <f>P25*3+Q25</f>
        <v>15</v>
      </c>
      <c r="O25">
        <v>6</v>
      </c>
      <c r="P25">
        <v>5</v>
      </c>
      <c r="Q25">
        <v>0</v>
      </c>
      <c r="R25">
        <f>O25-P25-Q25</f>
        <v>1</v>
      </c>
      <c r="S25">
        <v>9</v>
      </c>
      <c r="T25">
        <v>5</v>
      </c>
      <c r="U25">
        <f>S25-T25</f>
        <v>4</v>
      </c>
    </row>
    <row r="26" spans="1:21" x14ac:dyDescent="0.3">
      <c r="L26" s="5" t="s">
        <v>16</v>
      </c>
      <c r="M26" t="s">
        <v>183</v>
      </c>
      <c r="N26" s="3">
        <f>P26*3+Q26</f>
        <v>10</v>
      </c>
      <c r="O26">
        <v>6</v>
      </c>
      <c r="P26">
        <v>3</v>
      </c>
      <c r="Q26">
        <v>1</v>
      </c>
      <c r="R26">
        <f>O26-P26-Q26</f>
        <v>2</v>
      </c>
      <c r="S26">
        <v>7</v>
      </c>
      <c r="T26">
        <v>5</v>
      </c>
      <c r="U26">
        <f>S26-T26</f>
        <v>2</v>
      </c>
    </row>
    <row r="27" spans="1:21" x14ac:dyDescent="0.3">
      <c r="L27" t="s">
        <v>21</v>
      </c>
      <c r="M27" t="s">
        <v>179</v>
      </c>
      <c r="N27" s="3">
        <f>P27*3+Q27</f>
        <v>6</v>
      </c>
      <c r="O27">
        <v>6</v>
      </c>
      <c r="P27">
        <v>2</v>
      </c>
      <c r="Q27">
        <v>0</v>
      </c>
      <c r="R27">
        <f>O27-P27-Q27</f>
        <v>4</v>
      </c>
      <c r="S27">
        <v>6</v>
      </c>
      <c r="T27">
        <v>9</v>
      </c>
      <c r="U27">
        <f>S27-T27</f>
        <v>-3</v>
      </c>
    </row>
    <row r="28" spans="1:21" x14ac:dyDescent="0.3">
      <c r="L28" t="s">
        <v>24</v>
      </c>
      <c r="M28" t="s">
        <v>173</v>
      </c>
      <c r="N28" s="3">
        <f>P28*3+Q28</f>
        <v>4</v>
      </c>
      <c r="O28">
        <v>6</v>
      </c>
      <c r="P28">
        <v>1</v>
      </c>
      <c r="Q28">
        <v>1</v>
      </c>
      <c r="R28">
        <f>O28-P28-Q28</f>
        <v>4</v>
      </c>
      <c r="S28">
        <v>6</v>
      </c>
      <c r="T28">
        <v>9</v>
      </c>
      <c r="U28">
        <f>S28-T28</f>
        <v>-3</v>
      </c>
    </row>
    <row r="30" spans="1:21" x14ac:dyDescent="0.3">
      <c r="L30" t="s">
        <v>91</v>
      </c>
    </row>
    <row r="31" spans="1:21" x14ac:dyDescent="0.3">
      <c r="L31" t="str">
        <f>M12</f>
        <v>Real Tomayapo</v>
      </c>
      <c r="M31" t="s">
        <v>146</v>
      </c>
      <c r="N31" t="str">
        <f>M4</f>
        <v>Real Oruro</v>
      </c>
      <c r="P31" t="str">
        <f>M4</f>
        <v>Real Oruro</v>
      </c>
      <c r="Q31" t="s">
        <v>106</v>
      </c>
      <c r="R31" t="str">
        <f>M12</f>
        <v>Real Tomayapo</v>
      </c>
    </row>
    <row r="32" spans="1:21" x14ac:dyDescent="0.3">
      <c r="L32" t="str">
        <f>M19</f>
        <v>Guabirá</v>
      </c>
      <c r="M32" t="s">
        <v>92</v>
      </c>
      <c r="N32" t="str">
        <f>M25</f>
        <v>Oriente Petrolero</v>
      </c>
      <c r="P32" t="str">
        <f>M25</f>
        <v>Oriente Petrolero</v>
      </c>
      <c r="Q32" t="s">
        <v>81</v>
      </c>
      <c r="R32" t="str">
        <f>M19</f>
        <v>Guabirá</v>
      </c>
    </row>
    <row r="33" spans="12:18" x14ac:dyDescent="0.3">
      <c r="L33" t="str">
        <f>M5</f>
        <v>Aurora</v>
      </c>
      <c r="M33" t="s">
        <v>80</v>
      </c>
      <c r="N33" t="str">
        <f>M11</f>
        <v>Universitario</v>
      </c>
      <c r="P33" t="str">
        <f>M11</f>
        <v>Universitario</v>
      </c>
      <c r="Q33" t="s">
        <v>81</v>
      </c>
      <c r="R33" t="str">
        <f>M5</f>
        <v>Aurora</v>
      </c>
    </row>
    <row r="34" spans="12:18" x14ac:dyDescent="0.3">
      <c r="L34" t="str">
        <f>M26</f>
        <v>Blooming</v>
      </c>
      <c r="M34" t="s">
        <v>83</v>
      </c>
      <c r="N34" t="str">
        <f>M18</f>
        <v>GV San José</v>
      </c>
      <c r="P34" t="str">
        <f>M18</f>
        <v>GV San José</v>
      </c>
      <c r="Q34" t="s">
        <v>81</v>
      </c>
      <c r="R34" t="str">
        <f>M26</f>
        <v>Blooming</v>
      </c>
    </row>
    <row r="36" spans="12:18" x14ac:dyDescent="0.3">
      <c r="L36" t="s">
        <v>94</v>
      </c>
    </row>
    <row r="37" spans="12:18" x14ac:dyDescent="0.3">
      <c r="L37" t="s">
        <v>172</v>
      </c>
      <c r="M37" t="s">
        <v>108</v>
      </c>
      <c r="N37" t="s">
        <v>176</v>
      </c>
      <c r="P37" t="s">
        <v>176</v>
      </c>
      <c r="Q37" t="s">
        <v>87</v>
      </c>
      <c r="R37" t="s">
        <v>172</v>
      </c>
    </row>
    <row r="38" spans="12:18" x14ac:dyDescent="0.3">
      <c r="L38" t="s">
        <v>171</v>
      </c>
      <c r="M38" t="s">
        <v>147</v>
      </c>
      <c r="N38" t="s">
        <v>178</v>
      </c>
      <c r="P38" t="s">
        <v>178</v>
      </c>
      <c r="Q38" t="s">
        <v>95</v>
      </c>
      <c r="R38" t="s">
        <v>171</v>
      </c>
    </row>
    <row r="40" spans="12:18" x14ac:dyDescent="0.3">
      <c r="L40" t="s">
        <v>96</v>
      </c>
    </row>
    <row r="41" spans="12:18" x14ac:dyDescent="0.3">
      <c r="L41" t="s">
        <v>172</v>
      </c>
      <c r="M41" t="s">
        <v>146</v>
      </c>
      <c r="N41" t="s">
        <v>171</v>
      </c>
      <c r="P41" t="s">
        <v>171</v>
      </c>
      <c r="Q41" t="s">
        <v>89</v>
      </c>
      <c r="R41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A909-1EEC-45D4-BFC0-4253CAC094E4}">
  <dimension ref="A1:X35"/>
  <sheetViews>
    <sheetView workbookViewId="0">
      <selection activeCell="X2" sqref="X2"/>
    </sheetView>
  </sheetViews>
  <sheetFormatPr defaultRowHeight="14.4" x14ac:dyDescent="0.3"/>
  <cols>
    <col min="1" max="1" width="13.88671875" customWidth="1"/>
    <col min="2" max="2" width="24.44140625" customWidth="1"/>
    <col min="12" max="12" width="17.6640625" customWidth="1"/>
    <col min="13" max="13" width="25.109375" customWidth="1"/>
    <col min="14" max="14" width="16" customWidth="1"/>
    <col min="16" max="16" width="16.77734375" customWidth="1"/>
    <col min="18" max="18" width="17.5546875" customWidth="1"/>
    <col min="23" max="23" width="16.5546875" customWidth="1"/>
  </cols>
  <sheetData>
    <row r="1" spans="1:24" x14ac:dyDescent="0.3">
      <c r="A1" t="s">
        <v>190</v>
      </c>
      <c r="L1" t="s">
        <v>207</v>
      </c>
      <c r="W1" t="s">
        <v>166</v>
      </c>
    </row>
    <row r="2" spans="1:24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3</v>
      </c>
      <c r="W2" t="s">
        <v>191</v>
      </c>
      <c r="X2">
        <v>1</v>
      </c>
    </row>
    <row r="3" spans="1:24" x14ac:dyDescent="0.3">
      <c r="A3" s="1" t="s">
        <v>4</v>
      </c>
      <c r="B3" t="s">
        <v>191</v>
      </c>
      <c r="C3" s="3">
        <f t="shared" ref="C3:C18" si="0">E3*3+F3</f>
        <v>59</v>
      </c>
      <c r="D3">
        <v>30</v>
      </c>
      <c r="E3">
        <v>18</v>
      </c>
      <c r="F3">
        <v>5</v>
      </c>
      <c r="G3">
        <f>D3-E3-F3</f>
        <v>7</v>
      </c>
      <c r="H3">
        <v>54</v>
      </c>
      <c r="I3">
        <v>34</v>
      </c>
      <c r="J3">
        <f>H3-I3</f>
        <v>20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W3" t="s">
        <v>201</v>
      </c>
      <c r="X3">
        <v>1</v>
      </c>
    </row>
    <row r="4" spans="1:24" x14ac:dyDescent="0.3">
      <c r="A4" s="1" t="s">
        <v>16</v>
      </c>
      <c r="B4" t="s">
        <v>192</v>
      </c>
      <c r="C4" s="3">
        <f t="shared" si="0"/>
        <v>57</v>
      </c>
      <c r="D4">
        <v>30</v>
      </c>
      <c r="E4">
        <v>17</v>
      </c>
      <c r="F4">
        <v>6</v>
      </c>
      <c r="G4">
        <f t="shared" ref="G4:G18" si="1">D4-E4-F4</f>
        <v>7</v>
      </c>
      <c r="H4">
        <v>56</v>
      </c>
      <c r="I4">
        <v>36</v>
      </c>
      <c r="J4">
        <f t="shared" ref="J4:J18" si="2">H4-I4</f>
        <v>20</v>
      </c>
      <c r="L4" s="2" t="s">
        <v>4</v>
      </c>
      <c r="M4" t="s">
        <v>198</v>
      </c>
      <c r="N4" s="3">
        <f>P4*3+Q4</f>
        <v>10</v>
      </c>
      <c r="O4">
        <v>6</v>
      </c>
      <c r="P4">
        <v>3</v>
      </c>
      <c r="Q4">
        <v>1</v>
      </c>
      <c r="R4">
        <f>O4-P4-Q4</f>
        <v>2</v>
      </c>
      <c r="S4">
        <v>9</v>
      </c>
      <c r="T4">
        <v>8</v>
      </c>
      <c r="U4">
        <f>S4-T4</f>
        <v>1</v>
      </c>
    </row>
    <row r="5" spans="1:24" x14ac:dyDescent="0.3">
      <c r="A5" s="11" t="s">
        <v>21</v>
      </c>
      <c r="B5" t="s">
        <v>193</v>
      </c>
      <c r="C5" s="3">
        <f t="shared" si="0"/>
        <v>49</v>
      </c>
      <c r="D5">
        <v>30</v>
      </c>
      <c r="E5">
        <v>14</v>
      </c>
      <c r="F5">
        <v>7</v>
      </c>
      <c r="G5">
        <f t="shared" si="1"/>
        <v>9</v>
      </c>
      <c r="H5">
        <v>46</v>
      </c>
      <c r="I5">
        <v>39</v>
      </c>
      <c r="J5">
        <f t="shared" si="2"/>
        <v>7</v>
      </c>
      <c r="L5" t="s">
        <v>16</v>
      </c>
      <c r="M5" t="s">
        <v>205</v>
      </c>
      <c r="N5" s="3">
        <f>P5*3+Q5</f>
        <v>8</v>
      </c>
      <c r="O5">
        <v>6</v>
      </c>
      <c r="P5">
        <v>2</v>
      </c>
      <c r="Q5">
        <v>2</v>
      </c>
      <c r="R5">
        <f t="shared" ref="R5:R7" si="3">O5-P5-Q5</f>
        <v>2</v>
      </c>
      <c r="S5">
        <v>9</v>
      </c>
      <c r="T5">
        <v>8</v>
      </c>
      <c r="U5">
        <f t="shared" ref="U5:U7" si="4">S5-T5</f>
        <v>1</v>
      </c>
    </row>
    <row r="6" spans="1:24" x14ac:dyDescent="0.3">
      <c r="A6" s="6" t="s">
        <v>24</v>
      </c>
      <c r="B6" t="s">
        <v>194</v>
      </c>
      <c r="C6" s="3">
        <f t="shared" si="0"/>
        <v>46</v>
      </c>
      <c r="D6">
        <v>30</v>
      </c>
      <c r="E6">
        <v>13</v>
      </c>
      <c r="F6">
        <v>7</v>
      </c>
      <c r="G6">
        <f t="shared" si="1"/>
        <v>10</v>
      </c>
      <c r="H6">
        <v>41</v>
      </c>
      <c r="I6">
        <v>40</v>
      </c>
      <c r="J6">
        <f t="shared" si="2"/>
        <v>1</v>
      </c>
      <c r="L6" t="s">
        <v>21</v>
      </c>
      <c r="M6" t="s">
        <v>193</v>
      </c>
      <c r="N6" s="3">
        <f>P6*3+Q6</f>
        <v>8</v>
      </c>
      <c r="O6">
        <v>6</v>
      </c>
      <c r="P6">
        <v>2</v>
      </c>
      <c r="Q6">
        <v>2</v>
      </c>
      <c r="R6">
        <f t="shared" si="3"/>
        <v>2</v>
      </c>
      <c r="S6">
        <v>9</v>
      </c>
      <c r="T6">
        <v>9</v>
      </c>
      <c r="U6">
        <f t="shared" si="4"/>
        <v>0</v>
      </c>
    </row>
    <row r="7" spans="1:24" x14ac:dyDescent="0.3">
      <c r="A7" s="6" t="s">
        <v>27</v>
      </c>
      <c r="B7" t="s">
        <v>195</v>
      </c>
      <c r="C7" s="3">
        <f t="shared" si="0"/>
        <v>45</v>
      </c>
      <c r="D7">
        <v>30</v>
      </c>
      <c r="E7">
        <v>13</v>
      </c>
      <c r="F7">
        <v>6</v>
      </c>
      <c r="G7">
        <f t="shared" si="1"/>
        <v>11</v>
      </c>
      <c r="H7">
        <v>47</v>
      </c>
      <c r="I7">
        <v>43</v>
      </c>
      <c r="J7">
        <f t="shared" si="2"/>
        <v>4</v>
      </c>
      <c r="L7" t="s">
        <v>24</v>
      </c>
      <c r="M7" t="s">
        <v>199</v>
      </c>
      <c r="N7" s="3">
        <f>P7*3+Q7</f>
        <v>7</v>
      </c>
      <c r="O7">
        <v>6</v>
      </c>
      <c r="P7">
        <v>2</v>
      </c>
      <c r="Q7">
        <v>1</v>
      </c>
      <c r="R7">
        <f t="shared" si="3"/>
        <v>3</v>
      </c>
      <c r="S7">
        <v>6</v>
      </c>
      <c r="T7">
        <v>8</v>
      </c>
      <c r="U7">
        <f t="shared" si="4"/>
        <v>-2</v>
      </c>
    </row>
    <row r="8" spans="1:24" x14ac:dyDescent="0.3">
      <c r="A8" s="6" t="s">
        <v>31</v>
      </c>
      <c r="B8" t="s">
        <v>196</v>
      </c>
      <c r="C8" s="3">
        <f t="shared" si="0"/>
        <v>45</v>
      </c>
      <c r="D8">
        <v>30</v>
      </c>
      <c r="E8">
        <v>14</v>
      </c>
      <c r="F8">
        <v>3</v>
      </c>
      <c r="G8">
        <f t="shared" si="1"/>
        <v>13</v>
      </c>
      <c r="H8">
        <v>47</v>
      </c>
      <c r="I8">
        <v>48</v>
      </c>
      <c r="J8">
        <f t="shared" si="2"/>
        <v>-1</v>
      </c>
    </row>
    <row r="9" spans="1:24" x14ac:dyDescent="0.3">
      <c r="A9" s="6" t="s">
        <v>34</v>
      </c>
      <c r="B9" t="s">
        <v>197</v>
      </c>
      <c r="C9" s="3">
        <f t="shared" si="0"/>
        <v>44</v>
      </c>
      <c r="D9">
        <v>30</v>
      </c>
      <c r="E9">
        <v>13</v>
      </c>
      <c r="F9">
        <v>5</v>
      </c>
      <c r="G9">
        <f t="shared" si="1"/>
        <v>12</v>
      </c>
      <c r="H9">
        <v>49</v>
      </c>
      <c r="I9">
        <v>45</v>
      </c>
      <c r="J9">
        <f t="shared" si="2"/>
        <v>4</v>
      </c>
      <c r="L9" t="s">
        <v>56</v>
      </c>
    </row>
    <row r="10" spans="1:24" x14ac:dyDescent="0.3">
      <c r="A10" s="8" t="s">
        <v>37</v>
      </c>
      <c r="B10" t="s">
        <v>198</v>
      </c>
      <c r="C10" s="3">
        <f t="shared" si="0"/>
        <v>43</v>
      </c>
      <c r="D10">
        <v>30</v>
      </c>
      <c r="E10">
        <v>11</v>
      </c>
      <c r="F10">
        <v>10</v>
      </c>
      <c r="G10">
        <f t="shared" si="1"/>
        <v>9</v>
      </c>
      <c r="H10">
        <v>53</v>
      </c>
      <c r="I10">
        <v>47</v>
      </c>
      <c r="J10">
        <f t="shared" si="2"/>
        <v>6</v>
      </c>
      <c r="L10" t="s">
        <v>6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12</v>
      </c>
      <c r="S10" t="s">
        <v>13</v>
      </c>
      <c r="T10" t="s">
        <v>14</v>
      </c>
      <c r="U10" t="s">
        <v>15</v>
      </c>
    </row>
    <row r="11" spans="1:24" x14ac:dyDescent="0.3">
      <c r="A11" t="s">
        <v>38</v>
      </c>
      <c r="B11" t="s">
        <v>199</v>
      </c>
      <c r="C11" s="3">
        <f t="shared" si="0"/>
        <v>39</v>
      </c>
      <c r="D11">
        <v>30</v>
      </c>
      <c r="E11">
        <v>10</v>
      </c>
      <c r="F11">
        <v>9</v>
      </c>
      <c r="G11">
        <f t="shared" si="1"/>
        <v>11</v>
      </c>
      <c r="H11">
        <v>58</v>
      </c>
      <c r="I11">
        <v>59</v>
      </c>
      <c r="J11">
        <f t="shared" si="2"/>
        <v>-1</v>
      </c>
      <c r="L11" s="2" t="s">
        <v>4</v>
      </c>
      <c r="M11" t="s">
        <v>196</v>
      </c>
      <c r="N11" s="3">
        <f>P11*3+Q11</f>
        <v>13</v>
      </c>
      <c r="O11">
        <v>6</v>
      </c>
      <c r="P11">
        <v>4</v>
      </c>
      <c r="Q11">
        <v>1</v>
      </c>
      <c r="R11">
        <f>O11-P11-Q11</f>
        <v>1</v>
      </c>
      <c r="S11">
        <v>9</v>
      </c>
      <c r="T11">
        <v>4</v>
      </c>
      <c r="U11">
        <f>S11-T11</f>
        <v>5</v>
      </c>
    </row>
    <row r="12" spans="1:24" x14ac:dyDescent="0.3">
      <c r="A12" t="s">
        <v>41</v>
      </c>
      <c r="B12" t="s">
        <v>200</v>
      </c>
      <c r="C12" s="3">
        <f t="shared" si="0"/>
        <v>39</v>
      </c>
      <c r="D12">
        <v>30</v>
      </c>
      <c r="E12">
        <v>11</v>
      </c>
      <c r="F12">
        <v>6</v>
      </c>
      <c r="G12">
        <f t="shared" si="1"/>
        <v>13</v>
      </c>
      <c r="H12">
        <v>41</v>
      </c>
      <c r="I12">
        <v>43</v>
      </c>
      <c r="J12">
        <f t="shared" si="2"/>
        <v>-2</v>
      </c>
      <c r="L12" t="s">
        <v>16</v>
      </c>
      <c r="M12" t="s">
        <v>203</v>
      </c>
      <c r="N12" s="3">
        <f>P12*3+Q12</f>
        <v>13</v>
      </c>
      <c r="O12">
        <v>6</v>
      </c>
      <c r="P12">
        <v>4</v>
      </c>
      <c r="Q12">
        <v>1</v>
      </c>
      <c r="R12">
        <f t="shared" ref="R12:R14" si="5">O12-P12-Q12</f>
        <v>1</v>
      </c>
      <c r="S12">
        <v>8</v>
      </c>
      <c r="T12">
        <v>5</v>
      </c>
      <c r="U12">
        <f t="shared" ref="U12:U14" si="6">S12-T12</f>
        <v>3</v>
      </c>
    </row>
    <row r="13" spans="1:24" x14ac:dyDescent="0.3">
      <c r="A13" s="11" t="s">
        <v>43</v>
      </c>
      <c r="B13" t="s">
        <v>201</v>
      </c>
      <c r="C13" s="3">
        <f t="shared" si="0"/>
        <v>39</v>
      </c>
      <c r="D13">
        <v>30</v>
      </c>
      <c r="E13">
        <v>11</v>
      </c>
      <c r="F13">
        <v>6</v>
      </c>
      <c r="G13">
        <f t="shared" si="1"/>
        <v>13</v>
      </c>
      <c r="H13">
        <v>41</v>
      </c>
      <c r="I13">
        <v>56</v>
      </c>
      <c r="J13">
        <f t="shared" si="2"/>
        <v>-15</v>
      </c>
      <c r="L13" t="s">
        <v>21</v>
      </c>
      <c r="M13" t="s">
        <v>204</v>
      </c>
      <c r="N13" s="3">
        <f>P13*3+Q13</f>
        <v>6</v>
      </c>
      <c r="O13">
        <v>6</v>
      </c>
      <c r="P13">
        <v>2</v>
      </c>
      <c r="Q13">
        <v>0</v>
      </c>
      <c r="R13">
        <f t="shared" si="5"/>
        <v>4</v>
      </c>
      <c r="S13">
        <v>6</v>
      </c>
      <c r="T13">
        <v>9</v>
      </c>
      <c r="U13">
        <f t="shared" si="6"/>
        <v>-3</v>
      </c>
    </row>
    <row r="14" spans="1:24" x14ac:dyDescent="0.3">
      <c r="A14" t="s">
        <v>44</v>
      </c>
      <c r="B14" t="s">
        <v>202</v>
      </c>
      <c r="C14" s="3">
        <f t="shared" si="0"/>
        <v>38</v>
      </c>
      <c r="D14">
        <v>30</v>
      </c>
      <c r="E14">
        <v>11</v>
      </c>
      <c r="F14">
        <v>5</v>
      </c>
      <c r="G14">
        <f t="shared" si="1"/>
        <v>14</v>
      </c>
      <c r="H14">
        <v>47</v>
      </c>
      <c r="I14">
        <v>51</v>
      </c>
      <c r="J14">
        <f t="shared" si="2"/>
        <v>-4</v>
      </c>
      <c r="L14" t="s">
        <v>24</v>
      </c>
      <c r="M14" t="s">
        <v>191</v>
      </c>
      <c r="N14" s="3">
        <f>P14*3+Q14</f>
        <v>2</v>
      </c>
      <c r="O14">
        <v>6</v>
      </c>
      <c r="P14">
        <v>0</v>
      </c>
      <c r="Q14">
        <v>2</v>
      </c>
      <c r="R14">
        <f t="shared" si="5"/>
        <v>4</v>
      </c>
      <c r="S14">
        <v>5</v>
      </c>
      <c r="T14">
        <v>10</v>
      </c>
      <c r="U14">
        <f t="shared" si="6"/>
        <v>-5</v>
      </c>
    </row>
    <row r="15" spans="1:24" x14ac:dyDescent="0.3">
      <c r="A15" t="s">
        <v>47</v>
      </c>
      <c r="B15" t="s">
        <v>203</v>
      </c>
      <c r="C15" s="3">
        <f t="shared" si="0"/>
        <v>37</v>
      </c>
      <c r="D15">
        <v>30</v>
      </c>
      <c r="E15">
        <v>11</v>
      </c>
      <c r="F15">
        <v>4</v>
      </c>
      <c r="G15">
        <f t="shared" si="1"/>
        <v>15</v>
      </c>
      <c r="H15">
        <v>43</v>
      </c>
      <c r="I15">
        <v>48</v>
      </c>
      <c r="J15">
        <f t="shared" si="2"/>
        <v>-5</v>
      </c>
    </row>
    <row r="16" spans="1:24" x14ac:dyDescent="0.3">
      <c r="A16" t="s">
        <v>49</v>
      </c>
      <c r="B16" t="s">
        <v>204</v>
      </c>
      <c r="C16" s="3">
        <f t="shared" si="0"/>
        <v>36</v>
      </c>
      <c r="D16">
        <v>30</v>
      </c>
      <c r="E16">
        <v>9</v>
      </c>
      <c r="F16">
        <v>9</v>
      </c>
      <c r="G16">
        <f t="shared" si="1"/>
        <v>12</v>
      </c>
      <c r="H16">
        <v>37</v>
      </c>
      <c r="I16">
        <v>42</v>
      </c>
      <c r="J16">
        <f t="shared" si="2"/>
        <v>-5</v>
      </c>
      <c r="L16" t="s">
        <v>187</v>
      </c>
    </row>
    <row r="17" spans="1:21" x14ac:dyDescent="0.3">
      <c r="A17" t="s">
        <v>51</v>
      </c>
      <c r="B17" t="s">
        <v>205</v>
      </c>
      <c r="C17" s="3">
        <f t="shared" si="0"/>
        <v>30</v>
      </c>
      <c r="D17">
        <v>30</v>
      </c>
      <c r="E17">
        <v>7</v>
      </c>
      <c r="F17">
        <v>9</v>
      </c>
      <c r="G17">
        <f t="shared" si="1"/>
        <v>14</v>
      </c>
      <c r="H17">
        <v>42</v>
      </c>
      <c r="I17">
        <v>56</v>
      </c>
      <c r="J17">
        <f t="shared" si="2"/>
        <v>-14</v>
      </c>
      <c r="L17" t="s">
        <v>6</v>
      </c>
      <c r="M17" t="s">
        <v>7</v>
      </c>
      <c r="N17" t="s">
        <v>8</v>
      </c>
      <c r="O17" t="s">
        <v>9</v>
      </c>
      <c r="P17" t="s">
        <v>10</v>
      </c>
      <c r="Q17" t="s">
        <v>11</v>
      </c>
      <c r="R17" t="s">
        <v>12</v>
      </c>
      <c r="S17" t="s">
        <v>13</v>
      </c>
      <c r="T17" t="s">
        <v>14</v>
      </c>
      <c r="U17" t="s">
        <v>15</v>
      </c>
    </row>
    <row r="18" spans="1:21" x14ac:dyDescent="0.3">
      <c r="A18" t="s">
        <v>53</v>
      </c>
      <c r="B18" t="s">
        <v>206</v>
      </c>
      <c r="C18" s="3">
        <f t="shared" si="0"/>
        <v>22</v>
      </c>
      <c r="D18">
        <v>30</v>
      </c>
      <c r="E18">
        <v>5</v>
      </c>
      <c r="F18">
        <v>7</v>
      </c>
      <c r="G18">
        <f t="shared" si="1"/>
        <v>18</v>
      </c>
      <c r="H18">
        <v>31</v>
      </c>
      <c r="I18">
        <v>46</v>
      </c>
      <c r="J18">
        <f t="shared" si="2"/>
        <v>-15</v>
      </c>
      <c r="L18" s="2" t="s">
        <v>4</v>
      </c>
      <c r="M18" t="s">
        <v>202</v>
      </c>
      <c r="N18" s="3">
        <f>P18*3+Q18</f>
        <v>13</v>
      </c>
      <c r="O18">
        <v>6</v>
      </c>
      <c r="P18">
        <v>4</v>
      </c>
      <c r="Q18">
        <v>1</v>
      </c>
      <c r="R18">
        <f>O18-P18-Q18</f>
        <v>1</v>
      </c>
      <c r="S18">
        <v>5</v>
      </c>
      <c r="T18">
        <v>2</v>
      </c>
      <c r="U18">
        <f>S18-T18</f>
        <v>3</v>
      </c>
    </row>
    <row r="19" spans="1:21" x14ac:dyDescent="0.3">
      <c r="L19" t="s">
        <v>16</v>
      </c>
      <c r="M19" t="s">
        <v>195</v>
      </c>
      <c r="N19" s="3">
        <f>P19*3+Q19</f>
        <v>11</v>
      </c>
      <c r="O19">
        <v>6</v>
      </c>
      <c r="P19">
        <v>3</v>
      </c>
      <c r="Q19">
        <v>2</v>
      </c>
      <c r="R19">
        <f t="shared" ref="R19:R21" si="7">O19-P19-Q19</f>
        <v>1</v>
      </c>
      <c r="S19">
        <v>6</v>
      </c>
      <c r="T19">
        <v>3</v>
      </c>
      <c r="U19">
        <f t="shared" ref="U19:U21" si="8">S19-T19</f>
        <v>3</v>
      </c>
    </row>
    <row r="20" spans="1:21" x14ac:dyDescent="0.3">
      <c r="L20" t="s">
        <v>21</v>
      </c>
      <c r="M20" t="s">
        <v>192</v>
      </c>
      <c r="N20" s="3">
        <f>P20*3+Q20</f>
        <v>9</v>
      </c>
      <c r="O20">
        <v>6</v>
      </c>
      <c r="P20">
        <v>3</v>
      </c>
      <c r="Q20">
        <v>0</v>
      </c>
      <c r="R20">
        <f t="shared" si="7"/>
        <v>3</v>
      </c>
      <c r="S20">
        <v>5</v>
      </c>
      <c r="T20">
        <v>5</v>
      </c>
      <c r="U20">
        <f t="shared" si="8"/>
        <v>0</v>
      </c>
    </row>
    <row r="21" spans="1:21" x14ac:dyDescent="0.3">
      <c r="L21" t="s">
        <v>24</v>
      </c>
      <c r="M21" t="s">
        <v>197</v>
      </c>
      <c r="N21" s="3">
        <f>P21*3+Q21</f>
        <v>1</v>
      </c>
      <c r="O21">
        <v>6</v>
      </c>
      <c r="P21">
        <v>0</v>
      </c>
      <c r="Q21">
        <v>1</v>
      </c>
      <c r="R21">
        <f t="shared" si="7"/>
        <v>5</v>
      </c>
      <c r="S21">
        <v>1</v>
      </c>
      <c r="T21">
        <v>7</v>
      </c>
      <c r="U21">
        <f t="shared" si="8"/>
        <v>-6</v>
      </c>
    </row>
    <row r="23" spans="1:21" x14ac:dyDescent="0.3">
      <c r="L23" t="s">
        <v>188</v>
      </c>
    </row>
    <row r="24" spans="1:21" x14ac:dyDescent="0.3">
      <c r="L24" t="s">
        <v>6</v>
      </c>
      <c r="M24" t="s">
        <v>7</v>
      </c>
      <c r="N24" t="s">
        <v>8</v>
      </c>
      <c r="O24" t="s">
        <v>9</v>
      </c>
      <c r="P24" t="s">
        <v>10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</row>
    <row r="25" spans="1:21" x14ac:dyDescent="0.3">
      <c r="L25" s="2" t="s">
        <v>4</v>
      </c>
      <c r="M25" t="s">
        <v>201</v>
      </c>
      <c r="N25" s="3">
        <f>P25*3+Q25</f>
        <v>12</v>
      </c>
      <c r="O25">
        <v>6</v>
      </c>
      <c r="P25">
        <v>3</v>
      </c>
      <c r="Q25">
        <v>3</v>
      </c>
      <c r="R25">
        <f>O25-P25-Q25</f>
        <v>0</v>
      </c>
      <c r="S25">
        <v>7</v>
      </c>
      <c r="T25">
        <v>4</v>
      </c>
      <c r="U25">
        <f>S25-T25</f>
        <v>3</v>
      </c>
    </row>
    <row r="26" spans="1:21" x14ac:dyDescent="0.3">
      <c r="L26" t="s">
        <v>16</v>
      </c>
      <c r="M26" t="s">
        <v>206</v>
      </c>
      <c r="N26" s="3">
        <f>P26*3+Q26</f>
        <v>8</v>
      </c>
      <c r="O26">
        <v>6</v>
      </c>
      <c r="P26">
        <v>1</v>
      </c>
      <c r="Q26">
        <v>5</v>
      </c>
      <c r="R26">
        <f t="shared" ref="R26:R28" si="9">O26-P26-Q26</f>
        <v>0</v>
      </c>
      <c r="S26">
        <v>7</v>
      </c>
      <c r="T26">
        <v>6</v>
      </c>
      <c r="U26">
        <f t="shared" ref="U26:U28" si="10">S26-T26</f>
        <v>1</v>
      </c>
    </row>
    <row r="27" spans="1:21" x14ac:dyDescent="0.3">
      <c r="L27" t="s">
        <v>21</v>
      </c>
      <c r="M27" t="s">
        <v>194</v>
      </c>
      <c r="N27" s="3">
        <f>P27*3+Q27</f>
        <v>5</v>
      </c>
      <c r="O27">
        <v>6</v>
      </c>
      <c r="P27">
        <v>1</v>
      </c>
      <c r="Q27">
        <v>2</v>
      </c>
      <c r="R27">
        <f t="shared" si="9"/>
        <v>3</v>
      </c>
      <c r="S27">
        <v>4</v>
      </c>
      <c r="T27">
        <v>5</v>
      </c>
      <c r="U27">
        <f t="shared" si="10"/>
        <v>-1</v>
      </c>
    </row>
    <row r="28" spans="1:21" x14ac:dyDescent="0.3">
      <c r="L28" t="s">
        <v>24</v>
      </c>
      <c r="M28" t="s">
        <v>200</v>
      </c>
      <c r="N28" s="3">
        <f>P28*3+Q28</f>
        <v>5</v>
      </c>
      <c r="O28">
        <v>6</v>
      </c>
      <c r="P28">
        <v>1</v>
      </c>
      <c r="Q28">
        <v>2</v>
      </c>
      <c r="R28">
        <f t="shared" si="9"/>
        <v>3</v>
      </c>
      <c r="S28">
        <v>5</v>
      </c>
      <c r="T28">
        <v>8</v>
      </c>
      <c r="U28">
        <f t="shared" si="10"/>
        <v>-3</v>
      </c>
    </row>
    <row r="30" spans="1:21" x14ac:dyDescent="0.3">
      <c r="L30" t="s">
        <v>94</v>
      </c>
    </row>
    <row r="31" spans="1:21" x14ac:dyDescent="0.3">
      <c r="L31" t="s">
        <v>202</v>
      </c>
      <c r="M31" t="s">
        <v>146</v>
      </c>
      <c r="N31" t="s">
        <v>201</v>
      </c>
      <c r="P31" t="s">
        <v>201</v>
      </c>
      <c r="Q31" t="s">
        <v>108</v>
      </c>
      <c r="R31" t="s">
        <v>202</v>
      </c>
    </row>
    <row r="32" spans="1:21" x14ac:dyDescent="0.3">
      <c r="L32" t="s">
        <v>196</v>
      </c>
      <c r="M32" t="s">
        <v>105</v>
      </c>
      <c r="N32" t="s">
        <v>198</v>
      </c>
      <c r="P32" t="s">
        <v>198</v>
      </c>
      <c r="Q32" t="s">
        <v>81</v>
      </c>
      <c r="R32" t="s">
        <v>196</v>
      </c>
    </row>
    <row r="34" spans="12:14" x14ac:dyDescent="0.3">
      <c r="L34" t="s">
        <v>96</v>
      </c>
    </row>
    <row r="35" spans="12:14" x14ac:dyDescent="0.3">
      <c r="L35" t="s">
        <v>201</v>
      </c>
      <c r="M35" t="s">
        <v>164</v>
      </c>
      <c r="N35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092F-61C3-4714-88D3-51C6E4446089}">
  <dimension ref="A1:AM45"/>
  <sheetViews>
    <sheetView workbookViewId="0">
      <selection activeCell="C3" sqref="C3:J22"/>
    </sheetView>
  </sheetViews>
  <sheetFormatPr defaultRowHeight="14.4" x14ac:dyDescent="0.3"/>
  <cols>
    <col min="1" max="1" width="15" customWidth="1"/>
    <col min="2" max="2" width="20.21875" customWidth="1"/>
    <col min="3" max="3" width="20.33203125" customWidth="1"/>
    <col min="5" max="5" width="20.21875" customWidth="1"/>
    <col min="7" max="7" width="14.33203125" customWidth="1"/>
    <col min="12" max="12" width="21.33203125" customWidth="1"/>
    <col min="13" max="13" width="20.33203125" customWidth="1"/>
    <col min="14" max="14" width="15.5546875" customWidth="1"/>
    <col min="16" max="16" width="15.5546875" customWidth="1"/>
    <col min="18" max="18" width="19.6640625" customWidth="1"/>
    <col min="23" max="23" width="16.21875" customWidth="1"/>
    <col min="24" max="24" width="20.77734375" customWidth="1"/>
    <col min="26" max="26" width="20.5546875" customWidth="1"/>
    <col min="27" max="27" width="22" customWidth="1"/>
    <col min="28" max="28" width="20.44140625" customWidth="1"/>
    <col min="30" max="30" width="20.5546875" customWidth="1"/>
    <col min="32" max="32" width="20.77734375" customWidth="1"/>
  </cols>
  <sheetData>
    <row r="1" spans="1:39" x14ac:dyDescent="0.3">
      <c r="A1" t="s">
        <v>0</v>
      </c>
      <c r="L1" t="s">
        <v>1</v>
      </c>
      <c r="W1" t="s">
        <v>2</v>
      </c>
      <c r="Z1" t="s">
        <v>229</v>
      </c>
      <c r="AK1" t="s">
        <v>166</v>
      </c>
    </row>
    <row r="2" spans="1:3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W2" s="1" t="s">
        <v>4</v>
      </c>
      <c r="X2" t="s">
        <v>227</v>
      </c>
      <c r="Z2" t="s">
        <v>3</v>
      </c>
      <c r="AK2" t="s">
        <v>219</v>
      </c>
      <c r="AL2">
        <v>16</v>
      </c>
      <c r="AM2" t="s">
        <v>167</v>
      </c>
    </row>
    <row r="3" spans="1:39" x14ac:dyDescent="0.3">
      <c r="A3" s="2" t="s">
        <v>4</v>
      </c>
      <c r="B3" t="s">
        <v>218</v>
      </c>
      <c r="C3" s="3">
        <f t="shared" ref="C3:C22" si="0">E3*3+F3</f>
        <v>39</v>
      </c>
      <c r="D3">
        <v>19</v>
      </c>
      <c r="E3">
        <v>12</v>
      </c>
      <c r="F3">
        <v>3</v>
      </c>
      <c r="G3">
        <f>D3-E3-F3</f>
        <v>4</v>
      </c>
      <c r="H3">
        <v>34</v>
      </c>
      <c r="I3">
        <v>21</v>
      </c>
      <c r="J3">
        <f>H3-I3</f>
        <v>13</v>
      </c>
      <c r="L3" s="2" t="s">
        <v>4</v>
      </c>
      <c r="M3" t="s">
        <v>224</v>
      </c>
      <c r="N3" s="3">
        <f t="shared" ref="N3:N22" si="1">P3*3+Q3</f>
        <v>38</v>
      </c>
      <c r="O3">
        <v>19</v>
      </c>
      <c r="P3">
        <v>12</v>
      </c>
      <c r="Q3">
        <v>2</v>
      </c>
      <c r="R3">
        <f t="shared" ref="R3:R22" si="2">O3-P3-Q3</f>
        <v>5</v>
      </c>
      <c r="S3">
        <v>38</v>
      </c>
      <c r="T3">
        <v>25</v>
      </c>
      <c r="U3">
        <f t="shared" ref="U3:U22" si="3">S3-T3</f>
        <v>13</v>
      </c>
      <c r="W3" s="4" t="s">
        <v>16</v>
      </c>
      <c r="X3" t="s">
        <v>211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K3" t="s">
        <v>227</v>
      </c>
      <c r="AL3">
        <v>1</v>
      </c>
      <c r="AM3" t="s">
        <v>168</v>
      </c>
    </row>
    <row r="4" spans="1:39" x14ac:dyDescent="0.3">
      <c r="A4" s="5" t="s">
        <v>16</v>
      </c>
      <c r="B4" t="s">
        <v>211</v>
      </c>
      <c r="C4" s="3">
        <f t="shared" si="0"/>
        <v>32</v>
      </c>
      <c r="D4">
        <v>19</v>
      </c>
      <c r="E4">
        <v>10</v>
      </c>
      <c r="F4">
        <v>2</v>
      </c>
      <c r="G4">
        <f t="shared" ref="G4:G22" si="4">D4-E4-F4</f>
        <v>7</v>
      </c>
      <c r="H4">
        <v>30</v>
      </c>
      <c r="I4">
        <v>25</v>
      </c>
      <c r="J4">
        <f t="shared" ref="J4:J22" si="5">H4-I4</f>
        <v>5</v>
      </c>
      <c r="L4" s="5" t="s">
        <v>16</v>
      </c>
      <c r="M4" t="s">
        <v>227</v>
      </c>
      <c r="N4" s="3">
        <f t="shared" si="1"/>
        <v>33</v>
      </c>
      <c r="O4">
        <v>19</v>
      </c>
      <c r="P4">
        <v>10</v>
      </c>
      <c r="Q4">
        <v>3</v>
      </c>
      <c r="R4">
        <f t="shared" si="2"/>
        <v>6</v>
      </c>
      <c r="S4">
        <v>32</v>
      </c>
      <c r="T4">
        <v>34</v>
      </c>
      <c r="U4">
        <f t="shared" si="3"/>
        <v>-2</v>
      </c>
      <c r="W4" s="4" t="s">
        <v>21</v>
      </c>
      <c r="X4" t="s">
        <v>218</v>
      </c>
      <c r="Z4" s="2" t="s">
        <v>4</v>
      </c>
      <c r="AA4" t="s">
        <v>218</v>
      </c>
      <c r="AB4" s="3">
        <f>AD4*3+AE4</f>
        <v>10</v>
      </c>
      <c r="AC4">
        <v>4</v>
      </c>
      <c r="AD4">
        <v>3</v>
      </c>
      <c r="AE4">
        <v>1</v>
      </c>
      <c r="AF4">
        <f t="shared" ref="AF4:AF8" si="6">AC4-AD4-AE4</f>
        <v>0</v>
      </c>
      <c r="AG4">
        <v>6</v>
      </c>
      <c r="AH4">
        <v>2</v>
      </c>
      <c r="AI4">
        <f t="shared" ref="AI4:AI8" si="7">AG4-AH4</f>
        <v>4</v>
      </c>
      <c r="AK4" t="s">
        <v>212</v>
      </c>
      <c r="AL4">
        <v>1</v>
      </c>
    </row>
    <row r="5" spans="1:39" x14ac:dyDescent="0.3">
      <c r="A5" s="5" t="s">
        <v>21</v>
      </c>
      <c r="B5" t="s">
        <v>208</v>
      </c>
      <c r="C5" s="3">
        <f t="shared" si="0"/>
        <v>32</v>
      </c>
      <c r="D5">
        <v>19</v>
      </c>
      <c r="E5">
        <v>10</v>
      </c>
      <c r="F5">
        <v>2</v>
      </c>
      <c r="G5">
        <f t="shared" si="4"/>
        <v>7</v>
      </c>
      <c r="H5">
        <v>26</v>
      </c>
      <c r="I5">
        <v>24</v>
      </c>
      <c r="J5">
        <f t="shared" si="5"/>
        <v>2</v>
      </c>
      <c r="L5" s="5" t="s">
        <v>21</v>
      </c>
      <c r="M5" t="s">
        <v>209</v>
      </c>
      <c r="N5" s="3">
        <f t="shared" si="1"/>
        <v>31</v>
      </c>
      <c r="O5">
        <v>19</v>
      </c>
      <c r="P5">
        <v>9</v>
      </c>
      <c r="Q5">
        <v>4</v>
      </c>
      <c r="R5">
        <f t="shared" si="2"/>
        <v>6</v>
      </c>
      <c r="S5">
        <v>36</v>
      </c>
      <c r="T5">
        <v>26</v>
      </c>
      <c r="U5">
        <f t="shared" si="3"/>
        <v>10</v>
      </c>
      <c r="W5" s="6" t="s">
        <v>24</v>
      </c>
      <c r="X5" t="s">
        <v>221</v>
      </c>
      <c r="Z5" s="5" t="s">
        <v>16</v>
      </c>
      <c r="AA5" t="s">
        <v>224</v>
      </c>
      <c r="AB5" s="3">
        <f>AD5*3+AE5</f>
        <v>10</v>
      </c>
      <c r="AC5">
        <v>4</v>
      </c>
      <c r="AD5">
        <v>3</v>
      </c>
      <c r="AE5">
        <v>1</v>
      </c>
      <c r="AF5">
        <f t="shared" si="6"/>
        <v>0</v>
      </c>
      <c r="AG5">
        <v>6</v>
      </c>
      <c r="AH5">
        <v>2</v>
      </c>
      <c r="AI5">
        <f t="shared" si="7"/>
        <v>4</v>
      </c>
    </row>
    <row r="6" spans="1:39" x14ac:dyDescent="0.3">
      <c r="A6" s="5" t="s">
        <v>24</v>
      </c>
      <c r="B6" t="s">
        <v>227</v>
      </c>
      <c r="C6" s="3">
        <f t="shared" si="0"/>
        <v>31</v>
      </c>
      <c r="D6">
        <v>19</v>
      </c>
      <c r="E6">
        <v>9</v>
      </c>
      <c r="F6">
        <v>4</v>
      </c>
      <c r="G6">
        <f t="shared" si="4"/>
        <v>6</v>
      </c>
      <c r="H6">
        <v>32</v>
      </c>
      <c r="I6">
        <v>29</v>
      </c>
      <c r="J6">
        <f t="shared" si="5"/>
        <v>3</v>
      </c>
      <c r="L6" s="5" t="s">
        <v>24</v>
      </c>
      <c r="M6" t="s">
        <v>222</v>
      </c>
      <c r="N6" s="3">
        <f t="shared" si="1"/>
        <v>30</v>
      </c>
      <c r="O6">
        <v>19</v>
      </c>
      <c r="P6">
        <v>8</v>
      </c>
      <c r="Q6">
        <v>6</v>
      </c>
      <c r="R6">
        <f t="shared" si="2"/>
        <v>5</v>
      </c>
      <c r="S6">
        <v>42</v>
      </c>
      <c r="T6">
        <v>35</v>
      </c>
      <c r="U6">
        <f t="shared" si="3"/>
        <v>7</v>
      </c>
      <c r="W6" s="6" t="s">
        <v>27</v>
      </c>
      <c r="X6" t="s">
        <v>216</v>
      </c>
      <c r="Z6" t="s">
        <v>21</v>
      </c>
      <c r="AA6" t="s">
        <v>216</v>
      </c>
      <c r="AB6" s="3">
        <f>AD6*3+AE6</f>
        <v>4</v>
      </c>
      <c r="AC6">
        <v>4</v>
      </c>
      <c r="AD6">
        <v>1</v>
      </c>
      <c r="AE6">
        <v>1</v>
      </c>
      <c r="AF6">
        <f t="shared" si="6"/>
        <v>2</v>
      </c>
      <c r="AG6">
        <v>4</v>
      </c>
      <c r="AH6">
        <v>4</v>
      </c>
      <c r="AI6">
        <f t="shared" si="7"/>
        <v>0</v>
      </c>
    </row>
    <row r="7" spans="1:39" x14ac:dyDescent="0.3">
      <c r="A7" s="5" t="s">
        <v>27</v>
      </c>
      <c r="B7" t="s">
        <v>216</v>
      </c>
      <c r="C7" s="3">
        <f t="shared" si="0"/>
        <v>30</v>
      </c>
      <c r="D7">
        <v>19</v>
      </c>
      <c r="E7">
        <v>8</v>
      </c>
      <c r="F7">
        <v>6</v>
      </c>
      <c r="G7">
        <f t="shared" si="4"/>
        <v>5</v>
      </c>
      <c r="H7">
        <v>33</v>
      </c>
      <c r="I7">
        <v>23</v>
      </c>
      <c r="J7">
        <f t="shared" si="5"/>
        <v>10</v>
      </c>
      <c r="L7" s="5" t="s">
        <v>27</v>
      </c>
      <c r="M7" t="s">
        <v>221</v>
      </c>
      <c r="N7" s="3">
        <f t="shared" si="1"/>
        <v>29</v>
      </c>
      <c r="O7">
        <v>19</v>
      </c>
      <c r="P7">
        <v>9</v>
      </c>
      <c r="Q7">
        <v>2</v>
      </c>
      <c r="R7">
        <f t="shared" si="2"/>
        <v>8</v>
      </c>
      <c r="S7">
        <v>32</v>
      </c>
      <c r="T7">
        <v>30</v>
      </c>
      <c r="U7">
        <f t="shared" si="3"/>
        <v>2</v>
      </c>
      <c r="W7" s="6" t="s">
        <v>31</v>
      </c>
      <c r="X7" t="s">
        <v>210</v>
      </c>
      <c r="Z7" t="s">
        <v>24</v>
      </c>
      <c r="AA7" t="s">
        <v>220</v>
      </c>
      <c r="AB7" s="3">
        <f>AD7*3+AE7</f>
        <v>3</v>
      </c>
      <c r="AC7">
        <v>4</v>
      </c>
      <c r="AD7">
        <v>1</v>
      </c>
      <c r="AE7">
        <v>0</v>
      </c>
      <c r="AF7">
        <f t="shared" si="6"/>
        <v>3</v>
      </c>
      <c r="AG7">
        <v>5</v>
      </c>
      <c r="AH7">
        <v>10</v>
      </c>
      <c r="AI7">
        <f t="shared" si="7"/>
        <v>-5</v>
      </c>
    </row>
    <row r="8" spans="1:39" x14ac:dyDescent="0.3">
      <c r="A8" s="5" t="s">
        <v>31</v>
      </c>
      <c r="B8" t="s">
        <v>221</v>
      </c>
      <c r="C8" s="3">
        <f t="shared" si="0"/>
        <v>29</v>
      </c>
      <c r="D8">
        <v>19</v>
      </c>
      <c r="E8">
        <v>8</v>
      </c>
      <c r="F8">
        <v>5</v>
      </c>
      <c r="G8">
        <f t="shared" si="4"/>
        <v>6</v>
      </c>
      <c r="H8">
        <v>33</v>
      </c>
      <c r="I8">
        <v>25</v>
      </c>
      <c r="J8">
        <f t="shared" si="5"/>
        <v>8</v>
      </c>
      <c r="L8" s="5" t="s">
        <v>31</v>
      </c>
      <c r="M8" t="s">
        <v>226</v>
      </c>
      <c r="N8" s="3">
        <f t="shared" si="1"/>
        <v>29</v>
      </c>
      <c r="O8">
        <v>19</v>
      </c>
      <c r="P8">
        <v>8</v>
      </c>
      <c r="Q8">
        <v>5</v>
      </c>
      <c r="R8">
        <f t="shared" si="2"/>
        <v>6</v>
      </c>
      <c r="S8">
        <v>29</v>
      </c>
      <c r="T8">
        <v>28</v>
      </c>
      <c r="U8">
        <f t="shared" si="3"/>
        <v>1</v>
      </c>
      <c r="W8" s="8" t="s">
        <v>34</v>
      </c>
      <c r="X8" t="s">
        <v>209</v>
      </c>
      <c r="Z8" t="s">
        <v>27</v>
      </c>
      <c r="AA8" t="s">
        <v>214</v>
      </c>
      <c r="AB8" s="3">
        <f>AD8*3+AE8</f>
        <v>1</v>
      </c>
      <c r="AC8">
        <v>4</v>
      </c>
      <c r="AD8">
        <v>0</v>
      </c>
      <c r="AE8">
        <v>1</v>
      </c>
      <c r="AF8">
        <f t="shared" si="6"/>
        <v>3</v>
      </c>
      <c r="AG8">
        <v>4</v>
      </c>
      <c r="AH8">
        <v>7</v>
      </c>
      <c r="AI8">
        <f t="shared" si="7"/>
        <v>-3</v>
      </c>
    </row>
    <row r="9" spans="1:39" x14ac:dyDescent="0.3">
      <c r="A9" s="5" t="s">
        <v>34</v>
      </c>
      <c r="B9" t="s">
        <v>219</v>
      </c>
      <c r="C9" s="3">
        <f t="shared" si="0"/>
        <v>29</v>
      </c>
      <c r="D9">
        <v>19</v>
      </c>
      <c r="E9">
        <v>8</v>
      </c>
      <c r="F9">
        <v>5</v>
      </c>
      <c r="G9">
        <f t="shared" si="4"/>
        <v>6</v>
      </c>
      <c r="H9">
        <v>29</v>
      </c>
      <c r="I9">
        <v>25</v>
      </c>
      <c r="J9">
        <f t="shared" si="5"/>
        <v>4</v>
      </c>
      <c r="L9" s="5" t="s">
        <v>34</v>
      </c>
      <c r="M9" t="s">
        <v>211</v>
      </c>
      <c r="N9" s="3">
        <f t="shared" si="1"/>
        <v>28</v>
      </c>
      <c r="O9">
        <v>19</v>
      </c>
      <c r="P9">
        <v>8</v>
      </c>
      <c r="Q9">
        <v>4</v>
      </c>
      <c r="R9">
        <f t="shared" si="2"/>
        <v>7</v>
      </c>
      <c r="S9">
        <v>28</v>
      </c>
      <c r="T9">
        <v>32</v>
      </c>
      <c r="U9">
        <f t="shared" si="3"/>
        <v>-4</v>
      </c>
      <c r="W9" s="8" t="s">
        <v>37</v>
      </c>
      <c r="X9" t="s">
        <v>226</v>
      </c>
    </row>
    <row r="10" spans="1:39" x14ac:dyDescent="0.3">
      <c r="A10" s="5" t="s">
        <v>37</v>
      </c>
      <c r="B10" t="s">
        <v>210</v>
      </c>
      <c r="C10" s="3">
        <f t="shared" si="0"/>
        <v>28</v>
      </c>
      <c r="D10">
        <v>19</v>
      </c>
      <c r="E10">
        <v>8</v>
      </c>
      <c r="F10">
        <v>4</v>
      </c>
      <c r="G10">
        <f t="shared" si="4"/>
        <v>7</v>
      </c>
      <c r="H10">
        <v>33</v>
      </c>
      <c r="I10">
        <v>29</v>
      </c>
      <c r="J10">
        <f t="shared" si="5"/>
        <v>4</v>
      </c>
      <c r="L10" s="5" t="s">
        <v>37</v>
      </c>
      <c r="M10" t="s">
        <v>210</v>
      </c>
      <c r="N10" s="3">
        <f t="shared" si="1"/>
        <v>27</v>
      </c>
      <c r="O10">
        <v>19</v>
      </c>
      <c r="P10">
        <v>8</v>
      </c>
      <c r="Q10">
        <v>3</v>
      </c>
      <c r="R10">
        <f t="shared" si="2"/>
        <v>8</v>
      </c>
      <c r="S10">
        <v>37</v>
      </c>
      <c r="T10">
        <v>32</v>
      </c>
      <c r="U10">
        <f t="shared" si="3"/>
        <v>5</v>
      </c>
      <c r="W10" s="8" t="s">
        <v>38</v>
      </c>
      <c r="X10" t="s">
        <v>224</v>
      </c>
      <c r="Z10" t="s">
        <v>56</v>
      </c>
    </row>
    <row r="11" spans="1:39" x14ac:dyDescent="0.3">
      <c r="A11" t="s">
        <v>38</v>
      </c>
      <c r="B11" t="s">
        <v>214</v>
      </c>
      <c r="C11" s="3">
        <f t="shared" si="0"/>
        <v>28</v>
      </c>
      <c r="D11">
        <v>19</v>
      </c>
      <c r="E11">
        <v>8</v>
      </c>
      <c r="F11">
        <v>4</v>
      </c>
      <c r="G11">
        <f t="shared" si="4"/>
        <v>7</v>
      </c>
      <c r="H11">
        <v>27</v>
      </c>
      <c r="I11">
        <v>31</v>
      </c>
      <c r="J11">
        <f t="shared" si="5"/>
        <v>-4</v>
      </c>
      <c r="L11" t="s">
        <v>38</v>
      </c>
      <c r="M11" t="s">
        <v>218</v>
      </c>
      <c r="N11" s="3">
        <f t="shared" si="1"/>
        <v>27</v>
      </c>
      <c r="O11">
        <v>19</v>
      </c>
      <c r="P11">
        <v>8</v>
      </c>
      <c r="Q11">
        <v>3</v>
      </c>
      <c r="R11">
        <f t="shared" si="2"/>
        <v>8</v>
      </c>
      <c r="S11">
        <v>33</v>
      </c>
      <c r="T11">
        <v>28</v>
      </c>
      <c r="U11">
        <f t="shared" si="3"/>
        <v>5</v>
      </c>
      <c r="W11" t="s">
        <v>41</v>
      </c>
      <c r="X11" t="s">
        <v>222</v>
      </c>
      <c r="Z11" t="s">
        <v>6</v>
      </c>
      <c r="AA11" t="s">
        <v>7</v>
      </c>
      <c r="AB11" t="s">
        <v>8</v>
      </c>
      <c r="AC11" t="s">
        <v>9</v>
      </c>
      <c r="AD11" t="s">
        <v>10</v>
      </c>
      <c r="AE11" t="s">
        <v>11</v>
      </c>
      <c r="AF11" t="s">
        <v>12</v>
      </c>
      <c r="AG11" t="s">
        <v>13</v>
      </c>
      <c r="AH11" t="s">
        <v>14</v>
      </c>
      <c r="AI11" t="s">
        <v>15</v>
      </c>
    </row>
    <row r="12" spans="1:39" x14ac:dyDescent="0.3">
      <c r="A12" t="s">
        <v>41</v>
      </c>
      <c r="B12" t="s">
        <v>220</v>
      </c>
      <c r="C12" s="3">
        <f t="shared" si="0"/>
        <v>27</v>
      </c>
      <c r="D12">
        <v>19</v>
      </c>
      <c r="E12">
        <v>7</v>
      </c>
      <c r="F12">
        <v>6</v>
      </c>
      <c r="G12">
        <f t="shared" si="4"/>
        <v>6</v>
      </c>
      <c r="H12">
        <v>37</v>
      </c>
      <c r="I12">
        <v>33</v>
      </c>
      <c r="J12">
        <f t="shared" si="5"/>
        <v>4</v>
      </c>
      <c r="L12" t="s">
        <v>41</v>
      </c>
      <c r="M12" t="s">
        <v>208</v>
      </c>
      <c r="N12" s="3">
        <f t="shared" si="1"/>
        <v>27</v>
      </c>
      <c r="O12">
        <v>19</v>
      </c>
      <c r="P12">
        <v>8</v>
      </c>
      <c r="Q12">
        <v>3</v>
      </c>
      <c r="R12">
        <f t="shared" si="2"/>
        <v>8</v>
      </c>
      <c r="S12">
        <v>28</v>
      </c>
      <c r="T12">
        <v>26</v>
      </c>
      <c r="U12">
        <f t="shared" si="3"/>
        <v>2</v>
      </c>
      <c r="W12" t="s">
        <v>43</v>
      </c>
      <c r="X12" t="s">
        <v>208</v>
      </c>
      <c r="Z12" s="2" t="s">
        <v>4</v>
      </c>
      <c r="AA12" t="s">
        <v>212</v>
      </c>
      <c r="AB12" s="3">
        <f>AD12*3+AE12</f>
        <v>12</v>
      </c>
      <c r="AC12">
        <v>4</v>
      </c>
      <c r="AD12">
        <v>4</v>
      </c>
      <c r="AE12">
        <v>0</v>
      </c>
      <c r="AF12">
        <f t="shared" ref="AF12:AF16" si="8">AC12-AD12-AE12</f>
        <v>0</v>
      </c>
      <c r="AG12">
        <v>9</v>
      </c>
      <c r="AH12">
        <v>3</v>
      </c>
      <c r="AI12">
        <f t="shared" ref="AI12:AI16" si="9">AG12-AH12</f>
        <v>6</v>
      </c>
    </row>
    <row r="13" spans="1:39" x14ac:dyDescent="0.3">
      <c r="A13" t="s">
        <v>43</v>
      </c>
      <c r="B13" t="s">
        <v>213</v>
      </c>
      <c r="C13" s="3">
        <f t="shared" si="0"/>
        <v>27</v>
      </c>
      <c r="D13">
        <v>19</v>
      </c>
      <c r="E13">
        <v>7</v>
      </c>
      <c r="F13">
        <v>6</v>
      </c>
      <c r="G13">
        <f t="shared" si="4"/>
        <v>6</v>
      </c>
      <c r="H13">
        <v>23</v>
      </c>
      <c r="I13">
        <v>24</v>
      </c>
      <c r="J13">
        <f t="shared" si="5"/>
        <v>-1</v>
      </c>
      <c r="L13" t="s">
        <v>43</v>
      </c>
      <c r="M13" t="s">
        <v>220</v>
      </c>
      <c r="N13" s="3">
        <f t="shared" si="1"/>
        <v>27</v>
      </c>
      <c r="O13">
        <v>19</v>
      </c>
      <c r="P13">
        <v>7</v>
      </c>
      <c r="Q13">
        <v>6</v>
      </c>
      <c r="R13">
        <f t="shared" si="2"/>
        <v>6</v>
      </c>
      <c r="S13">
        <v>25</v>
      </c>
      <c r="T13">
        <v>24</v>
      </c>
      <c r="U13">
        <f t="shared" si="3"/>
        <v>1</v>
      </c>
      <c r="W13" t="s">
        <v>44</v>
      </c>
      <c r="X13" t="s">
        <v>220</v>
      </c>
      <c r="Z13" s="5" t="s">
        <v>16</v>
      </c>
      <c r="AA13" t="s">
        <v>225</v>
      </c>
      <c r="AB13" s="3">
        <f>AD13*3+AE13</f>
        <v>6</v>
      </c>
      <c r="AC13">
        <v>4</v>
      </c>
      <c r="AD13">
        <v>2</v>
      </c>
      <c r="AE13">
        <v>0</v>
      </c>
      <c r="AF13">
        <f t="shared" si="8"/>
        <v>2</v>
      </c>
      <c r="AG13">
        <v>6</v>
      </c>
      <c r="AH13">
        <v>7</v>
      </c>
      <c r="AI13">
        <f t="shared" si="9"/>
        <v>-1</v>
      </c>
    </row>
    <row r="14" spans="1:39" x14ac:dyDescent="0.3">
      <c r="A14" t="s">
        <v>44</v>
      </c>
      <c r="B14" t="s">
        <v>215</v>
      </c>
      <c r="C14" s="3">
        <f t="shared" si="0"/>
        <v>26</v>
      </c>
      <c r="D14">
        <v>19</v>
      </c>
      <c r="E14">
        <v>7</v>
      </c>
      <c r="F14">
        <v>5</v>
      </c>
      <c r="G14">
        <f t="shared" si="4"/>
        <v>7</v>
      </c>
      <c r="H14">
        <v>28</v>
      </c>
      <c r="I14">
        <v>29</v>
      </c>
      <c r="J14">
        <f t="shared" si="5"/>
        <v>-1</v>
      </c>
      <c r="L14" t="s">
        <v>44</v>
      </c>
      <c r="M14" t="s">
        <v>225</v>
      </c>
      <c r="N14" s="3">
        <f t="shared" si="1"/>
        <v>26</v>
      </c>
      <c r="O14">
        <v>19</v>
      </c>
      <c r="P14">
        <v>8</v>
      </c>
      <c r="Q14">
        <v>2</v>
      </c>
      <c r="R14">
        <f t="shared" si="2"/>
        <v>9</v>
      </c>
      <c r="S14">
        <v>26</v>
      </c>
      <c r="T14">
        <v>29</v>
      </c>
      <c r="U14">
        <f t="shared" si="3"/>
        <v>-3</v>
      </c>
      <c r="W14" s="1" t="s">
        <v>47</v>
      </c>
      <c r="X14" t="s">
        <v>219</v>
      </c>
      <c r="Z14" t="s">
        <v>21</v>
      </c>
      <c r="AA14" t="s">
        <v>219</v>
      </c>
      <c r="AB14" s="3">
        <f>AD14*3+AE14</f>
        <v>4</v>
      </c>
      <c r="AC14">
        <v>4</v>
      </c>
      <c r="AD14">
        <v>1</v>
      </c>
      <c r="AE14">
        <v>1</v>
      </c>
      <c r="AF14">
        <f t="shared" si="8"/>
        <v>2</v>
      </c>
      <c r="AG14">
        <v>7</v>
      </c>
      <c r="AH14">
        <v>8</v>
      </c>
      <c r="AI14">
        <f t="shared" si="9"/>
        <v>-1</v>
      </c>
    </row>
    <row r="15" spans="1:39" x14ac:dyDescent="0.3">
      <c r="A15" t="s">
        <v>47</v>
      </c>
      <c r="B15" t="s">
        <v>226</v>
      </c>
      <c r="C15" s="3">
        <f t="shared" si="0"/>
        <v>25</v>
      </c>
      <c r="D15">
        <v>19</v>
      </c>
      <c r="E15">
        <v>7</v>
      </c>
      <c r="F15">
        <v>4</v>
      </c>
      <c r="G15">
        <f t="shared" si="4"/>
        <v>8</v>
      </c>
      <c r="H15">
        <v>25</v>
      </c>
      <c r="I15">
        <v>23</v>
      </c>
      <c r="J15">
        <f t="shared" si="5"/>
        <v>2</v>
      </c>
      <c r="L15" t="s">
        <v>47</v>
      </c>
      <c r="M15" t="s">
        <v>216</v>
      </c>
      <c r="N15" s="3">
        <f t="shared" si="1"/>
        <v>25</v>
      </c>
      <c r="O15">
        <v>19</v>
      </c>
      <c r="P15">
        <v>7</v>
      </c>
      <c r="Q15">
        <v>4</v>
      </c>
      <c r="R15">
        <f t="shared" si="2"/>
        <v>8</v>
      </c>
      <c r="S15">
        <v>30</v>
      </c>
      <c r="T15">
        <v>31</v>
      </c>
      <c r="U15">
        <f t="shared" si="3"/>
        <v>-1</v>
      </c>
      <c r="W15" t="s">
        <v>49</v>
      </c>
      <c r="X15" t="s">
        <v>214</v>
      </c>
      <c r="Z15" t="s">
        <v>24</v>
      </c>
      <c r="AA15" t="s">
        <v>223</v>
      </c>
      <c r="AB15" s="3">
        <f>AD15*3+AE15</f>
        <v>4</v>
      </c>
      <c r="AC15">
        <v>4</v>
      </c>
      <c r="AD15">
        <v>1</v>
      </c>
      <c r="AE15">
        <v>1</v>
      </c>
      <c r="AF15">
        <f t="shared" si="8"/>
        <v>2</v>
      </c>
      <c r="AG15">
        <v>4</v>
      </c>
      <c r="AH15">
        <v>5</v>
      </c>
      <c r="AI15">
        <f t="shared" si="9"/>
        <v>-1</v>
      </c>
    </row>
    <row r="16" spans="1:39" x14ac:dyDescent="0.3">
      <c r="A16" t="s">
        <v>49</v>
      </c>
      <c r="B16" t="s">
        <v>217</v>
      </c>
      <c r="C16" s="3">
        <f t="shared" si="0"/>
        <v>25</v>
      </c>
      <c r="D16">
        <v>19</v>
      </c>
      <c r="E16">
        <v>6</v>
      </c>
      <c r="F16">
        <v>7</v>
      </c>
      <c r="G16">
        <f t="shared" si="4"/>
        <v>6</v>
      </c>
      <c r="H16">
        <v>32</v>
      </c>
      <c r="I16">
        <v>31</v>
      </c>
      <c r="J16">
        <f t="shared" si="5"/>
        <v>1</v>
      </c>
      <c r="L16" t="s">
        <v>49</v>
      </c>
      <c r="M16" t="s">
        <v>217</v>
      </c>
      <c r="N16" s="3">
        <f t="shared" si="1"/>
        <v>25</v>
      </c>
      <c r="O16">
        <v>19</v>
      </c>
      <c r="P16">
        <v>7</v>
      </c>
      <c r="Q16">
        <v>4</v>
      </c>
      <c r="R16">
        <f t="shared" si="2"/>
        <v>8</v>
      </c>
      <c r="S16">
        <v>32</v>
      </c>
      <c r="T16">
        <v>37</v>
      </c>
      <c r="U16">
        <f t="shared" si="3"/>
        <v>-5</v>
      </c>
      <c r="W16" t="s">
        <v>51</v>
      </c>
      <c r="X16" t="s">
        <v>217</v>
      </c>
      <c r="Z16" t="s">
        <v>27</v>
      </c>
      <c r="AA16" t="s">
        <v>217</v>
      </c>
      <c r="AB16" s="3">
        <f>AD16*3+AE16</f>
        <v>3</v>
      </c>
      <c r="AC16">
        <v>4</v>
      </c>
      <c r="AD16">
        <v>1</v>
      </c>
      <c r="AE16">
        <v>0</v>
      </c>
      <c r="AF16">
        <f t="shared" si="8"/>
        <v>3</v>
      </c>
      <c r="AG16">
        <v>5</v>
      </c>
      <c r="AH16">
        <v>8</v>
      </c>
      <c r="AI16">
        <f t="shared" si="9"/>
        <v>-3</v>
      </c>
    </row>
    <row r="17" spans="1:35" x14ac:dyDescent="0.3">
      <c r="A17" t="s">
        <v>51</v>
      </c>
      <c r="B17" t="s">
        <v>222</v>
      </c>
      <c r="C17" s="3">
        <f t="shared" si="0"/>
        <v>23</v>
      </c>
      <c r="D17">
        <v>19</v>
      </c>
      <c r="E17">
        <v>6</v>
      </c>
      <c r="F17">
        <v>5</v>
      </c>
      <c r="G17">
        <f t="shared" si="4"/>
        <v>8</v>
      </c>
      <c r="H17">
        <v>32</v>
      </c>
      <c r="I17">
        <v>32</v>
      </c>
      <c r="J17">
        <f t="shared" si="5"/>
        <v>0</v>
      </c>
      <c r="L17" t="s">
        <v>51</v>
      </c>
      <c r="M17" t="s">
        <v>212</v>
      </c>
      <c r="N17" s="3">
        <f t="shared" si="1"/>
        <v>25</v>
      </c>
      <c r="O17">
        <v>19</v>
      </c>
      <c r="P17">
        <v>7</v>
      </c>
      <c r="Q17">
        <v>4</v>
      </c>
      <c r="R17">
        <f t="shared" si="2"/>
        <v>8</v>
      </c>
      <c r="S17">
        <v>24</v>
      </c>
      <c r="T17">
        <v>29</v>
      </c>
      <c r="U17">
        <f t="shared" si="3"/>
        <v>-5</v>
      </c>
      <c r="W17" t="s">
        <v>53</v>
      </c>
      <c r="X17" t="s">
        <v>213</v>
      </c>
    </row>
    <row r="18" spans="1:35" x14ac:dyDescent="0.3">
      <c r="A18" t="s">
        <v>53</v>
      </c>
      <c r="B18" t="s">
        <v>223</v>
      </c>
      <c r="C18" s="3">
        <f t="shared" si="0"/>
        <v>23</v>
      </c>
      <c r="D18">
        <v>19</v>
      </c>
      <c r="E18">
        <v>7</v>
      </c>
      <c r="F18">
        <v>2</v>
      </c>
      <c r="G18">
        <f t="shared" si="4"/>
        <v>10</v>
      </c>
      <c r="H18">
        <v>26</v>
      </c>
      <c r="I18">
        <v>29</v>
      </c>
      <c r="J18">
        <f t="shared" si="5"/>
        <v>-3</v>
      </c>
      <c r="L18" t="s">
        <v>53</v>
      </c>
      <c r="M18" t="s">
        <v>214</v>
      </c>
      <c r="N18" s="3">
        <f t="shared" si="1"/>
        <v>24</v>
      </c>
      <c r="O18">
        <v>19</v>
      </c>
      <c r="P18">
        <v>7</v>
      </c>
      <c r="Q18">
        <v>3</v>
      </c>
      <c r="R18">
        <f t="shared" si="2"/>
        <v>9</v>
      </c>
      <c r="S18">
        <v>26</v>
      </c>
      <c r="T18">
        <v>24</v>
      </c>
      <c r="U18">
        <f t="shared" si="3"/>
        <v>2</v>
      </c>
      <c r="W18" t="s">
        <v>54</v>
      </c>
      <c r="X18" t="s">
        <v>215</v>
      </c>
      <c r="Z18" t="s">
        <v>187</v>
      </c>
    </row>
    <row r="19" spans="1:35" x14ac:dyDescent="0.3">
      <c r="A19" t="s">
        <v>54</v>
      </c>
      <c r="B19" t="s">
        <v>212</v>
      </c>
      <c r="C19" s="3">
        <f t="shared" si="0"/>
        <v>19</v>
      </c>
      <c r="D19">
        <v>19</v>
      </c>
      <c r="E19">
        <v>4</v>
      </c>
      <c r="F19">
        <v>7</v>
      </c>
      <c r="G19">
        <f t="shared" si="4"/>
        <v>8</v>
      </c>
      <c r="H19">
        <v>25</v>
      </c>
      <c r="I19">
        <v>34</v>
      </c>
      <c r="J19">
        <f t="shared" si="5"/>
        <v>-9</v>
      </c>
      <c r="L19" t="s">
        <v>54</v>
      </c>
      <c r="M19" t="s">
        <v>213</v>
      </c>
      <c r="N19" s="3">
        <f t="shared" si="1"/>
        <v>23</v>
      </c>
      <c r="O19">
        <v>19</v>
      </c>
      <c r="P19">
        <v>6</v>
      </c>
      <c r="Q19">
        <v>5</v>
      </c>
      <c r="R19">
        <f t="shared" si="2"/>
        <v>8</v>
      </c>
      <c r="S19">
        <v>27</v>
      </c>
      <c r="T19">
        <v>30</v>
      </c>
      <c r="U19">
        <f t="shared" si="3"/>
        <v>-3</v>
      </c>
      <c r="W19" t="s">
        <v>55</v>
      </c>
      <c r="X19" t="s">
        <v>223</v>
      </c>
      <c r="Z19" t="s">
        <v>6</v>
      </c>
      <c r="AA19" t="s">
        <v>7</v>
      </c>
      <c r="AB19" t="s">
        <v>8</v>
      </c>
      <c r="AC19" t="s">
        <v>9</v>
      </c>
      <c r="AD19" t="s">
        <v>10</v>
      </c>
      <c r="AE19" t="s">
        <v>11</v>
      </c>
      <c r="AF19" t="s">
        <v>12</v>
      </c>
      <c r="AG19" t="s">
        <v>13</v>
      </c>
      <c r="AH19" t="s">
        <v>14</v>
      </c>
      <c r="AI19" t="s">
        <v>15</v>
      </c>
    </row>
    <row r="20" spans="1:35" x14ac:dyDescent="0.3">
      <c r="A20" t="s">
        <v>55</v>
      </c>
      <c r="B20" t="s">
        <v>225</v>
      </c>
      <c r="C20" s="3">
        <f t="shared" si="0"/>
        <v>19</v>
      </c>
      <c r="D20">
        <v>19</v>
      </c>
      <c r="E20">
        <v>5</v>
      </c>
      <c r="F20">
        <v>4</v>
      </c>
      <c r="G20">
        <f t="shared" si="4"/>
        <v>10</v>
      </c>
      <c r="H20">
        <v>22</v>
      </c>
      <c r="I20">
        <v>37</v>
      </c>
      <c r="J20">
        <f t="shared" si="5"/>
        <v>-15</v>
      </c>
      <c r="L20" t="s">
        <v>55</v>
      </c>
      <c r="M20" t="s">
        <v>223</v>
      </c>
      <c r="N20" s="3">
        <f t="shared" si="1"/>
        <v>23</v>
      </c>
      <c r="O20">
        <v>19</v>
      </c>
      <c r="P20">
        <v>7</v>
      </c>
      <c r="Q20">
        <v>2</v>
      </c>
      <c r="R20">
        <f t="shared" si="2"/>
        <v>10</v>
      </c>
      <c r="S20">
        <v>23</v>
      </c>
      <c r="T20">
        <v>33</v>
      </c>
      <c r="U20">
        <f t="shared" si="3"/>
        <v>-10</v>
      </c>
      <c r="W20" t="s">
        <v>57</v>
      </c>
      <c r="X20" t="s">
        <v>225</v>
      </c>
      <c r="Z20" s="2" t="s">
        <v>4</v>
      </c>
      <c r="AA20" t="s">
        <v>208</v>
      </c>
      <c r="AB20" s="3">
        <f>AD20*3+AE20</f>
        <v>12</v>
      </c>
      <c r="AC20">
        <v>4</v>
      </c>
      <c r="AD20">
        <v>4</v>
      </c>
      <c r="AE20">
        <v>0</v>
      </c>
      <c r="AF20">
        <f t="shared" ref="AF20:AF24" si="10">AC20-AD20-AE20</f>
        <v>0</v>
      </c>
      <c r="AG20">
        <v>8</v>
      </c>
      <c r="AH20">
        <v>2</v>
      </c>
      <c r="AI20">
        <f t="shared" ref="AI20:AI24" si="11">AG20-AH20</f>
        <v>6</v>
      </c>
    </row>
    <row r="21" spans="1:35" x14ac:dyDescent="0.3">
      <c r="A21" t="s">
        <v>57</v>
      </c>
      <c r="B21" t="s">
        <v>209</v>
      </c>
      <c r="C21" s="3">
        <f t="shared" si="0"/>
        <v>17</v>
      </c>
      <c r="D21">
        <v>19</v>
      </c>
      <c r="E21">
        <v>4</v>
      </c>
      <c r="F21">
        <v>5</v>
      </c>
      <c r="G21">
        <f t="shared" si="4"/>
        <v>10</v>
      </c>
      <c r="H21">
        <v>28</v>
      </c>
      <c r="I21">
        <v>37</v>
      </c>
      <c r="J21">
        <f t="shared" si="5"/>
        <v>-9</v>
      </c>
      <c r="L21" t="s">
        <v>57</v>
      </c>
      <c r="M21" t="s">
        <v>215</v>
      </c>
      <c r="N21" s="3">
        <f t="shared" si="1"/>
        <v>21</v>
      </c>
      <c r="O21">
        <v>19</v>
      </c>
      <c r="P21">
        <v>5</v>
      </c>
      <c r="Q21">
        <v>6</v>
      </c>
      <c r="R21">
        <f t="shared" si="2"/>
        <v>8</v>
      </c>
      <c r="S21">
        <v>23</v>
      </c>
      <c r="T21">
        <v>27</v>
      </c>
      <c r="U21">
        <f t="shared" si="3"/>
        <v>-4</v>
      </c>
      <c r="W21" s="6" t="s">
        <v>58</v>
      </c>
      <c r="X21" t="s">
        <v>212</v>
      </c>
      <c r="Z21" s="5" t="s">
        <v>16</v>
      </c>
      <c r="AA21" t="s">
        <v>226</v>
      </c>
      <c r="AB21" s="3">
        <f>AD21*3+AE21</f>
        <v>6</v>
      </c>
      <c r="AC21">
        <v>4</v>
      </c>
      <c r="AD21">
        <v>2</v>
      </c>
      <c r="AE21">
        <v>0</v>
      </c>
      <c r="AF21">
        <f t="shared" si="10"/>
        <v>2</v>
      </c>
      <c r="AG21">
        <v>6</v>
      </c>
      <c r="AH21">
        <v>6</v>
      </c>
      <c r="AI21">
        <f t="shared" si="11"/>
        <v>0</v>
      </c>
    </row>
    <row r="22" spans="1:35" x14ac:dyDescent="0.3">
      <c r="A22" t="s">
        <v>58</v>
      </c>
      <c r="B22" t="s">
        <v>224</v>
      </c>
      <c r="C22" s="3">
        <f t="shared" si="0"/>
        <v>16</v>
      </c>
      <c r="D22">
        <v>19</v>
      </c>
      <c r="E22">
        <v>4</v>
      </c>
      <c r="F22">
        <v>4</v>
      </c>
      <c r="G22">
        <f t="shared" si="4"/>
        <v>11</v>
      </c>
      <c r="H22">
        <v>27</v>
      </c>
      <c r="I22">
        <v>41</v>
      </c>
      <c r="J22">
        <f t="shared" si="5"/>
        <v>-14</v>
      </c>
      <c r="L22" t="s">
        <v>58</v>
      </c>
      <c r="M22" t="s">
        <v>219</v>
      </c>
      <c r="N22" s="3">
        <f t="shared" si="1"/>
        <v>15</v>
      </c>
      <c r="O22">
        <v>19</v>
      </c>
      <c r="P22">
        <v>4</v>
      </c>
      <c r="Q22">
        <v>3</v>
      </c>
      <c r="R22">
        <f t="shared" si="2"/>
        <v>12</v>
      </c>
      <c r="S22">
        <v>21</v>
      </c>
      <c r="T22">
        <v>32</v>
      </c>
      <c r="U22">
        <f t="shared" si="3"/>
        <v>-11</v>
      </c>
      <c r="Z22" t="s">
        <v>21</v>
      </c>
      <c r="AA22" t="s">
        <v>209</v>
      </c>
      <c r="AB22" s="3">
        <f>AD22*3+AE22</f>
        <v>6</v>
      </c>
      <c r="AC22">
        <v>4</v>
      </c>
      <c r="AD22">
        <v>2</v>
      </c>
      <c r="AE22">
        <v>0</v>
      </c>
      <c r="AF22">
        <f t="shared" si="10"/>
        <v>2</v>
      </c>
      <c r="AG22">
        <v>6</v>
      </c>
      <c r="AH22">
        <v>8</v>
      </c>
      <c r="AI22">
        <f t="shared" si="11"/>
        <v>-2</v>
      </c>
    </row>
    <row r="23" spans="1:35" x14ac:dyDescent="0.3">
      <c r="Z23" t="s">
        <v>24</v>
      </c>
      <c r="AA23" t="s">
        <v>222</v>
      </c>
      <c r="AB23" s="3">
        <f>AD23*3+AE23</f>
        <v>3</v>
      </c>
      <c r="AC23">
        <v>4</v>
      </c>
      <c r="AD23">
        <v>1</v>
      </c>
      <c r="AE23">
        <v>0</v>
      </c>
      <c r="AF23">
        <f t="shared" si="10"/>
        <v>3</v>
      </c>
      <c r="AG23">
        <v>5</v>
      </c>
      <c r="AH23">
        <v>7</v>
      </c>
      <c r="AI23">
        <f t="shared" si="11"/>
        <v>-2</v>
      </c>
    </row>
    <row r="24" spans="1:35" x14ac:dyDescent="0.3">
      <c r="A24" t="s">
        <v>91</v>
      </c>
      <c r="L24" t="s">
        <v>3</v>
      </c>
      <c r="Z24" t="s">
        <v>27</v>
      </c>
      <c r="AA24" t="s">
        <v>215</v>
      </c>
      <c r="AB24" s="3">
        <f>AD24*3+AE24</f>
        <v>3</v>
      </c>
      <c r="AC24">
        <v>4</v>
      </c>
      <c r="AD24">
        <v>1</v>
      </c>
      <c r="AE24">
        <v>0</v>
      </c>
      <c r="AF24">
        <f t="shared" si="10"/>
        <v>3</v>
      </c>
      <c r="AG24">
        <v>5</v>
      </c>
      <c r="AH24">
        <v>7</v>
      </c>
      <c r="AI24">
        <f t="shared" si="11"/>
        <v>-2</v>
      </c>
    </row>
    <row r="25" spans="1:35" x14ac:dyDescent="0.3">
      <c r="A25" t="s">
        <v>219</v>
      </c>
      <c r="B25" t="s">
        <v>81</v>
      </c>
      <c r="C25" t="str">
        <f>B3</f>
        <v>Águilas Doradas</v>
      </c>
      <c r="E25" t="str">
        <f>B3</f>
        <v>Águilas Doradas</v>
      </c>
      <c r="F25" t="s">
        <v>146</v>
      </c>
      <c r="G25" t="s">
        <v>219</v>
      </c>
      <c r="L25" t="s">
        <v>6</v>
      </c>
      <c r="M25" t="s">
        <v>7</v>
      </c>
      <c r="N25" t="s">
        <v>8</v>
      </c>
      <c r="O25" t="s">
        <v>9</v>
      </c>
      <c r="P25" t="s">
        <v>10</v>
      </c>
      <c r="Q25" t="s">
        <v>11</v>
      </c>
      <c r="R25" t="s">
        <v>12</v>
      </c>
      <c r="S25" t="s">
        <v>13</v>
      </c>
      <c r="T25" t="s">
        <v>14</v>
      </c>
      <c r="U25" t="s">
        <v>15</v>
      </c>
    </row>
    <row r="26" spans="1:35" x14ac:dyDescent="0.3">
      <c r="A26" t="s">
        <v>221</v>
      </c>
      <c r="B26" t="s">
        <v>92</v>
      </c>
      <c r="C26" t="s">
        <v>227</v>
      </c>
      <c r="E26" t="s">
        <v>227</v>
      </c>
      <c r="F26" t="s">
        <v>83</v>
      </c>
      <c r="G26" t="s">
        <v>221</v>
      </c>
      <c r="L26" s="2" t="s">
        <v>4</v>
      </c>
      <c r="M26" t="s">
        <v>209</v>
      </c>
      <c r="N26" s="3">
        <f>P26*3+Q26</f>
        <v>11</v>
      </c>
      <c r="O26">
        <v>6</v>
      </c>
      <c r="P26">
        <v>3</v>
      </c>
      <c r="Q26">
        <v>2</v>
      </c>
      <c r="R26">
        <f>O26-P26-Q26</f>
        <v>1</v>
      </c>
      <c r="S26">
        <v>8</v>
      </c>
      <c r="T26">
        <v>5</v>
      </c>
      <c r="U26">
        <f>S26-T26</f>
        <v>3</v>
      </c>
      <c r="Z26" t="s">
        <v>188</v>
      </c>
    </row>
    <row r="27" spans="1:35" x14ac:dyDescent="0.3">
      <c r="A27" t="s">
        <v>216</v>
      </c>
      <c r="B27" t="s">
        <v>81</v>
      </c>
      <c r="C27" t="s">
        <v>210</v>
      </c>
      <c r="E27" t="s">
        <v>210</v>
      </c>
      <c r="F27" t="s">
        <v>147</v>
      </c>
      <c r="G27" t="s">
        <v>216</v>
      </c>
      <c r="L27" t="s">
        <v>16</v>
      </c>
      <c r="M27" t="s">
        <v>211</v>
      </c>
      <c r="N27" s="3">
        <f>P27*3+Q27</f>
        <v>10</v>
      </c>
      <c r="O27">
        <v>6</v>
      </c>
      <c r="P27">
        <v>2</v>
      </c>
      <c r="Q27">
        <v>4</v>
      </c>
      <c r="R27">
        <f t="shared" ref="R27:R29" si="12">O27-P27-Q27</f>
        <v>0</v>
      </c>
      <c r="S27">
        <v>9</v>
      </c>
      <c r="T27">
        <v>7</v>
      </c>
      <c r="U27">
        <f t="shared" ref="U27:U29" si="13">S27-T27</f>
        <v>2</v>
      </c>
      <c r="Z27" t="s">
        <v>6</v>
      </c>
      <c r="AA27" t="s">
        <v>7</v>
      </c>
      <c r="AB27" t="s">
        <v>8</v>
      </c>
      <c r="AC27" t="s">
        <v>9</v>
      </c>
      <c r="AD27" t="s">
        <v>10</v>
      </c>
      <c r="AE27" t="s">
        <v>11</v>
      </c>
      <c r="AF27" t="s">
        <v>12</v>
      </c>
      <c r="AG27" t="s">
        <v>13</v>
      </c>
      <c r="AH27" t="s">
        <v>14</v>
      </c>
      <c r="AI27" t="s">
        <v>15</v>
      </c>
    </row>
    <row r="28" spans="1:35" x14ac:dyDescent="0.3">
      <c r="A28" t="s">
        <v>208</v>
      </c>
      <c r="B28" t="s">
        <v>147</v>
      </c>
      <c r="C28" t="str">
        <f>B4</f>
        <v>Atlético Nacional</v>
      </c>
      <c r="E28" t="str">
        <f>B4</f>
        <v>Atlético Nacional</v>
      </c>
      <c r="F28" t="s">
        <v>97</v>
      </c>
      <c r="G28" t="s">
        <v>208</v>
      </c>
      <c r="L28" t="s">
        <v>21</v>
      </c>
      <c r="M28" t="s">
        <v>224</v>
      </c>
      <c r="N28" s="3">
        <f>P28*3+Q28</f>
        <v>7</v>
      </c>
      <c r="O28">
        <v>6</v>
      </c>
      <c r="P28">
        <v>2</v>
      </c>
      <c r="Q28">
        <v>1</v>
      </c>
      <c r="R28">
        <f t="shared" si="12"/>
        <v>3</v>
      </c>
      <c r="S28">
        <v>7</v>
      </c>
      <c r="T28">
        <v>8</v>
      </c>
      <c r="U28">
        <f t="shared" si="13"/>
        <v>-1</v>
      </c>
      <c r="Z28" s="2" t="s">
        <v>4</v>
      </c>
      <c r="AA28" t="s">
        <v>227</v>
      </c>
      <c r="AB28" s="3">
        <f>AD28*3+AE28</f>
        <v>7</v>
      </c>
      <c r="AC28">
        <v>4</v>
      </c>
      <c r="AD28">
        <v>2</v>
      </c>
      <c r="AE28">
        <v>1</v>
      </c>
      <c r="AF28">
        <f t="shared" ref="AF28:AF32" si="14">AC28-AD28-AE28</f>
        <v>1</v>
      </c>
      <c r="AG28">
        <v>4</v>
      </c>
      <c r="AH28">
        <v>1</v>
      </c>
      <c r="AI28">
        <f t="shared" ref="AI28:AI32" si="15">AG28-AH28</f>
        <v>3</v>
      </c>
    </row>
    <row r="29" spans="1:35" x14ac:dyDescent="0.3">
      <c r="L29" t="s">
        <v>24</v>
      </c>
      <c r="M29" t="s">
        <v>221</v>
      </c>
      <c r="N29" s="3">
        <f>P29*3+Q29</f>
        <v>4</v>
      </c>
      <c r="O29">
        <v>6</v>
      </c>
      <c r="P29">
        <v>1</v>
      </c>
      <c r="Q29">
        <v>1</v>
      </c>
      <c r="R29">
        <f t="shared" si="12"/>
        <v>4</v>
      </c>
      <c r="S29">
        <v>5</v>
      </c>
      <c r="T29">
        <v>9</v>
      </c>
      <c r="U29">
        <f t="shared" si="13"/>
        <v>-4</v>
      </c>
      <c r="Z29" s="5" t="s">
        <v>16</v>
      </c>
      <c r="AA29" t="s">
        <v>221</v>
      </c>
      <c r="AB29" s="3">
        <f>AD29*3+AE29</f>
        <v>7</v>
      </c>
      <c r="AC29">
        <v>4</v>
      </c>
      <c r="AD29">
        <v>2</v>
      </c>
      <c r="AE29">
        <v>1</v>
      </c>
      <c r="AF29">
        <f t="shared" si="14"/>
        <v>1</v>
      </c>
      <c r="AG29">
        <v>5</v>
      </c>
      <c r="AH29">
        <v>3</v>
      </c>
      <c r="AI29">
        <f t="shared" si="15"/>
        <v>2</v>
      </c>
    </row>
    <row r="30" spans="1:35" x14ac:dyDescent="0.3">
      <c r="A30" t="s">
        <v>94</v>
      </c>
      <c r="Z30" t="s">
        <v>21</v>
      </c>
      <c r="AA30" t="s">
        <v>213</v>
      </c>
      <c r="AB30" s="3">
        <f>AD30*3+AE30</f>
        <v>7</v>
      </c>
      <c r="AC30">
        <v>4</v>
      </c>
      <c r="AD30">
        <v>2</v>
      </c>
      <c r="AE30">
        <v>1</v>
      </c>
      <c r="AF30">
        <f t="shared" si="14"/>
        <v>1</v>
      </c>
      <c r="AG30">
        <v>3</v>
      </c>
      <c r="AH30">
        <v>2</v>
      </c>
      <c r="AI30">
        <f t="shared" si="15"/>
        <v>1</v>
      </c>
    </row>
    <row r="31" spans="1:35" x14ac:dyDescent="0.3">
      <c r="A31" t="s">
        <v>221</v>
      </c>
      <c r="B31" t="s">
        <v>146</v>
      </c>
      <c r="C31" t="s">
        <v>219</v>
      </c>
      <c r="E31" t="s">
        <v>219</v>
      </c>
      <c r="F31" t="s">
        <v>83</v>
      </c>
      <c r="G31" t="s">
        <v>221</v>
      </c>
      <c r="L31" t="s">
        <v>56</v>
      </c>
      <c r="Z31" t="s">
        <v>24</v>
      </c>
      <c r="AA31" t="s">
        <v>210</v>
      </c>
      <c r="AB31" s="3">
        <f>AD31*3+AE31</f>
        <v>5</v>
      </c>
      <c r="AC31">
        <v>4</v>
      </c>
      <c r="AD31">
        <v>1</v>
      </c>
      <c r="AE31">
        <v>2</v>
      </c>
      <c r="AF31">
        <f t="shared" si="14"/>
        <v>1</v>
      </c>
      <c r="AG31">
        <v>2</v>
      </c>
      <c r="AH31">
        <v>3</v>
      </c>
      <c r="AI31">
        <f t="shared" si="15"/>
        <v>-1</v>
      </c>
    </row>
    <row r="32" spans="1:35" x14ac:dyDescent="0.3">
      <c r="A32" t="s">
        <v>216</v>
      </c>
      <c r="B32" t="s">
        <v>81</v>
      </c>
      <c r="C32" t="s">
        <v>211</v>
      </c>
      <c r="E32" t="s">
        <v>211</v>
      </c>
      <c r="F32" t="s">
        <v>87</v>
      </c>
      <c r="G32" t="s">
        <v>216</v>
      </c>
      <c r="L32" t="s">
        <v>6</v>
      </c>
      <c r="M32" t="s">
        <v>7</v>
      </c>
      <c r="N32" t="s">
        <v>8</v>
      </c>
      <c r="O32" t="s">
        <v>9</v>
      </c>
      <c r="P32" t="s">
        <v>10</v>
      </c>
      <c r="Q32" t="s">
        <v>11</v>
      </c>
      <c r="R32" t="s">
        <v>12</v>
      </c>
      <c r="S32" t="s">
        <v>13</v>
      </c>
      <c r="T32" t="s">
        <v>14</v>
      </c>
      <c r="U32" t="s">
        <v>15</v>
      </c>
      <c r="Z32" t="s">
        <v>27</v>
      </c>
      <c r="AA32" t="s">
        <v>211</v>
      </c>
      <c r="AB32" s="3">
        <f>AD32*3+AE32</f>
        <v>1</v>
      </c>
      <c r="AC32">
        <v>4</v>
      </c>
      <c r="AD32">
        <v>0</v>
      </c>
      <c r="AE32">
        <v>1</v>
      </c>
      <c r="AF32">
        <f t="shared" si="14"/>
        <v>3</v>
      </c>
      <c r="AG32">
        <v>2</v>
      </c>
      <c r="AH32">
        <v>7</v>
      </c>
      <c r="AI32">
        <f t="shared" si="15"/>
        <v>-5</v>
      </c>
    </row>
    <row r="33" spans="1:32" x14ac:dyDescent="0.3">
      <c r="L33" s="2" t="s">
        <v>4</v>
      </c>
      <c r="M33" t="s">
        <v>227</v>
      </c>
      <c r="N33" s="3">
        <f>P33*3+Q33</f>
        <v>9</v>
      </c>
      <c r="O33">
        <v>6</v>
      </c>
      <c r="P33">
        <v>2</v>
      </c>
      <c r="Q33">
        <v>3</v>
      </c>
      <c r="R33">
        <f>O33-P33-Q33</f>
        <v>1</v>
      </c>
      <c r="S33">
        <v>9</v>
      </c>
      <c r="T33">
        <v>8</v>
      </c>
      <c r="U33">
        <f>S33-T33</f>
        <v>1</v>
      </c>
    </row>
    <row r="34" spans="1:32" x14ac:dyDescent="0.3">
      <c r="A34" t="s">
        <v>96</v>
      </c>
      <c r="L34" t="s">
        <v>16</v>
      </c>
      <c r="M34" t="s">
        <v>210</v>
      </c>
      <c r="N34" s="3">
        <f>P34*3+Q34</f>
        <v>8</v>
      </c>
      <c r="O34">
        <v>6</v>
      </c>
      <c r="P34">
        <v>2</v>
      </c>
      <c r="Q34">
        <v>2</v>
      </c>
      <c r="R34">
        <f t="shared" ref="R34:R36" si="16">O34-P34-Q34</f>
        <v>2</v>
      </c>
      <c r="S34">
        <v>10</v>
      </c>
      <c r="T34">
        <v>7</v>
      </c>
      <c r="U34">
        <f t="shared" ref="U34:U36" si="17">S34-T34</f>
        <v>3</v>
      </c>
      <c r="Z34" t="s">
        <v>91</v>
      </c>
    </row>
    <row r="35" spans="1:32" x14ac:dyDescent="0.3">
      <c r="A35" t="s">
        <v>219</v>
      </c>
      <c r="B35" t="s">
        <v>147</v>
      </c>
      <c r="C35" t="s">
        <v>216</v>
      </c>
      <c r="E35" t="s">
        <v>216</v>
      </c>
      <c r="F35" t="s">
        <v>107</v>
      </c>
      <c r="G35" t="s">
        <v>219</v>
      </c>
      <c r="L35" t="s">
        <v>21</v>
      </c>
      <c r="M35" t="s">
        <v>222</v>
      </c>
      <c r="N35" s="3">
        <f>P35*3+Q35</f>
        <v>7</v>
      </c>
      <c r="O35">
        <v>6</v>
      </c>
      <c r="P35">
        <v>1</v>
      </c>
      <c r="Q35">
        <v>4</v>
      </c>
      <c r="R35">
        <f t="shared" si="16"/>
        <v>1</v>
      </c>
      <c r="S35">
        <v>8</v>
      </c>
      <c r="T35">
        <v>8</v>
      </c>
      <c r="U35">
        <f t="shared" si="17"/>
        <v>0</v>
      </c>
      <c r="Z35" t="str">
        <f>AA13</f>
        <v>Santa Fe</v>
      </c>
      <c r="AA35" t="s">
        <v>165</v>
      </c>
      <c r="AB35" t="str">
        <f>AA4</f>
        <v>Águilas Doradas</v>
      </c>
      <c r="AD35" t="str">
        <f>AA4</f>
        <v>Águilas Doradas</v>
      </c>
      <c r="AE35" t="s">
        <v>228</v>
      </c>
      <c r="AF35" t="str">
        <f>AA13</f>
        <v>Santa Fe</v>
      </c>
    </row>
    <row r="36" spans="1:32" x14ac:dyDescent="0.3">
      <c r="L36" t="s">
        <v>24</v>
      </c>
      <c r="M36" t="s">
        <v>226</v>
      </c>
      <c r="N36" s="3">
        <f>P36*3+Q36</f>
        <v>7</v>
      </c>
      <c r="O36">
        <v>6</v>
      </c>
      <c r="P36">
        <v>2</v>
      </c>
      <c r="Q36">
        <v>1</v>
      </c>
      <c r="R36">
        <f t="shared" si="16"/>
        <v>3</v>
      </c>
      <c r="S36">
        <v>6</v>
      </c>
      <c r="T36">
        <v>10</v>
      </c>
      <c r="U36">
        <f t="shared" si="17"/>
        <v>-4</v>
      </c>
      <c r="Z36" t="str">
        <f>AA21</f>
        <v>Independiente Medellín</v>
      </c>
      <c r="AA36" t="s">
        <v>89</v>
      </c>
      <c r="AB36" t="str">
        <f>AA28</f>
        <v>Internacional de Bogotá</v>
      </c>
      <c r="AD36" t="str">
        <f>AA28</f>
        <v>Internacional de Bogotá</v>
      </c>
      <c r="AE36" t="s">
        <v>83</v>
      </c>
      <c r="AF36" t="str">
        <f>AA21</f>
        <v>Independiente Medellín</v>
      </c>
    </row>
    <row r="37" spans="1:32" x14ac:dyDescent="0.3">
      <c r="Z37" t="str">
        <f>AA5</f>
        <v>Deportivo Pasto</v>
      </c>
      <c r="AA37" t="s">
        <v>146</v>
      </c>
      <c r="AB37" t="str">
        <f>AA12</f>
        <v>Fortaleza</v>
      </c>
      <c r="AD37" t="str">
        <f>AA12</f>
        <v>Fortaleza</v>
      </c>
      <c r="AE37" t="s">
        <v>87</v>
      </c>
      <c r="AF37" t="str">
        <f>AA5</f>
        <v>Deportivo Pasto</v>
      </c>
    </row>
    <row r="38" spans="1:32" x14ac:dyDescent="0.3">
      <c r="L38" t="s">
        <v>96</v>
      </c>
      <c r="Z38" t="str">
        <f>AA29</f>
        <v>Boyacá Chicó</v>
      </c>
      <c r="AA38" t="s">
        <v>87</v>
      </c>
      <c r="AB38" t="str">
        <f>AA20</f>
        <v>Bucaramanga</v>
      </c>
      <c r="AD38" t="str">
        <f>AA20</f>
        <v>Bucaramanga</v>
      </c>
      <c r="AE38" t="s">
        <v>147</v>
      </c>
      <c r="AF38" t="str">
        <f>AA29</f>
        <v>Boyacá Chicó</v>
      </c>
    </row>
    <row r="39" spans="1:32" x14ac:dyDescent="0.3">
      <c r="L39" t="s">
        <v>227</v>
      </c>
      <c r="M39" t="s">
        <v>87</v>
      </c>
      <c r="N39" t="s">
        <v>209</v>
      </c>
      <c r="P39" t="s">
        <v>209</v>
      </c>
      <c r="Q39" t="s">
        <v>228</v>
      </c>
      <c r="R39" t="s">
        <v>227</v>
      </c>
    </row>
    <row r="40" spans="1:32" x14ac:dyDescent="0.3">
      <c r="Z40" t="s">
        <v>94</v>
      </c>
    </row>
    <row r="41" spans="1:32" x14ac:dyDescent="0.3">
      <c r="Z41" t="s">
        <v>225</v>
      </c>
      <c r="AA41" t="s">
        <v>87</v>
      </c>
      <c r="AB41" t="s">
        <v>227</v>
      </c>
      <c r="AD41" t="s">
        <v>227</v>
      </c>
      <c r="AE41" t="s">
        <v>230</v>
      </c>
      <c r="AF41" t="s">
        <v>225</v>
      </c>
    </row>
    <row r="42" spans="1:32" x14ac:dyDescent="0.3">
      <c r="Z42" t="s">
        <v>221</v>
      </c>
      <c r="AA42" t="s">
        <v>81</v>
      </c>
      <c r="AB42" t="s">
        <v>212</v>
      </c>
      <c r="AD42" t="s">
        <v>212</v>
      </c>
      <c r="AE42" t="s">
        <v>231</v>
      </c>
      <c r="AF42" t="s">
        <v>221</v>
      </c>
    </row>
    <row r="44" spans="1:32" x14ac:dyDescent="0.3">
      <c r="Z44" t="s">
        <v>96</v>
      </c>
    </row>
    <row r="45" spans="1:32" x14ac:dyDescent="0.3">
      <c r="Z45" t="s">
        <v>225</v>
      </c>
      <c r="AA45" t="s">
        <v>80</v>
      </c>
      <c r="AB45" t="s">
        <v>212</v>
      </c>
      <c r="AD45" t="s">
        <v>212</v>
      </c>
      <c r="AE45" t="s">
        <v>83</v>
      </c>
      <c r="AF45" t="s">
        <v>225</v>
      </c>
    </row>
  </sheetData>
  <sortState xmlns:xlrd2="http://schemas.microsoft.com/office/spreadsheetml/2017/richdata2" ref="X2:Y21">
    <sortCondition descending="1" ref="Y2:Y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E5C6-2511-4F23-8425-971D85D85430}">
  <dimension ref="A1:T34"/>
  <sheetViews>
    <sheetView topLeftCell="G1" workbookViewId="0">
      <selection activeCell="T3" sqref="T3"/>
    </sheetView>
  </sheetViews>
  <sheetFormatPr defaultRowHeight="14.4" x14ac:dyDescent="0.3"/>
  <cols>
    <col min="1" max="1" width="18" customWidth="1"/>
    <col min="2" max="2" width="19.109375" customWidth="1"/>
    <col min="12" max="12" width="16" customWidth="1"/>
    <col min="14" max="14" width="17.77734375" customWidth="1"/>
    <col min="18" max="18" width="15.5546875" customWidth="1"/>
    <col min="19" max="19" width="9.77734375" customWidth="1"/>
  </cols>
  <sheetData>
    <row r="1" spans="1:20" x14ac:dyDescent="0.3">
      <c r="A1" t="s">
        <v>232</v>
      </c>
      <c r="L1" t="s">
        <v>250</v>
      </c>
      <c r="S1" t="s">
        <v>166</v>
      </c>
    </row>
    <row r="2" spans="1:20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78</v>
      </c>
      <c r="S2" t="s">
        <v>239</v>
      </c>
      <c r="T2">
        <v>17</v>
      </c>
    </row>
    <row r="3" spans="1:20" x14ac:dyDescent="0.3">
      <c r="A3" s="1" t="s">
        <v>4</v>
      </c>
      <c r="B3" t="s">
        <v>239</v>
      </c>
      <c r="C3" s="3">
        <f t="shared" ref="C3:C18" si="0">E3*3+F3</f>
        <v>50</v>
      </c>
      <c r="D3">
        <v>30</v>
      </c>
      <c r="E3">
        <v>15</v>
      </c>
      <c r="F3">
        <v>5</v>
      </c>
      <c r="G3">
        <f t="shared" ref="G3:G18" si="1">D3-E3-F3</f>
        <v>10</v>
      </c>
      <c r="H3">
        <v>48</v>
      </c>
      <c r="I3">
        <v>35</v>
      </c>
      <c r="J3">
        <f t="shared" ref="J3:J18" si="2">H3-I3</f>
        <v>13</v>
      </c>
      <c r="L3" t="s">
        <v>242</v>
      </c>
      <c r="M3" t="s">
        <v>251</v>
      </c>
      <c r="N3" t="s">
        <v>243</v>
      </c>
      <c r="S3" t="s">
        <v>238</v>
      </c>
      <c r="T3">
        <v>1</v>
      </c>
    </row>
    <row r="4" spans="1:20" x14ac:dyDescent="0.3">
      <c r="A4" s="5" t="s">
        <v>16</v>
      </c>
      <c r="B4" t="s">
        <v>234</v>
      </c>
      <c r="C4" s="3">
        <f t="shared" si="0"/>
        <v>47</v>
      </c>
      <c r="D4">
        <v>30</v>
      </c>
      <c r="E4">
        <v>13</v>
      </c>
      <c r="F4">
        <v>8</v>
      </c>
      <c r="G4">
        <f t="shared" si="1"/>
        <v>9</v>
      </c>
      <c r="H4">
        <v>48</v>
      </c>
      <c r="I4">
        <v>34</v>
      </c>
      <c r="J4">
        <f t="shared" si="2"/>
        <v>14</v>
      </c>
      <c r="L4" t="s">
        <v>247</v>
      </c>
      <c r="M4" t="s">
        <v>84</v>
      </c>
      <c r="N4" t="s">
        <v>235</v>
      </c>
    </row>
    <row r="5" spans="1:20" x14ac:dyDescent="0.3">
      <c r="A5" s="5" t="s">
        <v>21</v>
      </c>
      <c r="B5" t="s">
        <v>236</v>
      </c>
      <c r="C5" s="3">
        <f t="shared" si="0"/>
        <v>46</v>
      </c>
      <c r="D5">
        <v>30</v>
      </c>
      <c r="E5">
        <v>13</v>
      </c>
      <c r="F5">
        <v>7</v>
      </c>
      <c r="G5">
        <f t="shared" si="1"/>
        <v>10</v>
      </c>
      <c r="H5">
        <v>46</v>
      </c>
      <c r="I5">
        <v>40</v>
      </c>
      <c r="J5">
        <f t="shared" si="2"/>
        <v>6</v>
      </c>
      <c r="L5" t="s">
        <v>238</v>
      </c>
      <c r="M5" t="s">
        <v>109</v>
      </c>
      <c r="N5" t="s">
        <v>240</v>
      </c>
    </row>
    <row r="6" spans="1:20" x14ac:dyDescent="0.3">
      <c r="A6" s="5" t="s">
        <v>24</v>
      </c>
      <c r="B6" t="s">
        <v>237</v>
      </c>
      <c r="C6" s="3">
        <f t="shared" si="0"/>
        <v>45</v>
      </c>
      <c r="D6">
        <v>30</v>
      </c>
      <c r="E6">
        <v>13</v>
      </c>
      <c r="F6">
        <v>6</v>
      </c>
      <c r="G6">
        <f t="shared" si="1"/>
        <v>11</v>
      </c>
      <c r="H6">
        <v>47</v>
      </c>
      <c r="I6">
        <v>46</v>
      </c>
      <c r="J6">
        <f t="shared" si="2"/>
        <v>1</v>
      </c>
      <c r="L6" t="s">
        <v>237</v>
      </c>
      <c r="M6" t="s">
        <v>83</v>
      </c>
      <c r="N6" t="s">
        <v>233</v>
      </c>
    </row>
    <row r="7" spans="1:20" x14ac:dyDescent="0.3">
      <c r="A7" s="5" t="s">
        <v>27</v>
      </c>
      <c r="B7" t="s">
        <v>241</v>
      </c>
      <c r="C7" s="3">
        <f t="shared" si="0"/>
        <v>45</v>
      </c>
      <c r="D7">
        <v>30</v>
      </c>
      <c r="E7">
        <v>12</v>
      </c>
      <c r="F7">
        <v>9</v>
      </c>
      <c r="G7">
        <f t="shared" si="1"/>
        <v>9</v>
      </c>
      <c r="H7">
        <v>41</v>
      </c>
      <c r="I7">
        <v>46</v>
      </c>
      <c r="J7">
        <f t="shared" si="2"/>
        <v>-5</v>
      </c>
      <c r="L7" t="s">
        <v>234</v>
      </c>
      <c r="M7" t="s">
        <v>92</v>
      </c>
      <c r="N7" t="s">
        <v>196</v>
      </c>
    </row>
    <row r="8" spans="1:20" x14ac:dyDescent="0.3">
      <c r="A8" s="5" t="s">
        <v>31</v>
      </c>
      <c r="B8" t="s">
        <v>246</v>
      </c>
      <c r="C8" s="3">
        <f t="shared" si="0"/>
        <v>44</v>
      </c>
      <c r="D8">
        <v>30</v>
      </c>
      <c r="E8">
        <v>12</v>
      </c>
      <c r="F8">
        <v>8</v>
      </c>
      <c r="G8">
        <f t="shared" si="1"/>
        <v>10</v>
      </c>
      <c r="H8">
        <v>49</v>
      </c>
      <c r="I8">
        <v>40</v>
      </c>
      <c r="J8">
        <f t="shared" si="2"/>
        <v>9</v>
      </c>
      <c r="L8" t="s">
        <v>244</v>
      </c>
      <c r="M8" t="s">
        <v>87</v>
      </c>
      <c r="N8" t="s">
        <v>246</v>
      </c>
    </row>
    <row r="9" spans="1:20" x14ac:dyDescent="0.3">
      <c r="A9" s="10" t="s">
        <v>34</v>
      </c>
      <c r="B9" t="s">
        <v>238</v>
      </c>
      <c r="C9" s="3">
        <f t="shared" si="0"/>
        <v>44</v>
      </c>
      <c r="D9">
        <v>30</v>
      </c>
      <c r="E9">
        <v>12</v>
      </c>
      <c r="F9">
        <v>8</v>
      </c>
      <c r="G9">
        <f t="shared" si="1"/>
        <v>10</v>
      </c>
      <c r="H9">
        <v>44</v>
      </c>
      <c r="I9">
        <v>39</v>
      </c>
      <c r="J9">
        <f t="shared" si="2"/>
        <v>5</v>
      </c>
      <c r="L9" t="s">
        <v>236</v>
      </c>
      <c r="M9" t="s">
        <v>80</v>
      </c>
      <c r="N9" t="s">
        <v>241</v>
      </c>
    </row>
    <row r="10" spans="1:20" x14ac:dyDescent="0.3">
      <c r="A10" s="10" t="s">
        <v>37</v>
      </c>
      <c r="B10" t="s">
        <v>235</v>
      </c>
      <c r="C10" s="3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48</v>
      </c>
      <c r="I10">
        <v>40</v>
      </c>
      <c r="J10">
        <f t="shared" si="2"/>
        <v>8</v>
      </c>
      <c r="L10" t="s">
        <v>239</v>
      </c>
      <c r="M10" t="s">
        <v>83</v>
      </c>
      <c r="N10" t="s">
        <v>245</v>
      </c>
    </row>
    <row r="11" spans="1:20" x14ac:dyDescent="0.3">
      <c r="A11" s="10" t="s">
        <v>38</v>
      </c>
      <c r="B11" t="s">
        <v>196</v>
      </c>
      <c r="C11" s="3">
        <f t="shared" si="0"/>
        <v>42</v>
      </c>
      <c r="D11">
        <v>30</v>
      </c>
      <c r="E11">
        <v>12</v>
      </c>
      <c r="F11">
        <v>6</v>
      </c>
      <c r="G11">
        <f t="shared" si="1"/>
        <v>12</v>
      </c>
      <c r="H11">
        <v>37</v>
      </c>
      <c r="I11">
        <v>36</v>
      </c>
      <c r="J11">
        <f t="shared" si="2"/>
        <v>1</v>
      </c>
    </row>
    <row r="12" spans="1:20" x14ac:dyDescent="0.3">
      <c r="A12" s="10" t="s">
        <v>41</v>
      </c>
      <c r="B12" t="s">
        <v>245</v>
      </c>
      <c r="C12" s="3">
        <f t="shared" si="0"/>
        <v>42</v>
      </c>
      <c r="D12">
        <v>30</v>
      </c>
      <c r="E12">
        <v>12</v>
      </c>
      <c r="F12">
        <v>6</v>
      </c>
      <c r="G12">
        <f t="shared" si="1"/>
        <v>12</v>
      </c>
      <c r="H12">
        <v>40</v>
      </c>
      <c r="I12">
        <v>43</v>
      </c>
      <c r="J12">
        <f t="shared" si="2"/>
        <v>-3</v>
      </c>
      <c r="L12" t="s">
        <v>91</v>
      </c>
    </row>
    <row r="13" spans="1:20" x14ac:dyDescent="0.3">
      <c r="A13" s="10" t="s">
        <v>43</v>
      </c>
      <c r="B13" t="s">
        <v>242</v>
      </c>
      <c r="C13" s="3">
        <f t="shared" si="0"/>
        <v>40</v>
      </c>
      <c r="D13">
        <v>30</v>
      </c>
      <c r="E13">
        <v>11</v>
      </c>
      <c r="F13">
        <v>7</v>
      </c>
      <c r="G13">
        <f t="shared" si="1"/>
        <v>12</v>
      </c>
      <c r="H13">
        <v>44</v>
      </c>
      <c r="I13">
        <v>48</v>
      </c>
      <c r="J13">
        <f t="shared" si="2"/>
        <v>-4</v>
      </c>
      <c r="L13" t="s">
        <v>243</v>
      </c>
      <c r="M13" t="s">
        <v>87</v>
      </c>
      <c r="N13" t="s">
        <v>235</v>
      </c>
    </row>
    <row r="14" spans="1:20" x14ac:dyDescent="0.3">
      <c r="A14" s="10" t="s">
        <v>44</v>
      </c>
      <c r="B14" t="s">
        <v>233</v>
      </c>
      <c r="C14" s="3">
        <f t="shared" si="0"/>
        <v>38</v>
      </c>
      <c r="D14">
        <v>30</v>
      </c>
      <c r="E14">
        <v>11</v>
      </c>
      <c r="F14">
        <v>5</v>
      </c>
      <c r="G14">
        <f t="shared" si="1"/>
        <v>14</v>
      </c>
      <c r="H14">
        <v>44</v>
      </c>
      <c r="I14">
        <v>42</v>
      </c>
      <c r="J14">
        <f t="shared" si="2"/>
        <v>2</v>
      </c>
      <c r="L14" t="s">
        <v>238</v>
      </c>
      <c r="M14" t="s">
        <v>87</v>
      </c>
      <c r="N14" t="s">
        <v>237</v>
      </c>
    </row>
    <row r="15" spans="1:20" x14ac:dyDescent="0.3">
      <c r="A15" t="s">
        <v>47</v>
      </c>
      <c r="B15" t="s">
        <v>244</v>
      </c>
      <c r="C15" s="3">
        <f t="shared" si="0"/>
        <v>38</v>
      </c>
      <c r="D15">
        <v>30</v>
      </c>
      <c r="E15">
        <v>10</v>
      </c>
      <c r="F15">
        <v>8</v>
      </c>
      <c r="G15">
        <f t="shared" si="1"/>
        <v>12</v>
      </c>
      <c r="H15">
        <v>51</v>
      </c>
      <c r="I15">
        <v>57</v>
      </c>
      <c r="J15">
        <f t="shared" si="2"/>
        <v>-6</v>
      </c>
      <c r="L15" t="s">
        <v>234</v>
      </c>
      <c r="M15" t="s">
        <v>108</v>
      </c>
      <c r="N15" t="s">
        <v>244</v>
      </c>
    </row>
    <row r="16" spans="1:20" x14ac:dyDescent="0.3">
      <c r="A16" t="s">
        <v>49</v>
      </c>
      <c r="B16" t="s">
        <v>243</v>
      </c>
      <c r="C16" s="3">
        <f t="shared" si="0"/>
        <v>37</v>
      </c>
      <c r="D16">
        <v>30</v>
      </c>
      <c r="E16">
        <v>10</v>
      </c>
      <c r="F16">
        <v>7</v>
      </c>
      <c r="G16">
        <f t="shared" si="1"/>
        <v>13</v>
      </c>
      <c r="H16">
        <v>37</v>
      </c>
      <c r="I16">
        <v>43</v>
      </c>
      <c r="J16">
        <f t="shared" si="2"/>
        <v>-6</v>
      </c>
      <c r="L16" t="s">
        <v>239</v>
      </c>
      <c r="M16" t="s">
        <v>84</v>
      </c>
      <c r="N16" t="s">
        <v>241</v>
      </c>
    </row>
    <row r="17" spans="1:18" x14ac:dyDescent="0.3">
      <c r="A17" t="s">
        <v>51</v>
      </c>
      <c r="B17" t="s">
        <v>240</v>
      </c>
      <c r="C17" s="3">
        <f t="shared" si="0"/>
        <v>34</v>
      </c>
      <c r="D17">
        <v>30</v>
      </c>
      <c r="E17">
        <v>10</v>
      </c>
      <c r="F17">
        <v>4</v>
      </c>
      <c r="G17">
        <f t="shared" si="1"/>
        <v>16</v>
      </c>
      <c r="H17">
        <v>32</v>
      </c>
      <c r="I17">
        <v>58</v>
      </c>
      <c r="J17">
        <f t="shared" si="2"/>
        <v>-26</v>
      </c>
    </row>
    <row r="18" spans="1:18" x14ac:dyDescent="0.3">
      <c r="A18" t="s">
        <v>53</v>
      </c>
      <c r="B18" t="s">
        <v>247</v>
      </c>
      <c r="C18" s="3">
        <f t="shared" si="0"/>
        <v>32</v>
      </c>
      <c r="D18">
        <v>30</v>
      </c>
      <c r="E18">
        <v>8</v>
      </c>
      <c r="F18">
        <v>8</v>
      </c>
      <c r="G18">
        <f t="shared" si="1"/>
        <v>14</v>
      </c>
      <c r="H18">
        <v>40</v>
      </c>
      <c r="I18">
        <v>49</v>
      </c>
      <c r="J18">
        <f t="shared" si="2"/>
        <v>-9</v>
      </c>
      <c r="L18" t="s">
        <v>94</v>
      </c>
    </row>
    <row r="19" spans="1:18" x14ac:dyDescent="0.3">
      <c r="C19" s="3"/>
      <c r="L19" t="s">
        <v>243</v>
      </c>
      <c r="M19" t="s">
        <v>89</v>
      </c>
      <c r="N19" t="s">
        <v>238</v>
      </c>
      <c r="P19" t="s">
        <v>238</v>
      </c>
      <c r="Q19" t="s">
        <v>252</v>
      </c>
      <c r="R19" t="s">
        <v>243</v>
      </c>
    </row>
    <row r="20" spans="1:18" x14ac:dyDescent="0.3">
      <c r="A20" t="s">
        <v>248</v>
      </c>
      <c r="C20" s="3"/>
      <c r="L20" t="s">
        <v>241</v>
      </c>
      <c r="M20" t="s">
        <v>147</v>
      </c>
      <c r="N20" t="s">
        <v>234</v>
      </c>
      <c r="P20" t="s">
        <v>234</v>
      </c>
      <c r="Q20" t="s">
        <v>253</v>
      </c>
      <c r="R20" t="s">
        <v>241</v>
      </c>
    </row>
    <row r="21" spans="1:18" x14ac:dyDescent="0.3">
      <c r="A21" s="1" t="s">
        <v>4</v>
      </c>
      <c r="B21" t="s">
        <v>239</v>
      </c>
      <c r="C21" s="3">
        <f t="shared" ref="C21:C26" si="3">E21*3+F21</f>
        <v>69</v>
      </c>
      <c r="D21">
        <v>40</v>
      </c>
      <c r="E21">
        <v>21</v>
      </c>
      <c r="F21">
        <v>6</v>
      </c>
      <c r="G21">
        <f t="shared" ref="G21:G26" si="4">D21-E21-F21</f>
        <v>13</v>
      </c>
      <c r="H21">
        <v>65</v>
      </c>
      <c r="I21">
        <v>52</v>
      </c>
      <c r="J21">
        <f t="shared" ref="J21:J26" si="5">H21-I21</f>
        <v>13</v>
      </c>
    </row>
    <row r="22" spans="1:18" x14ac:dyDescent="0.3">
      <c r="A22" s="1" t="s">
        <v>16</v>
      </c>
      <c r="B22" t="s">
        <v>234</v>
      </c>
      <c r="C22" s="3">
        <f t="shared" si="3"/>
        <v>67</v>
      </c>
      <c r="D22">
        <v>40</v>
      </c>
      <c r="E22">
        <v>19</v>
      </c>
      <c r="F22">
        <v>10</v>
      </c>
      <c r="G22">
        <f t="shared" si="4"/>
        <v>11</v>
      </c>
      <c r="H22">
        <v>65</v>
      </c>
      <c r="I22">
        <v>44</v>
      </c>
      <c r="J22">
        <f t="shared" si="5"/>
        <v>21</v>
      </c>
      <c r="L22" t="s">
        <v>96</v>
      </c>
    </row>
    <row r="23" spans="1:18" x14ac:dyDescent="0.3">
      <c r="A23" s="11" t="s">
        <v>21</v>
      </c>
      <c r="B23" t="s">
        <v>236</v>
      </c>
      <c r="C23" s="3">
        <f t="shared" si="3"/>
        <v>62</v>
      </c>
      <c r="D23">
        <v>40</v>
      </c>
      <c r="E23">
        <v>18</v>
      </c>
      <c r="F23">
        <v>8</v>
      </c>
      <c r="G23">
        <f t="shared" si="4"/>
        <v>14</v>
      </c>
      <c r="H23">
        <v>62</v>
      </c>
      <c r="I23">
        <v>55</v>
      </c>
      <c r="J23">
        <f t="shared" si="5"/>
        <v>7</v>
      </c>
      <c r="L23" t="s">
        <v>238</v>
      </c>
      <c r="M23" t="s">
        <v>254</v>
      </c>
      <c r="N23" t="s">
        <v>241</v>
      </c>
    </row>
    <row r="24" spans="1:18" x14ac:dyDescent="0.3">
      <c r="A24" s="6" t="s">
        <v>24</v>
      </c>
      <c r="B24" t="s">
        <v>246</v>
      </c>
      <c r="C24" s="3">
        <f t="shared" si="3"/>
        <v>61</v>
      </c>
      <c r="D24">
        <v>40</v>
      </c>
      <c r="E24">
        <v>17</v>
      </c>
      <c r="F24">
        <v>10</v>
      </c>
      <c r="G24">
        <f t="shared" si="4"/>
        <v>13</v>
      </c>
      <c r="H24">
        <v>64</v>
      </c>
      <c r="I24">
        <v>48</v>
      </c>
      <c r="J24">
        <f t="shared" si="5"/>
        <v>16</v>
      </c>
    </row>
    <row r="25" spans="1:18" x14ac:dyDescent="0.3">
      <c r="A25" s="6" t="s">
        <v>27</v>
      </c>
      <c r="B25" t="s">
        <v>241</v>
      </c>
      <c r="C25" s="3">
        <f t="shared" si="3"/>
        <v>53</v>
      </c>
      <c r="D25">
        <v>40</v>
      </c>
      <c r="E25">
        <v>14</v>
      </c>
      <c r="F25">
        <v>11</v>
      </c>
      <c r="G25">
        <f t="shared" si="4"/>
        <v>15</v>
      </c>
      <c r="H25">
        <v>56</v>
      </c>
      <c r="I25">
        <v>68</v>
      </c>
      <c r="J25">
        <f t="shared" si="5"/>
        <v>-12</v>
      </c>
    </row>
    <row r="26" spans="1:18" x14ac:dyDescent="0.3">
      <c r="A26" s="6" t="s">
        <v>31</v>
      </c>
      <c r="B26" t="s">
        <v>237</v>
      </c>
      <c r="C26" s="3">
        <f t="shared" si="3"/>
        <v>50</v>
      </c>
      <c r="D26">
        <v>40</v>
      </c>
      <c r="E26">
        <v>14</v>
      </c>
      <c r="F26">
        <v>8</v>
      </c>
      <c r="G26">
        <f t="shared" si="4"/>
        <v>18</v>
      </c>
      <c r="H26">
        <v>57</v>
      </c>
      <c r="I26">
        <v>64</v>
      </c>
      <c r="J26">
        <f t="shared" si="5"/>
        <v>-7</v>
      </c>
    </row>
    <row r="27" spans="1:18" x14ac:dyDescent="0.3">
      <c r="C27" s="3"/>
    </row>
    <row r="28" spans="1:18" x14ac:dyDescent="0.3">
      <c r="A28" t="s">
        <v>249</v>
      </c>
    </row>
    <row r="29" spans="1:18" x14ac:dyDescent="0.3">
      <c r="A29" s="6" t="s">
        <v>4</v>
      </c>
      <c r="B29" t="s">
        <v>233</v>
      </c>
      <c r="C29" s="3">
        <f t="shared" ref="C29:C34" si="6">E29*3+F29</f>
        <v>64</v>
      </c>
      <c r="D29">
        <v>40</v>
      </c>
      <c r="E29">
        <v>19</v>
      </c>
      <c r="F29">
        <v>7</v>
      </c>
      <c r="G29">
        <f t="shared" ref="G29:G34" si="7">D29-E29-F29</f>
        <v>14</v>
      </c>
      <c r="H29">
        <v>72</v>
      </c>
      <c r="I29">
        <v>52</v>
      </c>
      <c r="J29">
        <f t="shared" ref="J29:J34" si="8">H29-I29</f>
        <v>20</v>
      </c>
    </row>
    <row r="30" spans="1:18" x14ac:dyDescent="0.3">
      <c r="A30" s="9" t="s">
        <v>16</v>
      </c>
      <c r="B30" t="s">
        <v>238</v>
      </c>
      <c r="C30" s="3">
        <f t="shared" si="6"/>
        <v>58</v>
      </c>
      <c r="D30">
        <v>40</v>
      </c>
      <c r="E30">
        <v>16</v>
      </c>
      <c r="F30">
        <v>10</v>
      </c>
      <c r="G30">
        <f t="shared" si="7"/>
        <v>14</v>
      </c>
      <c r="H30">
        <v>61</v>
      </c>
      <c r="I30">
        <v>58</v>
      </c>
      <c r="J30">
        <f t="shared" si="8"/>
        <v>3</v>
      </c>
    </row>
    <row r="31" spans="1:18" x14ac:dyDescent="0.3">
      <c r="A31" t="s">
        <v>21</v>
      </c>
      <c r="B31" t="s">
        <v>196</v>
      </c>
      <c r="C31" s="3">
        <f t="shared" si="6"/>
        <v>56</v>
      </c>
      <c r="D31">
        <v>40</v>
      </c>
      <c r="E31">
        <v>16</v>
      </c>
      <c r="F31">
        <v>8</v>
      </c>
      <c r="G31">
        <f t="shared" si="7"/>
        <v>16</v>
      </c>
      <c r="H31">
        <v>51</v>
      </c>
      <c r="I31">
        <v>49</v>
      </c>
      <c r="J31">
        <f t="shared" si="8"/>
        <v>2</v>
      </c>
    </row>
    <row r="32" spans="1:18" x14ac:dyDescent="0.3">
      <c r="A32" t="s">
        <v>24</v>
      </c>
      <c r="B32" t="s">
        <v>242</v>
      </c>
      <c r="C32" s="3">
        <f t="shared" si="6"/>
        <v>55</v>
      </c>
      <c r="D32">
        <v>40</v>
      </c>
      <c r="E32">
        <v>15</v>
      </c>
      <c r="F32">
        <v>10</v>
      </c>
      <c r="G32">
        <f t="shared" si="7"/>
        <v>15</v>
      </c>
      <c r="H32">
        <v>63</v>
      </c>
      <c r="I32">
        <v>63</v>
      </c>
      <c r="J32">
        <f t="shared" si="8"/>
        <v>0</v>
      </c>
    </row>
    <row r="33" spans="1:10" x14ac:dyDescent="0.3">
      <c r="A33" t="s">
        <v>27</v>
      </c>
      <c r="B33" t="s">
        <v>235</v>
      </c>
      <c r="C33" s="3">
        <f t="shared" si="6"/>
        <v>50</v>
      </c>
      <c r="D33">
        <v>40</v>
      </c>
      <c r="E33">
        <v>14</v>
      </c>
      <c r="F33">
        <v>8</v>
      </c>
      <c r="G33">
        <f t="shared" si="7"/>
        <v>18</v>
      </c>
      <c r="H33">
        <v>61</v>
      </c>
      <c r="I33">
        <v>60</v>
      </c>
      <c r="J33">
        <f t="shared" si="8"/>
        <v>1</v>
      </c>
    </row>
    <row r="34" spans="1:10" x14ac:dyDescent="0.3">
      <c r="A34" t="s">
        <v>31</v>
      </c>
      <c r="B34" t="s">
        <v>245</v>
      </c>
      <c r="C34" s="3">
        <f t="shared" si="6"/>
        <v>48</v>
      </c>
      <c r="D34">
        <v>40</v>
      </c>
      <c r="E34">
        <v>13</v>
      </c>
      <c r="F34">
        <v>9</v>
      </c>
      <c r="G34">
        <f t="shared" si="7"/>
        <v>18</v>
      </c>
      <c r="H34">
        <v>50</v>
      </c>
      <c r="I34">
        <v>67</v>
      </c>
      <c r="J34">
        <f t="shared" si="8"/>
        <v>-17</v>
      </c>
    </row>
  </sheetData>
  <sortState xmlns:xlrd2="http://schemas.microsoft.com/office/spreadsheetml/2017/richdata2" ref="B28:J34">
    <sortCondition descending="1" ref="C28:C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11E4-DA89-48F4-8080-7386F01ADD81}">
  <dimension ref="A1:U30"/>
  <sheetViews>
    <sheetView workbookViewId="0">
      <selection activeCell="U3" sqref="U3"/>
    </sheetView>
  </sheetViews>
  <sheetFormatPr defaultRowHeight="14.4" x14ac:dyDescent="0.3"/>
  <cols>
    <col min="2" max="2" width="17" customWidth="1"/>
    <col min="12" max="12" width="16.33203125" customWidth="1"/>
    <col min="13" max="13" width="17.109375" customWidth="1"/>
    <col min="15" max="15" width="15.77734375" customWidth="1"/>
    <col min="17" max="17" width="16.77734375" customWidth="1"/>
    <col min="19" max="19" width="13.21875" customWidth="1"/>
  </cols>
  <sheetData>
    <row r="1" spans="1:21" x14ac:dyDescent="0.3">
      <c r="A1" t="s">
        <v>255</v>
      </c>
      <c r="L1" t="s">
        <v>2</v>
      </c>
      <c r="O1" t="s">
        <v>266</v>
      </c>
      <c r="S1" t="s">
        <v>166</v>
      </c>
    </row>
    <row r="2" spans="1:21" x14ac:dyDescent="0.3">
      <c r="A2" t="s">
        <v>0</v>
      </c>
      <c r="L2" s="4" t="s">
        <v>4</v>
      </c>
      <c r="M2" t="s">
        <v>26</v>
      </c>
      <c r="O2" t="s">
        <v>151</v>
      </c>
      <c r="S2" t="s">
        <v>259</v>
      </c>
      <c r="T2">
        <v>36</v>
      </c>
      <c r="U2" t="s">
        <v>270</v>
      </c>
    </row>
    <row r="3" spans="1:21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L3" s="6" t="s">
        <v>16</v>
      </c>
      <c r="M3" t="s">
        <v>233</v>
      </c>
      <c r="O3" t="s">
        <v>265</v>
      </c>
      <c r="P3" t="s">
        <v>80</v>
      </c>
      <c r="Q3" t="s">
        <v>261</v>
      </c>
      <c r="S3" t="s">
        <v>260</v>
      </c>
      <c r="T3">
        <v>12</v>
      </c>
      <c r="U3" t="s">
        <v>269</v>
      </c>
    </row>
    <row r="4" spans="1:21" x14ac:dyDescent="0.3">
      <c r="A4" s="1" t="s">
        <v>4</v>
      </c>
      <c r="B4" t="s">
        <v>259</v>
      </c>
      <c r="C4" s="3">
        <f t="shared" ref="C4:C15" si="0">E4*3+F4</f>
        <v>43</v>
      </c>
      <c r="D4">
        <v>22</v>
      </c>
      <c r="E4">
        <v>13</v>
      </c>
      <c r="F4">
        <v>4</v>
      </c>
      <c r="G4">
        <f t="shared" ref="G4:G15" si="1">D4-E4-F4</f>
        <v>5</v>
      </c>
      <c r="H4">
        <v>33</v>
      </c>
      <c r="I4">
        <v>19</v>
      </c>
      <c r="J4">
        <f t="shared" ref="J4:J15" si="2">H4-I4</f>
        <v>14</v>
      </c>
      <c r="L4" s="1" t="s">
        <v>21</v>
      </c>
      <c r="M4" t="s">
        <v>260</v>
      </c>
      <c r="O4" t="s">
        <v>263</v>
      </c>
      <c r="P4" t="s">
        <v>84</v>
      </c>
      <c r="Q4" t="s">
        <v>260</v>
      </c>
      <c r="S4" t="s">
        <v>261</v>
      </c>
      <c r="T4">
        <v>2</v>
      </c>
    </row>
    <row r="5" spans="1:21" x14ac:dyDescent="0.3">
      <c r="A5" t="s">
        <v>16</v>
      </c>
      <c r="B5" t="s">
        <v>265</v>
      </c>
      <c r="C5" s="3">
        <f t="shared" si="0"/>
        <v>38</v>
      </c>
      <c r="D5">
        <v>22</v>
      </c>
      <c r="E5">
        <v>11</v>
      </c>
      <c r="F5">
        <v>5</v>
      </c>
      <c r="G5">
        <f t="shared" si="1"/>
        <v>6</v>
      </c>
      <c r="H5">
        <v>41</v>
      </c>
      <c r="I5">
        <v>35</v>
      </c>
      <c r="J5">
        <f t="shared" si="2"/>
        <v>6</v>
      </c>
      <c r="L5" s="1" t="s">
        <v>24</v>
      </c>
      <c r="M5" t="s">
        <v>259</v>
      </c>
      <c r="O5" t="s">
        <v>257</v>
      </c>
      <c r="P5" t="s">
        <v>83</v>
      </c>
      <c r="Q5" t="s">
        <v>264</v>
      </c>
    </row>
    <row r="6" spans="1:21" x14ac:dyDescent="0.3">
      <c r="A6" t="s">
        <v>21</v>
      </c>
      <c r="B6" t="s">
        <v>26</v>
      </c>
      <c r="C6" s="3">
        <f t="shared" si="0"/>
        <v>37</v>
      </c>
      <c r="D6">
        <v>22</v>
      </c>
      <c r="E6">
        <v>11</v>
      </c>
      <c r="F6">
        <v>4</v>
      </c>
      <c r="G6">
        <f t="shared" si="1"/>
        <v>7</v>
      </c>
      <c r="H6">
        <v>34</v>
      </c>
      <c r="I6">
        <v>29</v>
      </c>
      <c r="J6">
        <f t="shared" si="2"/>
        <v>5</v>
      </c>
      <c r="L6" s="6" t="s">
        <v>27</v>
      </c>
      <c r="M6" t="s">
        <v>265</v>
      </c>
      <c r="O6" t="s">
        <v>259</v>
      </c>
      <c r="P6" t="s">
        <v>267</v>
      </c>
      <c r="Q6" t="s">
        <v>262</v>
      </c>
    </row>
    <row r="7" spans="1:21" x14ac:dyDescent="0.3">
      <c r="A7" t="s">
        <v>24</v>
      </c>
      <c r="B7" t="s">
        <v>256</v>
      </c>
      <c r="C7" s="3">
        <f t="shared" si="0"/>
        <v>36</v>
      </c>
      <c r="D7">
        <v>22</v>
      </c>
      <c r="E7">
        <v>11</v>
      </c>
      <c r="F7">
        <v>3</v>
      </c>
      <c r="G7">
        <f t="shared" si="1"/>
        <v>8</v>
      </c>
      <c r="H7">
        <v>31</v>
      </c>
      <c r="I7">
        <v>26</v>
      </c>
      <c r="J7">
        <f t="shared" si="2"/>
        <v>5</v>
      </c>
      <c r="L7" s="9" t="s">
        <v>31</v>
      </c>
      <c r="M7" t="s">
        <v>261</v>
      </c>
    </row>
    <row r="8" spans="1:21" x14ac:dyDescent="0.3">
      <c r="A8" t="s">
        <v>27</v>
      </c>
      <c r="B8" t="s">
        <v>233</v>
      </c>
      <c r="C8" s="3">
        <f t="shared" si="0"/>
        <v>35</v>
      </c>
      <c r="D8">
        <v>22</v>
      </c>
      <c r="E8">
        <v>10</v>
      </c>
      <c r="F8">
        <v>5</v>
      </c>
      <c r="G8">
        <f t="shared" si="1"/>
        <v>7</v>
      </c>
      <c r="H8">
        <v>33</v>
      </c>
      <c r="I8">
        <v>32</v>
      </c>
      <c r="J8">
        <f t="shared" si="2"/>
        <v>1</v>
      </c>
      <c r="L8" s="6" t="s">
        <v>34</v>
      </c>
      <c r="M8" t="s">
        <v>256</v>
      </c>
      <c r="O8" t="s">
        <v>91</v>
      </c>
    </row>
    <row r="9" spans="1:21" x14ac:dyDescent="0.3">
      <c r="A9" t="s">
        <v>31</v>
      </c>
      <c r="B9" t="s">
        <v>261</v>
      </c>
      <c r="C9" s="3">
        <f t="shared" si="0"/>
        <v>30</v>
      </c>
      <c r="D9">
        <v>22</v>
      </c>
      <c r="E9">
        <v>9</v>
      </c>
      <c r="F9">
        <v>3</v>
      </c>
      <c r="G9">
        <f t="shared" si="1"/>
        <v>10</v>
      </c>
      <c r="H9">
        <v>34</v>
      </c>
      <c r="I9">
        <v>37</v>
      </c>
      <c r="J9">
        <f t="shared" si="2"/>
        <v>-3</v>
      </c>
      <c r="L9" s="6" t="s">
        <v>37</v>
      </c>
      <c r="M9" t="s">
        <v>258</v>
      </c>
      <c r="O9" t="s">
        <v>261</v>
      </c>
      <c r="P9" t="s">
        <v>83</v>
      </c>
      <c r="Q9" t="s">
        <v>256</v>
      </c>
    </row>
    <row r="10" spans="1:21" x14ac:dyDescent="0.3">
      <c r="A10" t="s">
        <v>34</v>
      </c>
      <c r="B10" t="s">
        <v>260</v>
      </c>
      <c r="C10" s="3">
        <f t="shared" si="0"/>
        <v>29</v>
      </c>
      <c r="D10">
        <v>22</v>
      </c>
      <c r="E10">
        <v>8</v>
      </c>
      <c r="F10">
        <v>5</v>
      </c>
      <c r="G10">
        <f t="shared" si="1"/>
        <v>9</v>
      </c>
      <c r="H10">
        <v>31</v>
      </c>
      <c r="I10">
        <v>32</v>
      </c>
      <c r="J10">
        <f t="shared" si="2"/>
        <v>-1</v>
      </c>
      <c r="L10" s="8" t="s">
        <v>38</v>
      </c>
      <c r="M10" t="s">
        <v>262</v>
      </c>
      <c r="O10" t="s">
        <v>260</v>
      </c>
      <c r="P10" t="s">
        <v>86</v>
      </c>
      <c r="Q10" t="s">
        <v>26</v>
      </c>
    </row>
    <row r="11" spans="1:21" x14ac:dyDescent="0.3">
      <c r="A11" t="s">
        <v>37</v>
      </c>
      <c r="B11" t="s">
        <v>263</v>
      </c>
      <c r="C11" s="3">
        <f t="shared" si="0"/>
        <v>26</v>
      </c>
      <c r="D11">
        <v>22</v>
      </c>
      <c r="E11">
        <v>7</v>
      </c>
      <c r="F11">
        <v>5</v>
      </c>
      <c r="G11">
        <f t="shared" si="1"/>
        <v>10</v>
      </c>
      <c r="H11">
        <v>30</v>
      </c>
      <c r="I11">
        <v>33</v>
      </c>
      <c r="J11">
        <f t="shared" si="2"/>
        <v>-3</v>
      </c>
      <c r="L11" t="s">
        <v>41</v>
      </c>
      <c r="M11" t="s">
        <v>263</v>
      </c>
      <c r="O11" t="s">
        <v>257</v>
      </c>
      <c r="P11" t="s">
        <v>79</v>
      </c>
      <c r="Q11" t="s">
        <v>233</v>
      </c>
    </row>
    <row r="12" spans="1:21" x14ac:dyDescent="0.3">
      <c r="A12" t="s">
        <v>38</v>
      </c>
      <c r="B12" t="s">
        <v>258</v>
      </c>
      <c r="C12" s="3">
        <f t="shared" si="0"/>
        <v>26</v>
      </c>
      <c r="D12">
        <v>22</v>
      </c>
      <c r="E12">
        <v>7</v>
      </c>
      <c r="F12">
        <v>5</v>
      </c>
      <c r="G12">
        <f t="shared" si="1"/>
        <v>10</v>
      </c>
      <c r="H12">
        <v>30</v>
      </c>
      <c r="I12">
        <v>35</v>
      </c>
      <c r="J12">
        <f t="shared" si="2"/>
        <v>-5</v>
      </c>
      <c r="L12" t="s">
        <v>43</v>
      </c>
      <c r="M12" t="s">
        <v>257</v>
      </c>
      <c r="O12" t="s">
        <v>259</v>
      </c>
      <c r="P12" t="s">
        <v>87</v>
      </c>
      <c r="Q12" t="s">
        <v>258</v>
      </c>
    </row>
    <row r="13" spans="1:21" x14ac:dyDescent="0.3">
      <c r="A13" t="s">
        <v>41</v>
      </c>
      <c r="B13" t="s">
        <v>257</v>
      </c>
      <c r="C13" s="3">
        <f t="shared" si="0"/>
        <v>26</v>
      </c>
      <c r="D13">
        <v>22</v>
      </c>
      <c r="E13">
        <v>8</v>
      </c>
      <c r="F13">
        <v>2</v>
      </c>
      <c r="G13">
        <f t="shared" si="1"/>
        <v>12</v>
      </c>
      <c r="H13">
        <v>28</v>
      </c>
      <c r="I13">
        <v>37</v>
      </c>
      <c r="J13">
        <f t="shared" si="2"/>
        <v>-9</v>
      </c>
      <c r="L13" t="s">
        <v>44</v>
      </c>
      <c r="M13" t="s">
        <v>264</v>
      </c>
    </row>
    <row r="14" spans="1:21" x14ac:dyDescent="0.3">
      <c r="A14" t="s">
        <v>43</v>
      </c>
      <c r="B14" t="s">
        <v>262</v>
      </c>
      <c r="C14" s="3">
        <f t="shared" si="0"/>
        <v>24</v>
      </c>
      <c r="D14">
        <v>22</v>
      </c>
      <c r="E14">
        <v>6</v>
      </c>
      <c r="F14">
        <v>6</v>
      </c>
      <c r="G14">
        <f t="shared" si="1"/>
        <v>10</v>
      </c>
      <c r="H14">
        <v>22</v>
      </c>
      <c r="I14">
        <v>26</v>
      </c>
      <c r="J14">
        <f t="shared" si="2"/>
        <v>-4</v>
      </c>
      <c r="O14" t="s">
        <v>94</v>
      </c>
    </row>
    <row r="15" spans="1:21" x14ac:dyDescent="0.3">
      <c r="A15" t="s">
        <v>44</v>
      </c>
      <c r="B15" t="s">
        <v>264</v>
      </c>
      <c r="C15" s="3">
        <f t="shared" si="0"/>
        <v>19</v>
      </c>
      <c r="D15">
        <v>22</v>
      </c>
      <c r="E15">
        <v>4</v>
      </c>
      <c r="F15">
        <v>7</v>
      </c>
      <c r="G15">
        <f t="shared" si="1"/>
        <v>11</v>
      </c>
      <c r="H15">
        <v>30</v>
      </c>
      <c r="I15">
        <v>36</v>
      </c>
      <c r="J15">
        <f t="shared" si="2"/>
        <v>-6</v>
      </c>
      <c r="O15" t="s">
        <v>261</v>
      </c>
      <c r="P15" t="s">
        <v>81</v>
      </c>
      <c r="Q15" t="s">
        <v>26</v>
      </c>
    </row>
    <row r="16" spans="1:21" x14ac:dyDescent="0.3">
      <c r="O16" t="s">
        <v>233</v>
      </c>
      <c r="P16" t="s">
        <v>83</v>
      </c>
      <c r="Q16" t="s">
        <v>259</v>
      </c>
    </row>
    <row r="17" spans="1:17" x14ac:dyDescent="0.3">
      <c r="A17" t="s">
        <v>1</v>
      </c>
    </row>
    <row r="18" spans="1:17" x14ac:dyDescent="0.3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  <c r="I18" t="s">
        <v>14</v>
      </c>
      <c r="J18" t="s">
        <v>15</v>
      </c>
      <c r="O18" t="s">
        <v>96</v>
      </c>
    </row>
    <row r="19" spans="1:17" x14ac:dyDescent="0.3">
      <c r="A19" s="1" t="s">
        <v>4</v>
      </c>
      <c r="B19" t="s">
        <v>260</v>
      </c>
      <c r="C19" s="3">
        <f t="shared" ref="C19:C30" si="3">E19*3+F19</f>
        <v>38</v>
      </c>
      <c r="D19">
        <v>22</v>
      </c>
      <c r="E19">
        <v>11</v>
      </c>
      <c r="F19">
        <v>5</v>
      </c>
      <c r="G19">
        <f t="shared" ref="G19:G30" si="4">D19-E19-F19</f>
        <v>6</v>
      </c>
      <c r="H19">
        <v>41</v>
      </c>
      <c r="I19">
        <v>28</v>
      </c>
      <c r="J19">
        <f t="shared" ref="J19:J30" si="5">H19-I19</f>
        <v>13</v>
      </c>
      <c r="O19" t="s">
        <v>261</v>
      </c>
      <c r="P19" t="s">
        <v>268</v>
      </c>
      <c r="Q19" t="s">
        <v>233</v>
      </c>
    </row>
    <row r="20" spans="1:17" x14ac:dyDescent="0.3">
      <c r="A20" t="s">
        <v>16</v>
      </c>
      <c r="B20" t="s">
        <v>261</v>
      </c>
      <c r="C20" s="3">
        <f t="shared" si="3"/>
        <v>37</v>
      </c>
      <c r="D20">
        <v>22</v>
      </c>
      <c r="E20">
        <v>11</v>
      </c>
      <c r="F20">
        <v>4</v>
      </c>
      <c r="G20">
        <f t="shared" si="4"/>
        <v>7</v>
      </c>
      <c r="H20">
        <v>35</v>
      </c>
      <c r="I20">
        <v>32</v>
      </c>
      <c r="J20">
        <f t="shared" si="5"/>
        <v>3</v>
      </c>
    </row>
    <row r="21" spans="1:17" x14ac:dyDescent="0.3">
      <c r="A21" t="s">
        <v>21</v>
      </c>
      <c r="B21" t="s">
        <v>233</v>
      </c>
      <c r="C21" s="3">
        <f t="shared" si="3"/>
        <v>34</v>
      </c>
      <c r="D21">
        <v>22</v>
      </c>
      <c r="E21">
        <v>10</v>
      </c>
      <c r="F21">
        <v>4</v>
      </c>
      <c r="G21">
        <f t="shared" si="4"/>
        <v>8</v>
      </c>
      <c r="H21">
        <v>31</v>
      </c>
      <c r="I21">
        <v>32</v>
      </c>
      <c r="J21">
        <f t="shared" si="5"/>
        <v>-1</v>
      </c>
    </row>
    <row r="22" spans="1:17" x14ac:dyDescent="0.3">
      <c r="A22" t="s">
        <v>24</v>
      </c>
      <c r="B22" t="s">
        <v>262</v>
      </c>
      <c r="C22" s="3">
        <f t="shared" si="3"/>
        <v>34</v>
      </c>
      <c r="D22">
        <v>22</v>
      </c>
      <c r="E22">
        <v>11</v>
      </c>
      <c r="F22">
        <v>1</v>
      </c>
      <c r="G22">
        <f t="shared" si="4"/>
        <v>10</v>
      </c>
      <c r="H22">
        <v>27</v>
      </c>
      <c r="I22">
        <v>29</v>
      </c>
      <c r="J22">
        <f t="shared" si="5"/>
        <v>-2</v>
      </c>
    </row>
    <row r="23" spans="1:17" x14ac:dyDescent="0.3">
      <c r="A23" t="s">
        <v>27</v>
      </c>
      <c r="B23" t="s">
        <v>258</v>
      </c>
      <c r="C23" s="3">
        <f t="shared" si="3"/>
        <v>32</v>
      </c>
      <c r="D23">
        <v>22</v>
      </c>
      <c r="E23">
        <v>8</v>
      </c>
      <c r="F23">
        <v>8</v>
      </c>
      <c r="G23">
        <f t="shared" si="4"/>
        <v>6</v>
      </c>
      <c r="H23">
        <v>41</v>
      </c>
      <c r="I23">
        <v>37</v>
      </c>
      <c r="J23">
        <f t="shared" si="5"/>
        <v>4</v>
      </c>
    </row>
    <row r="24" spans="1:17" x14ac:dyDescent="0.3">
      <c r="A24" t="s">
        <v>31</v>
      </c>
      <c r="B24" t="s">
        <v>26</v>
      </c>
      <c r="C24" s="3">
        <f t="shared" si="3"/>
        <v>32</v>
      </c>
      <c r="D24">
        <v>22</v>
      </c>
      <c r="E24">
        <v>9</v>
      </c>
      <c r="F24">
        <v>5</v>
      </c>
      <c r="G24">
        <f t="shared" si="4"/>
        <v>8</v>
      </c>
      <c r="H24">
        <v>40</v>
      </c>
      <c r="I24">
        <v>39</v>
      </c>
      <c r="J24">
        <f t="shared" si="5"/>
        <v>1</v>
      </c>
    </row>
    <row r="25" spans="1:17" x14ac:dyDescent="0.3">
      <c r="A25" t="s">
        <v>34</v>
      </c>
      <c r="B25" t="s">
        <v>257</v>
      </c>
      <c r="C25" s="3">
        <f t="shared" si="3"/>
        <v>31</v>
      </c>
      <c r="D25">
        <v>22</v>
      </c>
      <c r="E25">
        <v>8</v>
      </c>
      <c r="F25">
        <v>7</v>
      </c>
      <c r="G25">
        <f t="shared" si="4"/>
        <v>7</v>
      </c>
      <c r="H25">
        <v>31</v>
      </c>
      <c r="I25">
        <v>28</v>
      </c>
      <c r="J25">
        <f t="shared" si="5"/>
        <v>3</v>
      </c>
    </row>
    <row r="26" spans="1:17" x14ac:dyDescent="0.3">
      <c r="A26" t="s">
        <v>37</v>
      </c>
      <c r="B26" t="s">
        <v>263</v>
      </c>
      <c r="C26" s="3">
        <f t="shared" si="3"/>
        <v>31</v>
      </c>
      <c r="D26">
        <v>22</v>
      </c>
      <c r="E26">
        <v>9</v>
      </c>
      <c r="F26">
        <v>4</v>
      </c>
      <c r="G26">
        <f t="shared" si="4"/>
        <v>9</v>
      </c>
      <c r="H26">
        <v>34</v>
      </c>
      <c r="I26">
        <v>34</v>
      </c>
      <c r="J26">
        <f t="shared" si="5"/>
        <v>0</v>
      </c>
    </row>
    <row r="27" spans="1:17" x14ac:dyDescent="0.3">
      <c r="A27" t="s">
        <v>38</v>
      </c>
      <c r="B27" t="s">
        <v>265</v>
      </c>
      <c r="C27" s="3">
        <f t="shared" si="3"/>
        <v>29</v>
      </c>
      <c r="D27">
        <v>22</v>
      </c>
      <c r="E27">
        <v>8</v>
      </c>
      <c r="F27">
        <v>5</v>
      </c>
      <c r="G27">
        <f t="shared" si="4"/>
        <v>9</v>
      </c>
      <c r="H27">
        <v>31</v>
      </c>
      <c r="I27">
        <v>33</v>
      </c>
      <c r="J27">
        <f t="shared" si="5"/>
        <v>-2</v>
      </c>
    </row>
    <row r="28" spans="1:17" x14ac:dyDescent="0.3">
      <c r="A28" t="s">
        <v>41</v>
      </c>
      <c r="B28" t="s">
        <v>259</v>
      </c>
      <c r="C28" s="3">
        <f t="shared" si="3"/>
        <v>24</v>
      </c>
      <c r="D28">
        <v>22</v>
      </c>
      <c r="E28">
        <v>5</v>
      </c>
      <c r="F28">
        <v>9</v>
      </c>
      <c r="G28">
        <f t="shared" si="4"/>
        <v>8</v>
      </c>
      <c r="H28">
        <v>35</v>
      </c>
      <c r="I28">
        <v>40</v>
      </c>
      <c r="J28">
        <f t="shared" si="5"/>
        <v>-5</v>
      </c>
    </row>
    <row r="29" spans="1:17" x14ac:dyDescent="0.3">
      <c r="A29" t="s">
        <v>43</v>
      </c>
      <c r="B29" t="s">
        <v>256</v>
      </c>
      <c r="C29" s="3">
        <f t="shared" si="3"/>
        <v>23</v>
      </c>
      <c r="D29">
        <v>22</v>
      </c>
      <c r="E29">
        <v>6</v>
      </c>
      <c r="F29">
        <v>5</v>
      </c>
      <c r="G29">
        <f t="shared" si="4"/>
        <v>11</v>
      </c>
      <c r="H29">
        <v>26</v>
      </c>
      <c r="I29">
        <v>35</v>
      </c>
      <c r="J29">
        <f t="shared" si="5"/>
        <v>-9</v>
      </c>
    </row>
    <row r="30" spans="1:17" x14ac:dyDescent="0.3">
      <c r="A30" t="s">
        <v>44</v>
      </c>
      <c r="B30" t="s">
        <v>264</v>
      </c>
      <c r="C30" s="3">
        <f t="shared" si="3"/>
        <v>20</v>
      </c>
      <c r="D30">
        <v>22</v>
      </c>
      <c r="E30">
        <v>5</v>
      </c>
      <c r="F30">
        <v>5</v>
      </c>
      <c r="G30">
        <f t="shared" si="4"/>
        <v>12</v>
      </c>
      <c r="H30">
        <v>25</v>
      </c>
      <c r="I30">
        <v>40</v>
      </c>
      <c r="J30">
        <f t="shared" si="5"/>
        <v>-15</v>
      </c>
    </row>
  </sheetData>
  <sortState xmlns:xlrd2="http://schemas.microsoft.com/office/spreadsheetml/2017/richdata2" ref="M2:N13">
    <sortCondition descending="1" ref="N2:N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E968-472B-419E-80DC-84AC0E4D15AF}">
  <dimension ref="A1:AF49"/>
  <sheetViews>
    <sheetView workbookViewId="0">
      <selection activeCell="C3" sqref="C3:C18"/>
    </sheetView>
  </sheetViews>
  <sheetFormatPr defaultRowHeight="14.4" x14ac:dyDescent="0.3"/>
  <cols>
    <col min="2" max="2" width="19.6640625" customWidth="1"/>
    <col min="12" max="12" width="16" customWidth="1"/>
    <col min="13" max="13" width="18.88671875" customWidth="1"/>
    <col min="14" max="14" width="10.21875" customWidth="1"/>
    <col min="16" max="16" width="10.77734375" customWidth="1"/>
    <col min="18" max="18" width="12.44140625" customWidth="1"/>
    <col min="20" max="20" width="20.6640625" customWidth="1"/>
    <col min="21" max="21" width="19.44140625" customWidth="1"/>
    <col min="22" max="22" width="19" customWidth="1"/>
    <col min="24" max="24" width="12.21875" customWidth="1"/>
    <col min="26" max="26" width="19.33203125" customWidth="1"/>
    <col min="31" max="31" width="10.33203125" customWidth="1"/>
  </cols>
  <sheetData>
    <row r="1" spans="1:32" x14ac:dyDescent="0.3">
      <c r="A1" t="s">
        <v>0</v>
      </c>
      <c r="L1" t="s">
        <v>2</v>
      </c>
      <c r="T1" t="s">
        <v>289</v>
      </c>
      <c r="AE1" t="s">
        <v>166</v>
      </c>
    </row>
    <row r="2" spans="1:32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s="1" t="s">
        <v>4</v>
      </c>
      <c r="M2" t="s">
        <v>281</v>
      </c>
      <c r="T2" t="s">
        <v>3</v>
      </c>
      <c r="AE2" t="s">
        <v>281</v>
      </c>
      <c r="AF2">
        <v>1</v>
      </c>
    </row>
    <row r="3" spans="1:32" x14ac:dyDescent="0.3">
      <c r="A3" s="2" t="s">
        <v>4</v>
      </c>
      <c r="B3" t="s">
        <v>274</v>
      </c>
      <c r="C3" s="3">
        <f t="shared" ref="C3:C20" si="0">E3*3+F3</f>
        <v>28</v>
      </c>
      <c r="D3">
        <v>17</v>
      </c>
      <c r="E3">
        <v>8</v>
      </c>
      <c r="F3">
        <v>4</v>
      </c>
      <c r="G3">
        <f>D3-E3-F3</f>
        <v>5</v>
      </c>
      <c r="H3">
        <v>26</v>
      </c>
      <c r="I3">
        <v>18</v>
      </c>
      <c r="J3">
        <f>H3-I3</f>
        <v>8</v>
      </c>
      <c r="L3" s="1" t="s">
        <v>16</v>
      </c>
      <c r="M3" t="s">
        <v>271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E3" t="s">
        <v>277</v>
      </c>
      <c r="AF3">
        <v>1</v>
      </c>
    </row>
    <row r="4" spans="1:32" x14ac:dyDescent="0.3">
      <c r="A4" t="s">
        <v>16</v>
      </c>
      <c r="B4" t="s">
        <v>284</v>
      </c>
      <c r="C4" s="3">
        <f t="shared" si="0"/>
        <v>27</v>
      </c>
      <c r="D4">
        <v>17</v>
      </c>
      <c r="E4">
        <v>8</v>
      </c>
      <c r="F4">
        <v>3</v>
      </c>
      <c r="G4">
        <f t="shared" ref="G4:G20" si="1">D4-E4-F4</f>
        <v>6</v>
      </c>
      <c r="H4">
        <v>28</v>
      </c>
      <c r="I4">
        <v>23</v>
      </c>
      <c r="J4">
        <f t="shared" ref="J4:J20" si="2">H4-I4</f>
        <v>5</v>
      </c>
      <c r="L4" s="11" t="s">
        <v>21</v>
      </c>
      <c r="M4" t="s">
        <v>275</v>
      </c>
      <c r="T4" s="2" t="s">
        <v>4</v>
      </c>
      <c r="U4" t="s">
        <v>272</v>
      </c>
      <c r="V4" s="3">
        <f>X4*3+Y4</f>
        <v>2</v>
      </c>
      <c r="W4">
        <v>2</v>
      </c>
      <c r="X4">
        <v>0</v>
      </c>
      <c r="Y4">
        <v>2</v>
      </c>
      <c r="Z4">
        <f>W4-X4-Y4</f>
        <v>0</v>
      </c>
      <c r="AA4">
        <v>3</v>
      </c>
      <c r="AB4">
        <v>3</v>
      </c>
      <c r="AC4">
        <f>AA4-AB4</f>
        <v>0</v>
      </c>
    </row>
    <row r="5" spans="1:32" x14ac:dyDescent="0.3">
      <c r="A5" t="s">
        <v>21</v>
      </c>
      <c r="B5" t="s">
        <v>275</v>
      </c>
      <c r="C5" s="3">
        <f t="shared" si="0"/>
        <v>26</v>
      </c>
      <c r="D5">
        <v>17</v>
      </c>
      <c r="E5">
        <v>7</v>
      </c>
      <c r="F5">
        <v>5</v>
      </c>
      <c r="G5">
        <f t="shared" si="1"/>
        <v>5</v>
      </c>
      <c r="H5">
        <v>30</v>
      </c>
      <c r="I5">
        <v>26</v>
      </c>
      <c r="J5">
        <f t="shared" si="2"/>
        <v>4</v>
      </c>
      <c r="L5" s="11" t="s">
        <v>24</v>
      </c>
      <c r="M5" t="s">
        <v>278</v>
      </c>
      <c r="T5" t="s">
        <v>16</v>
      </c>
      <c r="U5" t="s">
        <v>275</v>
      </c>
      <c r="V5" s="3">
        <f>X5*3+Y5</f>
        <v>2</v>
      </c>
      <c r="W5">
        <v>2</v>
      </c>
      <c r="X5">
        <v>0</v>
      </c>
      <c r="Y5">
        <v>2</v>
      </c>
      <c r="Z5">
        <f t="shared" ref="Z5:Z6" si="3">W5-X5-Y5</f>
        <v>0</v>
      </c>
      <c r="AA5">
        <v>3</v>
      </c>
      <c r="AB5">
        <v>3</v>
      </c>
      <c r="AC5">
        <f t="shared" ref="AC5:AC6" si="4">AA5-AB5</f>
        <v>0</v>
      </c>
    </row>
    <row r="6" spans="1:32" x14ac:dyDescent="0.3">
      <c r="A6" t="s">
        <v>24</v>
      </c>
      <c r="B6" t="s">
        <v>278</v>
      </c>
      <c r="C6" s="3">
        <f t="shared" si="0"/>
        <v>25</v>
      </c>
      <c r="D6">
        <v>17</v>
      </c>
      <c r="E6">
        <v>6</v>
      </c>
      <c r="F6">
        <v>7</v>
      </c>
      <c r="G6">
        <f t="shared" si="1"/>
        <v>4</v>
      </c>
      <c r="H6">
        <v>30</v>
      </c>
      <c r="I6">
        <v>23</v>
      </c>
      <c r="J6">
        <f t="shared" si="2"/>
        <v>7</v>
      </c>
      <c r="L6" s="6" t="s">
        <v>27</v>
      </c>
      <c r="M6" t="s">
        <v>287</v>
      </c>
      <c r="T6" t="s">
        <v>21</v>
      </c>
      <c r="U6" t="s">
        <v>282</v>
      </c>
      <c r="V6" s="3">
        <f>X6*3+Y6</f>
        <v>2</v>
      </c>
      <c r="W6">
        <v>2</v>
      </c>
      <c r="X6">
        <v>0</v>
      </c>
      <c r="Y6">
        <v>2</v>
      </c>
      <c r="Z6">
        <f t="shared" si="3"/>
        <v>0</v>
      </c>
      <c r="AA6">
        <v>0</v>
      </c>
      <c r="AB6">
        <v>0</v>
      </c>
      <c r="AC6">
        <f t="shared" si="4"/>
        <v>0</v>
      </c>
    </row>
    <row r="7" spans="1:32" x14ac:dyDescent="0.3">
      <c r="A7" t="s">
        <v>27</v>
      </c>
      <c r="B7" t="s">
        <v>281</v>
      </c>
      <c r="C7" s="3">
        <f t="shared" si="0"/>
        <v>25</v>
      </c>
      <c r="D7">
        <v>17</v>
      </c>
      <c r="E7">
        <v>6</v>
      </c>
      <c r="F7">
        <v>7</v>
      </c>
      <c r="G7">
        <f t="shared" si="1"/>
        <v>4</v>
      </c>
      <c r="H7">
        <v>25</v>
      </c>
      <c r="I7">
        <v>20</v>
      </c>
      <c r="J7">
        <f t="shared" si="2"/>
        <v>5</v>
      </c>
      <c r="L7" s="6" t="s">
        <v>31</v>
      </c>
      <c r="M7" t="s">
        <v>280</v>
      </c>
    </row>
    <row r="8" spans="1:32" x14ac:dyDescent="0.3">
      <c r="A8" t="s">
        <v>31</v>
      </c>
      <c r="B8" t="s">
        <v>286</v>
      </c>
      <c r="C8" s="3">
        <f t="shared" si="0"/>
        <v>25</v>
      </c>
      <c r="D8">
        <v>17</v>
      </c>
      <c r="E8">
        <v>7</v>
      </c>
      <c r="F8">
        <v>4</v>
      </c>
      <c r="G8">
        <f t="shared" si="1"/>
        <v>6</v>
      </c>
      <c r="H8">
        <v>22</v>
      </c>
      <c r="I8">
        <v>20</v>
      </c>
      <c r="J8">
        <f t="shared" si="2"/>
        <v>2</v>
      </c>
      <c r="L8" s="6" t="s">
        <v>34</v>
      </c>
      <c r="M8" t="s">
        <v>272</v>
      </c>
      <c r="T8" t="s">
        <v>56</v>
      </c>
    </row>
    <row r="9" spans="1:32" x14ac:dyDescent="0.3">
      <c r="A9" t="s">
        <v>34</v>
      </c>
      <c r="B9" t="s">
        <v>271</v>
      </c>
      <c r="C9" s="3">
        <f t="shared" si="0"/>
        <v>25</v>
      </c>
      <c r="D9">
        <v>17</v>
      </c>
      <c r="E9">
        <v>7</v>
      </c>
      <c r="F9">
        <v>4</v>
      </c>
      <c r="G9">
        <f t="shared" si="1"/>
        <v>6</v>
      </c>
      <c r="H9">
        <v>22</v>
      </c>
      <c r="I9">
        <v>23</v>
      </c>
      <c r="J9">
        <f t="shared" si="2"/>
        <v>-1</v>
      </c>
      <c r="L9" s="6" t="s">
        <v>37</v>
      </c>
      <c r="M9" t="s">
        <v>277</v>
      </c>
      <c r="T9" t="s">
        <v>6</v>
      </c>
      <c r="U9" t="s">
        <v>7</v>
      </c>
      <c r="V9" t="s">
        <v>8</v>
      </c>
      <c r="W9" t="s">
        <v>9</v>
      </c>
      <c r="X9" t="s">
        <v>10</v>
      </c>
      <c r="Y9" t="s">
        <v>11</v>
      </c>
      <c r="Z9" t="s">
        <v>12</v>
      </c>
      <c r="AA9" t="s">
        <v>13</v>
      </c>
      <c r="AB9" t="s">
        <v>14</v>
      </c>
      <c r="AC9" t="s">
        <v>15</v>
      </c>
    </row>
    <row r="10" spans="1:32" x14ac:dyDescent="0.3">
      <c r="A10" t="s">
        <v>37</v>
      </c>
      <c r="B10" t="s">
        <v>280</v>
      </c>
      <c r="C10" s="3">
        <f t="shared" si="0"/>
        <v>24</v>
      </c>
      <c r="D10">
        <v>17</v>
      </c>
      <c r="E10">
        <v>6</v>
      </c>
      <c r="F10">
        <v>6</v>
      </c>
      <c r="G10">
        <f t="shared" si="1"/>
        <v>5</v>
      </c>
      <c r="H10">
        <v>25</v>
      </c>
      <c r="I10">
        <v>27</v>
      </c>
      <c r="J10">
        <f t="shared" si="2"/>
        <v>-2</v>
      </c>
      <c r="L10" t="s">
        <v>38</v>
      </c>
      <c r="M10" t="s">
        <v>285</v>
      </c>
      <c r="T10" s="2" t="s">
        <v>4</v>
      </c>
      <c r="U10" t="s">
        <v>284</v>
      </c>
      <c r="V10" s="3">
        <f>X10*3+Y10</f>
        <v>6</v>
      </c>
      <c r="W10">
        <v>2</v>
      </c>
      <c r="X10">
        <v>2</v>
      </c>
      <c r="Y10">
        <v>0</v>
      </c>
      <c r="Z10">
        <f>W10-X10-Y10</f>
        <v>0</v>
      </c>
      <c r="AA10">
        <v>3</v>
      </c>
      <c r="AB10">
        <v>0</v>
      </c>
      <c r="AC10">
        <f>AA10-AB10</f>
        <v>3</v>
      </c>
    </row>
    <row r="11" spans="1:32" x14ac:dyDescent="0.3">
      <c r="A11" t="s">
        <v>38</v>
      </c>
      <c r="B11" t="s">
        <v>285</v>
      </c>
      <c r="C11" s="3">
        <f t="shared" si="0"/>
        <v>23</v>
      </c>
      <c r="D11">
        <v>17</v>
      </c>
      <c r="E11">
        <v>6</v>
      </c>
      <c r="F11">
        <v>5</v>
      </c>
      <c r="G11">
        <f t="shared" si="1"/>
        <v>6</v>
      </c>
      <c r="H11">
        <v>23</v>
      </c>
      <c r="I11">
        <v>20</v>
      </c>
      <c r="J11">
        <f t="shared" si="2"/>
        <v>3</v>
      </c>
      <c r="L11" t="s">
        <v>41</v>
      </c>
      <c r="M11" t="s">
        <v>283</v>
      </c>
      <c r="T11" s="5" t="s">
        <v>16</v>
      </c>
      <c r="U11" t="s">
        <v>276</v>
      </c>
      <c r="V11" s="3">
        <f>X11*3+Y11</f>
        <v>3</v>
      </c>
      <c r="W11">
        <v>2</v>
      </c>
      <c r="X11">
        <v>1</v>
      </c>
      <c r="Y11">
        <v>0</v>
      </c>
      <c r="Z11">
        <f t="shared" ref="Z11:Z12" si="5">W11-X11-Y11</f>
        <v>1</v>
      </c>
      <c r="AA11">
        <v>3</v>
      </c>
      <c r="AB11">
        <v>2</v>
      </c>
      <c r="AC11">
        <f t="shared" ref="AC11:AC12" si="6">AA11-AB11</f>
        <v>1</v>
      </c>
    </row>
    <row r="12" spans="1:32" x14ac:dyDescent="0.3">
      <c r="A12" t="s">
        <v>41</v>
      </c>
      <c r="B12" t="s">
        <v>171</v>
      </c>
      <c r="C12" s="3">
        <f t="shared" si="0"/>
        <v>23</v>
      </c>
      <c r="D12">
        <v>17</v>
      </c>
      <c r="E12">
        <v>6</v>
      </c>
      <c r="F12">
        <v>5</v>
      </c>
      <c r="G12">
        <f t="shared" si="1"/>
        <v>6</v>
      </c>
      <c r="H12">
        <v>23</v>
      </c>
      <c r="I12">
        <v>20</v>
      </c>
      <c r="J12">
        <f t="shared" si="2"/>
        <v>3</v>
      </c>
      <c r="L12" t="s">
        <v>43</v>
      </c>
      <c r="M12" t="s">
        <v>286</v>
      </c>
      <c r="T12" t="s">
        <v>21</v>
      </c>
      <c r="U12" t="s">
        <v>171</v>
      </c>
      <c r="V12" s="3">
        <f>X12*3+Y12</f>
        <v>0</v>
      </c>
      <c r="W12">
        <v>2</v>
      </c>
      <c r="X12">
        <v>0</v>
      </c>
      <c r="Y12">
        <v>0</v>
      </c>
      <c r="Z12">
        <f t="shared" si="5"/>
        <v>2</v>
      </c>
      <c r="AA12">
        <v>0</v>
      </c>
      <c r="AB12">
        <v>4</v>
      </c>
      <c r="AC12">
        <f t="shared" si="6"/>
        <v>-4</v>
      </c>
    </row>
    <row r="13" spans="1:32" x14ac:dyDescent="0.3">
      <c r="A13" t="s">
        <v>43</v>
      </c>
      <c r="B13" t="s">
        <v>287</v>
      </c>
      <c r="C13" s="3">
        <f t="shared" si="0"/>
        <v>23</v>
      </c>
      <c r="D13">
        <v>17</v>
      </c>
      <c r="E13">
        <v>5</v>
      </c>
      <c r="F13">
        <v>8</v>
      </c>
      <c r="G13">
        <f t="shared" si="1"/>
        <v>4</v>
      </c>
      <c r="H13">
        <v>20</v>
      </c>
      <c r="I13">
        <v>21</v>
      </c>
      <c r="J13">
        <f t="shared" si="2"/>
        <v>-1</v>
      </c>
      <c r="L13" t="s">
        <v>44</v>
      </c>
      <c r="M13" t="s">
        <v>171</v>
      </c>
    </row>
    <row r="14" spans="1:32" x14ac:dyDescent="0.3">
      <c r="A14" t="s">
        <v>44</v>
      </c>
      <c r="B14" t="s">
        <v>283</v>
      </c>
      <c r="C14" s="3">
        <f t="shared" si="0"/>
        <v>23</v>
      </c>
      <c r="D14">
        <v>17</v>
      </c>
      <c r="E14">
        <v>6</v>
      </c>
      <c r="F14">
        <v>5</v>
      </c>
      <c r="G14">
        <f t="shared" si="1"/>
        <v>6</v>
      </c>
      <c r="H14">
        <v>25</v>
      </c>
      <c r="I14">
        <v>28</v>
      </c>
      <c r="J14">
        <f t="shared" si="2"/>
        <v>-3</v>
      </c>
      <c r="L14" s="8" t="s">
        <v>47</v>
      </c>
      <c r="M14" t="s">
        <v>284</v>
      </c>
      <c r="T14" t="s">
        <v>187</v>
      </c>
    </row>
    <row r="15" spans="1:32" x14ac:dyDescent="0.3">
      <c r="A15" t="s">
        <v>47</v>
      </c>
      <c r="B15" t="s">
        <v>273</v>
      </c>
      <c r="C15" s="3">
        <f t="shared" si="0"/>
        <v>22</v>
      </c>
      <c r="D15">
        <v>17</v>
      </c>
      <c r="E15">
        <v>7</v>
      </c>
      <c r="F15">
        <v>1</v>
      </c>
      <c r="G15">
        <f t="shared" si="1"/>
        <v>9</v>
      </c>
      <c r="H15">
        <v>27</v>
      </c>
      <c r="I15">
        <v>28</v>
      </c>
      <c r="J15">
        <f t="shared" si="2"/>
        <v>-1</v>
      </c>
      <c r="L15" t="s">
        <v>49</v>
      </c>
      <c r="M15" t="s">
        <v>274</v>
      </c>
      <c r="T15" t="s">
        <v>6</v>
      </c>
      <c r="U15" t="s">
        <v>7</v>
      </c>
      <c r="V15" t="s">
        <v>8</v>
      </c>
      <c r="W15" t="s">
        <v>9</v>
      </c>
      <c r="X15" t="s">
        <v>10</v>
      </c>
      <c r="Y15" t="s">
        <v>11</v>
      </c>
      <c r="Z15" t="s">
        <v>12</v>
      </c>
      <c r="AA15" t="s">
        <v>13</v>
      </c>
      <c r="AB15" t="s">
        <v>14</v>
      </c>
      <c r="AC15" t="s">
        <v>15</v>
      </c>
    </row>
    <row r="16" spans="1:32" x14ac:dyDescent="0.3">
      <c r="A16" t="s">
        <v>49</v>
      </c>
      <c r="B16" t="s">
        <v>277</v>
      </c>
      <c r="C16" s="3">
        <f t="shared" si="0"/>
        <v>22</v>
      </c>
      <c r="D16">
        <v>17</v>
      </c>
      <c r="E16">
        <v>5</v>
      </c>
      <c r="F16">
        <v>7</v>
      </c>
      <c r="G16">
        <f t="shared" si="1"/>
        <v>5</v>
      </c>
      <c r="H16">
        <v>21</v>
      </c>
      <c r="I16">
        <v>23</v>
      </c>
      <c r="J16">
        <f t="shared" si="2"/>
        <v>-2</v>
      </c>
      <c r="L16" t="s">
        <v>51</v>
      </c>
      <c r="M16" t="s">
        <v>279</v>
      </c>
      <c r="T16" s="2" t="s">
        <v>4</v>
      </c>
      <c r="U16" t="s">
        <v>278</v>
      </c>
      <c r="V16" s="3">
        <f>X16*3+Y16</f>
        <v>4</v>
      </c>
      <c r="W16">
        <v>2</v>
      </c>
      <c r="X16">
        <v>1</v>
      </c>
      <c r="Y16">
        <v>1</v>
      </c>
      <c r="Z16">
        <f>W16-X16-Y16</f>
        <v>0</v>
      </c>
      <c r="AA16">
        <v>1</v>
      </c>
      <c r="AB16">
        <v>0</v>
      </c>
      <c r="AC16">
        <f>AA16-AB16</f>
        <v>1</v>
      </c>
    </row>
    <row r="17" spans="1:29" x14ac:dyDescent="0.3">
      <c r="A17" t="s">
        <v>51</v>
      </c>
      <c r="B17" t="s">
        <v>282</v>
      </c>
      <c r="C17" s="3">
        <f t="shared" si="0"/>
        <v>21</v>
      </c>
      <c r="D17">
        <v>17</v>
      </c>
      <c r="E17">
        <v>6</v>
      </c>
      <c r="F17">
        <v>3</v>
      </c>
      <c r="G17">
        <f t="shared" si="1"/>
        <v>8</v>
      </c>
      <c r="H17">
        <v>18</v>
      </c>
      <c r="I17">
        <v>21</v>
      </c>
      <c r="J17">
        <f t="shared" si="2"/>
        <v>-3</v>
      </c>
      <c r="L17" t="s">
        <v>53</v>
      </c>
      <c r="M17" t="s">
        <v>276</v>
      </c>
      <c r="T17" s="5" t="s">
        <v>16</v>
      </c>
      <c r="U17" t="s">
        <v>277</v>
      </c>
      <c r="V17" s="3">
        <f>X17*3+Y17</f>
        <v>3</v>
      </c>
      <c r="W17">
        <v>2</v>
      </c>
      <c r="X17">
        <v>1</v>
      </c>
      <c r="Y17">
        <v>0</v>
      </c>
      <c r="Z17">
        <f t="shared" ref="Z17:Z18" si="7">W17-X17-Y17</f>
        <v>1</v>
      </c>
      <c r="AA17">
        <v>2</v>
      </c>
      <c r="AB17">
        <v>1</v>
      </c>
      <c r="AC17">
        <f t="shared" ref="AC17:AC18" si="8">AA17-AB17</f>
        <v>1</v>
      </c>
    </row>
    <row r="18" spans="1:29" x14ac:dyDescent="0.3">
      <c r="A18" t="s">
        <v>53</v>
      </c>
      <c r="B18" t="s">
        <v>272</v>
      </c>
      <c r="C18" s="3">
        <f t="shared" si="0"/>
        <v>21</v>
      </c>
      <c r="D18">
        <v>17</v>
      </c>
      <c r="E18">
        <v>6</v>
      </c>
      <c r="F18">
        <v>3</v>
      </c>
      <c r="G18">
        <f t="shared" si="1"/>
        <v>8</v>
      </c>
      <c r="H18">
        <v>17</v>
      </c>
      <c r="I18">
        <v>26</v>
      </c>
      <c r="J18">
        <f t="shared" si="2"/>
        <v>-9</v>
      </c>
      <c r="L18" t="s">
        <v>54</v>
      </c>
      <c r="M18" t="s">
        <v>282</v>
      </c>
      <c r="T18" t="s">
        <v>21</v>
      </c>
      <c r="U18" t="s">
        <v>287</v>
      </c>
      <c r="V18" s="3">
        <f>X18*3+Y18</f>
        <v>1</v>
      </c>
      <c r="W18">
        <v>2</v>
      </c>
      <c r="X18">
        <v>0</v>
      </c>
      <c r="Y18">
        <v>1</v>
      </c>
      <c r="Z18">
        <f t="shared" si="7"/>
        <v>1</v>
      </c>
      <c r="AA18">
        <v>0</v>
      </c>
      <c r="AB18">
        <v>2</v>
      </c>
      <c r="AC18">
        <f t="shared" si="8"/>
        <v>-2</v>
      </c>
    </row>
    <row r="19" spans="1:29" x14ac:dyDescent="0.3">
      <c r="A19" t="s">
        <v>54</v>
      </c>
      <c r="B19" t="s">
        <v>279</v>
      </c>
      <c r="C19" s="3">
        <f t="shared" si="0"/>
        <v>19</v>
      </c>
      <c r="D19">
        <v>17</v>
      </c>
      <c r="E19">
        <v>4</v>
      </c>
      <c r="F19">
        <v>7</v>
      </c>
      <c r="G19">
        <f t="shared" si="1"/>
        <v>6</v>
      </c>
      <c r="H19">
        <v>20</v>
      </c>
      <c r="I19">
        <v>24</v>
      </c>
      <c r="J19">
        <f t="shared" si="2"/>
        <v>-4</v>
      </c>
      <c r="L19" t="s">
        <v>55</v>
      </c>
      <c r="M19" t="s">
        <v>273</v>
      </c>
    </row>
    <row r="20" spans="1:29" x14ac:dyDescent="0.3">
      <c r="A20" t="s">
        <v>55</v>
      </c>
      <c r="B20" t="s">
        <v>276</v>
      </c>
      <c r="C20" s="3">
        <f t="shared" si="0"/>
        <v>12</v>
      </c>
      <c r="D20">
        <v>17</v>
      </c>
      <c r="E20">
        <v>2</v>
      </c>
      <c r="F20">
        <v>6</v>
      </c>
      <c r="G20">
        <f t="shared" si="1"/>
        <v>9</v>
      </c>
      <c r="H20">
        <v>16</v>
      </c>
      <c r="I20">
        <v>27</v>
      </c>
      <c r="J20">
        <f t="shared" si="2"/>
        <v>-11</v>
      </c>
      <c r="T20" t="s">
        <v>188</v>
      </c>
    </row>
    <row r="21" spans="1:29" x14ac:dyDescent="0.3">
      <c r="C21" s="3"/>
      <c r="D21" s="3"/>
      <c r="E21" s="3"/>
      <c r="F21" s="3"/>
      <c r="G21" s="3"/>
      <c r="H21" s="3"/>
      <c r="I21" s="3"/>
      <c r="J21" s="3"/>
      <c r="L21" t="s">
        <v>96</v>
      </c>
      <c r="T21" t="s">
        <v>6</v>
      </c>
      <c r="U21" t="s">
        <v>7</v>
      </c>
      <c r="V21" t="s">
        <v>8</v>
      </c>
      <c r="W21" t="s">
        <v>9</v>
      </c>
      <c r="X21" t="s">
        <v>10</v>
      </c>
      <c r="Y21" t="s">
        <v>11</v>
      </c>
      <c r="Z21" t="s">
        <v>12</v>
      </c>
      <c r="AA21" t="s">
        <v>13</v>
      </c>
      <c r="AB21" t="s">
        <v>14</v>
      </c>
      <c r="AC21" t="s">
        <v>15</v>
      </c>
    </row>
    <row r="22" spans="1:29" x14ac:dyDescent="0.3">
      <c r="A22" t="s">
        <v>1</v>
      </c>
      <c r="C22" s="3"/>
      <c r="D22" s="3"/>
      <c r="E22" s="3"/>
      <c r="F22" s="3"/>
      <c r="G22" s="3"/>
      <c r="H22" s="3"/>
      <c r="I22" s="3"/>
      <c r="J22" s="3"/>
      <c r="L22" t="s">
        <v>271</v>
      </c>
      <c r="M22" t="s">
        <v>146</v>
      </c>
      <c r="N22" t="s">
        <v>281</v>
      </c>
      <c r="P22" t="s">
        <v>281</v>
      </c>
      <c r="Q22" t="s">
        <v>288</v>
      </c>
      <c r="R22" t="s">
        <v>271</v>
      </c>
      <c r="T22" s="2" t="s">
        <v>4</v>
      </c>
      <c r="U22" t="s">
        <v>274</v>
      </c>
      <c r="V22" s="3">
        <f>X22*3+Y22</f>
        <v>6</v>
      </c>
      <c r="W22">
        <v>2</v>
      </c>
      <c r="X22">
        <v>2</v>
      </c>
      <c r="Y22">
        <v>0</v>
      </c>
      <c r="Z22">
        <f>W22-X22-Y22</f>
        <v>0</v>
      </c>
      <c r="AA22">
        <v>2</v>
      </c>
      <c r="AB22">
        <v>0</v>
      </c>
      <c r="AC22">
        <f>AA22-AB22</f>
        <v>2</v>
      </c>
    </row>
    <row r="23" spans="1:29" x14ac:dyDescent="0.3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  <c r="T23" t="s">
        <v>16</v>
      </c>
      <c r="U23" t="s">
        <v>281</v>
      </c>
      <c r="V23" s="3">
        <f>X23*3+Y23</f>
        <v>3</v>
      </c>
      <c r="W23">
        <v>2</v>
      </c>
      <c r="X23">
        <v>1</v>
      </c>
      <c r="Y23">
        <v>0</v>
      </c>
      <c r="Z23">
        <f t="shared" ref="Z23:Z24" si="9">W23-X23-Y23</f>
        <v>1</v>
      </c>
      <c r="AA23">
        <v>2</v>
      </c>
      <c r="AB23">
        <v>1</v>
      </c>
      <c r="AC23">
        <f t="shared" ref="AC23:AC24" si="10">AA23-AB23</f>
        <v>1</v>
      </c>
    </row>
    <row r="24" spans="1:29" x14ac:dyDescent="0.3">
      <c r="A24" s="2" t="s">
        <v>4</v>
      </c>
      <c r="B24" t="s">
        <v>281</v>
      </c>
      <c r="C24" s="3">
        <f t="shared" ref="C24:C41" si="11">E24*3+F24</f>
        <v>32</v>
      </c>
      <c r="D24">
        <v>17</v>
      </c>
      <c r="E24">
        <v>9</v>
      </c>
      <c r="F24">
        <v>5</v>
      </c>
      <c r="G24">
        <f t="shared" ref="G24:G41" si="12">D24-E24-F24</f>
        <v>3</v>
      </c>
      <c r="H24">
        <v>24</v>
      </c>
      <c r="I24">
        <v>15</v>
      </c>
      <c r="J24">
        <f t="shared" ref="J24:J41" si="13">H24-I24</f>
        <v>9</v>
      </c>
      <c r="T24" t="s">
        <v>21</v>
      </c>
      <c r="U24" t="s">
        <v>283</v>
      </c>
      <c r="V24" s="3">
        <f>X24*3+Y24</f>
        <v>0</v>
      </c>
      <c r="W24">
        <v>2</v>
      </c>
      <c r="X24">
        <v>0</v>
      </c>
      <c r="Y24">
        <v>0</v>
      </c>
      <c r="Z24">
        <f t="shared" si="9"/>
        <v>2</v>
      </c>
      <c r="AA24">
        <v>0</v>
      </c>
      <c r="AB24">
        <v>3</v>
      </c>
      <c r="AC24">
        <f t="shared" si="10"/>
        <v>-3</v>
      </c>
    </row>
    <row r="25" spans="1:29" x14ac:dyDescent="0.3">
      <c r="A25" t="s">
        <v>16</v>
      </c>
      <c r="B25" t="s">
        <v>272</v>
      </c>
      <c r="C25" s="3">
        <f t="shared" si="11"/>
        <v>31</v>
      </c>
      <c r="D25">
        <v>17</v>
      </c>
      <c r="E25">
        <v>9</v>
      </c>
      <c r="F25">
        <v>4</v>
      </c>
      <c r="G25">
        <f t="shared" si="12"/>
        <v>4</v>
      </c>
      <c r="H25">
        <v>27</v>
      </c>
      <c r="I25">
        <v>25</v>
      </c>
      <c r="J25">
        <f t="shared" si="13"/>
        <v>2</v>
      </c>
    </row>
    <row r="26" spans="1:29" x14ac:dyDescent="0.3">
      <c r="A26" t="s">
        <v>21</v>
      </c>
      <c r="B26" t="s">
        <v>271</v>
      </c>
      <c r="C26" s="3">
        <f t="shared" si="11"/>
        <v>30</v>
      </c>
      <c r="D26">
        <v>17</v>
      </c>
      <c r="E26">
        <v>9</v>
      </c>
      <c r="F26">
        <v>3</v>
      </c>
      <c r="G26">
        <f t="shared" si="12"/>
        <v>5</v>
      </c>
      <c r="H26">
        <v>32</v>
      </c>
      <c r="I26">
        <v>23</v>
      </c>
      <c r="J26">
        <f t="shared" si="13"/>
        <v>9</v>
      </c>
      <c r="T26" t="s">
        <v>290</v>
      </c>
    </row>
    <row r="27" spans="1:29" x14ac:dyDescent="0.3">
      <c r="A27" t="s">
        <v>24</v>
      </c>
      <c r="B27" t="s">
        <v>287</v>
      </c>
      <c r="C27" s="3">
        <f t="shared" si="11"/>
        <v>28</v>
      </c>
      <c r="D27">
        <v>17</v>
      </c>
      <c r="E27">
        <v>9</v>
      </c>
      <c r="F27">
        <v>1</v>
      </c>
      <c r="G27">
        <f t="shared" si="12"/>
        <v>7</v>
      </c>
      <c r="H27">
        <v>30</v>
      </c>
      <c r="I27">
        <v>20</v>
      </c>
      <c r="J27">
        <f t="shared" si="13"/>
        <v>10</v>
      </c>
      <c r="T27" t="s">
        <v>6</v>
      </c>
      <c r="U27" t="s">
        <v>7</v>
      </c>
      <c r="V27" t="s">
        <v>8</v>
      </c>
      <c r="W27" t="s">
        <v>9</v>
      </c>
      <c r="X27" t="s">
        <v>10</v>
      </c>
      <c r="Y27" t="s">
        <v>11</v>
      </c>
      <c r="Z27" t="s">
        <v>12</v>
      </c>
      <c r="AA27" t="s">
        <v>13</v>
      </c>
      <c r="AB27" t="s">
        <v>14</v>
      </c>
      <c r="AC27" t="s">
        <v>15</v>
      </c>
    </row>
    <row r="28" spans="1:29" x14ac:dyDescent="0.3">
      <c r="A28" t="s">
        <v>27</v>
      </c>
      <c r="B28" t="s">
        <v>276</v>
      </c>
      <c r="C28" s="3">
        <f t="shared" si="11"/>
        <v>28</v>
      </c>
      <c r="D28">
        <v>17</v>
      </c>
      <c r="E28">
        <v>8</v>
      </c>
      <c r="F28">
        <v>4</v>
      </c>
      <c r="G28">
        <f t="shared" si="12"/>
        <v>5</v>
      </c>
      <c r="H28">
        <v>24</v>
      </c>
      <c r="I28">
        <v>16</v>
      </c>
      <c r="J28">
        <f t="shared" si="13"/>
        <v>8</v>
      </c>
      <c r="T28" s="2" t="s">
        <v>4</v>
      </c>
      <c r="U28" t="s">
        <v>286</v>
      </c>
      <c r="V28" s="3">
        <f>X28*3+Y28</f>
        <v>3</v>
      </c>
      <c r="W28">
        <v>2</v>
      </c>
      <c r="X28">
        <v>1</v>
      </c>
      <c r="Y28">
        <v>0</v>
      </c>
      <c r="Z28">
        <f>W28-X28-Y28</f>
        <v>1</v>
      </c>
      <c r="AA28">
        <v>2</v>
      </c>
      <c r="AB28">
        <v>1</v>
      </c>
      <c r="AC28">
        <f>AA28-AB28</f>
        <v>1</v>
      </c>
    </row>
    <row r="29" spans="1:29" x14ac:dyDescent="0.3">
      <c r="A29" t="s">
        <v>31</v>
      </c>
      <c r="B29" t="s">
        <v>278</v>
      </c>
      <c r="C29" s="3">
        <f t="shared" si="11"/>
        <v>26</v>
      </c>
      <c r="D29">
        <v>17</v>
      </c>
      <c r="E29">
        <v>8</v>
      </c>
      <c r="F29">
        <v>2</v>
      </c>
      <c r="G29">
        <f t="shared" si="12"/>
        <v>7</v>
      </c>
      <c r="H29">
        <v>32</v>
      </c>
      <c r="I29">
        <v>27</v>
      </c>
      <c r="J29">
        <f t="shared" si="13"/>
        <v>5</v>
      </c>
      <c r="T29" t="s">
        <v>16</v>
      </c>
      <c r="U29" t="s">
        <v>280</v>
      </c>
      <c r="V29" s="3">
        <f>X29*3+Y29</f>
        <v>3</v>
      </c>
      <c r="W29">
        <v>2</v>
      </c>
      <c r="X29">
        <v>1</v>
      </c>
      <c r="Y29">
        <v>0</v>
      </c>
      <c r="Z29">
        <f t="shared" ref="Z29:Z30" si="14">W29-X29-Y29</f>
        <v>1</v>
      </c>
      <c r="AA29">
        <v>3</v>
      </c>
      <c r="AB29">
        <v>3</v>
      </c>
      <c r="AC29">
        <f t="shared" ref="AC29:AC30" si="15">AA29-AB29</f>
        <v>0</v>
      </c>
    </row>
    <row r="30" spans="1:29" x14ac:dyDescent="0.3">
      <c r="A30" t="s">
        <v>34</v>
      </c>
      <c r="B30" t="s">
        <v>275</v>
      </c>
      <c r="C30" s="3">
        <f t="shared" si="11"/>
        <v>26</v>
      </c>
      <c r="D30">
        <v>17</v>
      </c>
      <c r="E30">
        <v>8</v>
      </c>
      <c r="F30">
        <v>2</v>
      </c>
      <c r="G30">
        <f t="shared" si="12"/>
        <v>7</v>
      </c>
      <c r="H30">
        <v>21</v>
      </c>
      <c r="I30">
        <v>19</v>
      </c>
      <c r="J30">
        <f t="shared" si="13"/>
        <v>2</v>
      </c>
      <c r="T30" t="s">
        <v>21</v>
      </c>
      <c r="U30" t="s">
        <v>279</v>
      </c>
      <c r="V30" s="3">
        <f>X30*3+Y30</f>
        <v>3</v>
      </c>
      <c r="W30">
        <v>2</v>
      </c>
      <c r="X30">
        <v>1</v>
      </c>
      <c r="Y30">
        <v>0</v>
      </c>
      <c r="Z30">
        <f t="shared" si="14"/>
        <v>1</v>
      </c>
      <c r="AA30">
        <v>3</v>
      </c>
      <c r="AB30">
        <v>4</v>
      </c>
      <c r="AC30">
        <f t="shared" si="15"/>
        <v>-1</v>
      </c>
    </row>
    <row r="31" spans="1:29" x14ac:dyDescent="0.3">
      <c r="A31" t="s">
        <v>37</v>
      </c>
      <c r="B31" t="s">
        <v>280</v>
      </c>
      <c r="C31" s="3">
        <f t="shared" si="11"/>
        <v>25</v>
      </c>
      <c r="D31">
        <v>17</v>
      </c>
      <c r="E31">
        <v>7</v>
      </c>
      <c r="F31">
        <v>4</v>
      </c>
      <c r="G31">
        <f t="shared" si="12"/>
        <v>6</v>
      </c>
      <c r="H31">
        <v>25</v>
      </c>
      <c r="I31">
        <v>21</v>
      </c>
      <c r="J31">
        <f t="shared" si="13"/>
        <v>4</v>
      </c>
    </row>
    <row r="32" spans="1:29" x14ac:dyDescent="0.3">
      <c r="A32" t="s">
        <v>38</v>
      </c>
      <c r="B32" t="s">
        <v>285</v>
      </c>
      <c r="C32" s="3">
        <f t="shared" si="11"/>
        <v>24</v>
      </c>
      <c r="D32">
        <v>17</v>
      </c>
      <c r="E32">
        <v>6</v>
      </c>
      <c r="F32">
        <v>6</v>
      </c>
      <c r="G32">
        <f t="shared" si="12"/>
        <v>5</v>
      </c>
      <c r="H32">
        <v>22</v>
      </c>
      <c r="I32">
        <v>19</v>
      </c>
      <c r="J32">
        <f t="shared" si="13"/>
        <v>3</v>
      </c>
      <c r="T32" t="s">
        <v>291</v>
      </c>
    </row>
    <row r="33" spans="1:29" x14ac:dyDescent="0.3">
      <c r="A33" t="s">
        <v>41</v>
      </c>
      <c r="B33" t="s">
        <v>279</v>
      </c>
      <c r="C33" s="3">
        <f t="shared" si="11"/>
        <v>24</v>
      </c>
      <c r="D33">
        <v>17</v>
      </c>
      <c r="E33">
        <v>6</v>
      </c>
      <c r="F33">
        <v>6</v>
      </c>
      <c r="G33">
        <f t="shared" si="12"/>
        <v>5</v>
      </c>
      <c r="H33">
        <v>22</v>
      </c>
      <c r="I33">
        <v>25</v>
      </c>
      <c r="J33">
        <f t="shared" si="13"/>
        <v>-3</v>
      </c>
      <c r="T33" t="s">
        <v>6</v>
      </c>
      <c r="U33" t="s">
        <v>7</v>
      </c>
      <c r="V33" t="s">
        <v>8</v>
      </c>
      <c r="W33" t="s">
        <v>9</v>
      </c>
      <c r="X33" t="s">
        <v>10</v>
      </c>
      <c r="Y33" t="s">
        <v>11</v>
      </c>
      <c r="Z33" t="s">
        <v>12</v>
      </c>
      <c r="AA33" t="s">
        <v>13</v>
      </c>
      <c r="AB33" t="s">
        <v>14</v>
      </c>
      <c r="AC33" t="s">
        <v>15</v>
      </c>
    </row>
    <row r="34" spans="1:29" x14ac:dyDescent="0.3">
      <c r="A34" t="s">
        <v>43</v>
      </c>
      <c r="B34" t="s">
        <v>277</v>
      </c>
      <c r="C34" s="3">
        <f t="shared" si="11"/>
        <v>24</v>
      </c>
      <c r="D34">
        <v>17</v>
      </c>
      <c r="E34">
        <v>7</v>
      </c>
      <c r="F34">
        <v>3</v>
      </c>
      <c r="G34">
        <f t="shared" si="12"/>
        <v>7</v>
      </c>
      <c r="H34">
        <v>20</v>
      </c>
      <c r="I34">
        <v>23</v>
      </c>
      <c r="J34">
        <f t="shared" si="13"/>
        <v>-3</v>
      </c>
      <c r="T34" s="2" t="s">
        <v>4</v>
      </c>
      <c r="U34" t="s">
        <v>285</v>
      </c>
      <c r="V34" s="3">
        <f>X34*3+Y34</f>
        <v>6</v>
      </c>
      <c r="W34">
        <v>2</v>
      </c>
      <c r="X34">
        <v>2</v>
      </c>
      <c r="Y34">
        <v>0</v>
      </c>
      <c r="Z34">
        <f>W34-X34-Y34</f>
        <v>0</v>
      </c>
      <c r="AA34">
        <v>5</v>
      </c>
      <c r="AB34">
        <v>0</v>
      </c>
      <c r="AC34">
        <f>AA34-AB34</f>
        <v>5</v>
      </c>
    </row>
    <row r="35" spans="1:29" x14ac:dyDescent="0.3">
      <c r="A35" t="s">
        <v>44</v>
      </c>
      <c r="B35" t="s">
        <v>283</v>
      </c>
      <c r="C35" s="3">
        <f t="shared" si="11"/>
        <v>23</v>
      </c>
      <c r="D35">
        <v>17</v>
      </c>
      <c r="E35">
        <v>7</v>
      </c>
      <c r="F35">
        <v>2</v>
      </c>
      <c r="G35">
        <f t="shared" si="12"/>
        <v>8</v>
      </c>
      <c r="H35">
        <v>23</v>
      </c>
      <c r="I35">
        <v>27</v>
      </c>
      <c r="J35">
        <f t="shared" si="13"/>
        <v>-4</v>
      </c>
      <c r="T35" t="s">
        <v>16</v>
      </c>
      <c r="U35" t="s">
        <v>273</v>
      </c>
      <c r="V35" s="3">
        <f>X35*3+Y35</f>
        <v>3</v>
      </c>
      <c r="W35">
        <v>2</v>
      </c>
      <c r="X35">
        <v>1</v>
      </c>
      <c r="Y35">
        <v>0</v>
      </c>
      <c r="Z35">
        <f t="shared" ref="Z35:Z36" si="16">W35-X35-Y35</f>
        <v>1</v>
      </c>
      <c r="AA35">
        <v>1</v>
      </c>
      <c r="AB35">
        <v>3</v>
      </c>
      <c r="AC35">
        <f t="shared" ref="AC35:AC36" si="17">AA35-AB35</f>
        <v>-2</v>
      </c>
    </row>
    <row r="36" spans="1:29" x14ac:dyDescent="0.3">
      <c r="A36" t="s">
        <v>47</v>
      </c>
      <c r="B36" t="s">
        <v>171</v>
      </c>
      <c r="C36" s="3">
        <f t="shared" si="11"/>
        <v>21</v>
      </c>
      <c r="D36">
        <v>17</v>
      </c>
      <c r="E36">
        <v>5</v>
      </c>
      <c r="F36">
        <v>6</v>
      </c>
      <c r="G36">
        <f t="shared" si="12"/>
        <v>6</v>
      </c>
      <c r="H36">
        <v>24</v>
      </c>
      <c r="I36">
        <v>22</v>
      </c>
      <c r="J36">
        <f t="shared" si="13"/>
        <v>2</v>
      </c>
      <c r="T36" t="s">
        <v>21</v>
      </c>
      <c r="U36" t="s">
        <v>271</v>
      </c>
      <c r="V36" s="3">
        <f>X36*3+Y36</f>
        <v>0</v>
      </c>
      <c r="W36">
        <v>2</v>
      </c>
      <c r="X36">
        <v>0</v>
      </c>
      <c r="Y36">
        <v>0</v>
      </c>
      <c r="Z36">
        <f t="shared" si="16"/>
        <v>2</v>
      </c>
      <c r="AA36">
        <v>0</v>
      </c>
      <c r="AB36">
        <v>3</v>
      </c>
      <c r="AC36">
        <f t="shared" si="17"/>
        <v>-3</v>
      </c>
    </row>
    <row r="37" spans="1:29" x14ac:dyDescent="0.3">
      <c r="A37" t="s">
        <v>49</v>
      </c>
      <c r="B37" t="s">
        <v>286</v>
      </c>
      <c r="C37" s="3">
        <f t="shared" si="11"/>
        <v>20</v>
      </c>
      <c r="D37">
        <v>17</v>
      </c>
      <c r="E37">
        <v>6</v>
      </c>
      <c r="F37">
        <v>2</v>
      </c>
      <c r="G37">
        <f t="shared" si="12"/>
        <v>9</v>
      </c>
      <c r="H37">
        <v>20</v>
      </c>
      <c r="I37">
        <v>27</v>
      </c>
      <c r="J37">
        <f t="shared" si="13"/>
        <v>-7</v>
      </c>
    </row>
    <row r="38" spans="1:29" x14ac:dyDescent="0.3">
      <c r="A38" t="s">
        <v>51</v>
      </c>
      <c r="B38" t="s">
        <v>282</v>
      </c>
      <c r="C38" s="3">
        <f t="shared" si="11"/>
        <v>19</v>
      </c>
      <c r="D38">
        <v>17</v>
      </c>
      <c r="E38">
        <v>5</v>
      </c>
      <c r="F38">
        <v>4</v>
      </c>
      <c r="G38">
        <f t="shared" si="12"/>
        <v>8</v>
      </c>
      <c r="H38">
        <v>18</v>
      </c>
      <c r="I38">
        <v>25</v>
      </c>
      <c r="J38">
        <f t="shared" si="13"/>
        <v>-7</v>
      </c>
      <c r="T38" t="s">
        <v>91</v>
      </c>
    </row>
    <row r="39" spans="1:29" x14ac:dyDescent="0.3">
      <c r="A39" t="s">
        <v>53</v>
      </c>
      <c r="B39" t="s">
        <v>284</v>
      </c>
      <c r="C39" s="3">
        <f t="shared" si="11"/>
        <v>17</v>
      </c>
      <c r="D39">
        <v>17</v>
      </c>
      <c r="E39">
        <v>4</v>
      </c>
      <c r="F39">
        <v>5</v>
      </c>
      <c r="G39">
        <f t="shared" si="12"/>
        <v>8</v>
      </c>
      <c r="H39">
        <v>25</v>
      </c>
      <c r="I39">
        <v>31</v>
      </c>
      <c r="J39">
        <f t="shared" si="13"/>
        <v>-6</v>
      </c>
      <c r="T39" t="s">
        <v>285</v>
      </c>
      <c r="U39" t="s">
        <v>80</v>
      </c>
      <c r="V39" t="s">
        <v>277</v>
      </c>
    </row>
    <row r="40" spans="1:29" x14ac:dyDescent="0.3">
      <c r="A40" t="s">
        <v>54</v>
      </c>
      <c r="B40" t="s">
        <v>273</v>
      </c>
      <c r="C40" s="3">
        <f t="shared" si="11"/>
        <v>16</v>
      </c>
      <c r="D40">
        <v>17</v>
      </c>
      <c r="E40">
        <v>4</v>
      </c>
      <c r="F40">
        <v>4</v>
      </c>
      <c r="G40">
        <f t="shared" si="12"/>
        <v>9</v>
      </c>
      <c r="H40">
        <v>15</v>
      </c>
      <c r="I40">
        <v>26</v>
      </c>
      <c r="J40">
        <f t="shared" si="13"/>
        <v>-11</v>
      </c>
      <c r="T40" t="s">
        <v>278</v>
      </c>
      <c r="U40" t="s">
        <v>159</v>
      </c>
      <c r="V40" t="s">
        <v>286</v>
      </c>
    </row>
    <row r="41" spans="1:29" x14ac:dyDescent="0.3">
      <c r="A41" t="s">
        <v>55</v>
      </c>
      <c r="B41" t="s">
        <v>274</v>
      </c>
      <c r="C41" s="3">
        <f t="shared" si="11"/>
        <v>14</v>
      </c>
      <c r="D41">
        <v>17</v>
      </c>
      <c r="E41">
        <v>3</v>
      </c>
      <c r="F41">
        <v>5</v>
      </c>
      <c r="G41">
        <f t="shared" si="12"/>
        <v>9</v>
      </c>
      <c r="H41">
        <v>14</v>
      </c>
      <c r="I41">
        <v>27</v>
      </c>
      <c r="J41">
        <f t="shared" si="13"/>
        <v>-13</v>
      </c>
      <c r="T41" t="s">
        <v>284</v>
      </c>
      <c r="U41" t="s">
        <v>87</v>
      </c>
      <c r="V41" t="s">
        <v>276</v>
      </c>
    </row>
    <row r="42" spans="1:29" x14ac:dyDescent="0.3">
      <c r="T42" t="s">
        <v>274</v>
      </c>
      <c r="U42" t="s">
        <v>83</v>
      </c>
      <c r="V42" t="s">
        <v>272</v>
      </c>
    </row>
    <row r="44" spans="1:29" x14ac:dyDescent="0.3">
      <c r="T44" t="s">
        <v>94</v>
      </c>
    </row>
    <row r="45" spans="1:29" x14ac:dyDescent="0.3">
      <c r="T45" t="s">
        <v>277</v>
      </c>
      <c r="U45" t="s">
        <v>87</v>
      </c>
      <c r="V45" t="s">
        <v>286</v>
      </c>
      <c r="X45" t="s">
        <v>286</v>
      </c>
      <c r="Y45" t="s">
        <v>147</v>
      </c>
      <c r="Z45" t="s">
        <v>277</v>
      </c>
    </row>
    <row r="46" spans="1:29" x14ac:dyDescent="0.3">
      <c r="T46" t="s">
        <v>274</v>
      </c>
      <c r="U46" t="s">
        <v>165</v>
      </c>
      <c r="V46" t="s">
        <v>284</v>
      </c>
      <c r="X46" t="s">
        <v>284</v>
      </c>
      <c r="Y46" t="s">
        <v>80</v>
      </c>
      <c r="Z46" t="s">
        <v>274</v>
      </c>
    </row>
    <row r="48" spans="1:29" x14ac:dyDescent="0.3">
      <c r="T48" t="s">
        <v>96</v>
      </c>
    </row>
    <row r="49" spans="20:22" x14ac:dyDescent="0.3">
      <c r="T49" t="s">
        <v>277</v>
      </c>
      <c r="U49" t="s">
        <v>97</v>
      </c>
      <c r="V49" t="s">
        <v>274</v>
      </c>
    </row>
  </sheetData>
  <sortState xmlns:xlrd2="http://schemas.microsoft.com/office/spreadsheetml/2017/richdata2" ref="B24:J41">
    <sortCondition descending="1" ref="C24:C41"/>
    <sortCondition descending="1" ref="J24:J41"/>
    <sortCondition descending="1" ref="H24:H4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6F9E-E246-4819-B3ED-D88EA556D19E}">
  <dimension ref="A1:AB44"/>
  <sheetViews>
    <sheetView topLeftCell="S1" workbookViewId="0">
      <selection activeCell="C3" sqref="C3:C16"/>
    </sheetView>
  </sheetViews>
  <sheetFormatPr defaultRowHeight="14.4" x14ac:dyDescent="0.3"/>
  <cols>
    <col min="1" max="1" width="10" customWidth="1"/>
    <col min="2" max="2" width="21.5546875" customWidth="1"/>
    <col min="13" max="14" width="20.44140625" customWidth="1"/>
    <col min="23" max="23" width="21" customWidth="1"/>
    <col min="25" max="25" width="20.6640625" customWidth="1"/>
    <col min="27" max="27" width="12.44140625" customWidth="1"/>
  </cols>
  <sheetData>
    <row r="1" spans="1:28" x14ac:dyDescent="0.3">
      <c r="A1" t="s">
        <v>0</v>
      </c>
      <c r="L1" t="s">
        <v>1</v>
      </c>
      <c r="W1" t="s">
        <v>307</v>
      </c>
      <c r="AA1" t="s">
        <v>166</v>
      </c>
    </row>
    <row r="2" spans="1:2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W2" t="s">
        <v>78</v>
      </c>
      <c r="AA2" t="s">
        <v>301</v>
      </c>
      <c r="AB2">
        <v>1</v>
      </c>
    </row>
    <row r="3" spans="1:28" x14ac:dyDescent="0.3">
      <c r="A3" s="2" t="s">
        <v>4</v>
      </c>
      <c r="B3" t="s">
        <v>301</v>
      </c>
      <c r="C3" s="3">
        <f>E3*3+F3</f>
        <v>37</v>
      </c>
      <c r="D3">
        <v>15</v>
      </c>
      <c r="E3">
        <v>12</v>
      </c>
      <c r="F3">
        <v>1</v>
      </c>
      <c r="G3">
        <f t="shared" ref="G3:G11" si="0">D3-E3-F3</f>
        <v>2</v>
      </c>
      <c r="H3">
        <v>41</v>
      </c>
      <c r="I3">
        <v>22</v>
      </c>
      <c r="J3">
        <f>H3-I3</f>
        <v>19</v>
      </c>
      <c r="L3" s="2" t="s">
        <v>4</v>
      </c>
      <c r="M3" t="s">
        <v>302</v>
      </c>
      <c r="N3" s="3">
        <f t="shared" ref="N3:N18" si="1">P3*3+Q3</f>
        <v>28</v>
      </c>
      <c r="O3">
        <v>15</v>
      </c>
      <c r="P3">
        <v>9</v>
      </c>
      <c r="Q3">
        <v>1</v>
      </c>
      <c r="R3">
        <f t="shared" ref="R3:R18" si="2">O3-P3-Q3</f>
        <v>5</v>
      </c>
      <c r="S3">
        <v>24</v>
      </c>
      <c r="T3">
        <v>20</v>
      </c>
      <c r="U3">
        <f t="shared" ref="U3:U18" si="3">S3-T3</f>
        <v>4</v>
      </c>
      <c r="W3" t="s">
        <v>304</v>
      </c>
      <c r="X3" t="s">
        <v>97</v>
      </c>
      <c r="Y3" t="s">
        <v>297</v>
      </c>
      <c r="AA3" t="s">
        <v>303</v>
      </c>
      <c r="AB3">
        <v>1</v>
      </c>
    </row>
    <row r="4" spans="1:28" x14ac:dyDescent="0.3">
      <c r="A4" t="s">
        <v>16</v>
      </c>
      <c r="B4" t="s">
        <v>17</v>
      </c>
      <c r="C4" s="3">
        <f t="shared" ref="C4:C11" si="4">E4*3+F4</f>
        <v>26</v>
      </c>
      <c r="D4">
        <v>15</v>
      </c>
      <c r="E4">
        <v>8</v>
      </c>
      <c r="F4">
        <v>2</v>
      </c>
      <c r="G4">
        <f t="shared" si="0"/>
        <v>5</v>
      </c>
      <c r="H4">
        <v>20</v>
      </c>
      <c r="I4">
        <v>16</v>
      </c>
      <c r="J4">
        <f t="shared" ref="J4:J18" si="5">H4-I4</f>
        <v>4</v>
      </c>
      <c r="L4" t="s">
        <v>16</v>
      </c>
      <c r="M4" t="s">
        <v>297</v>
      </c>
      <c r="N4" s="3">
        <f t="shared" si="1"/>
        <v>27</v>
      </c>
      <c r="O4">
        <v>15</v>
      </c>
      <c r="P4">
        <v>7</v>
      </c>
      <c r="Q4">
        <v>6</v>
      </c>
      <c r="R4">
        <f t="shared" si="2"/>
        <v>2</v>
      </c>
      <c r="S4">
        <v>26</v>
      </c>
      <c r="T4">
        <v>18</v>
      </c>
      <c r="U4">
        <f t="shared" si="3"/>
        <v>8</v>
      </c>
      <c r="W4" t="s">
        <v>296</v>
      </c>
      <c r="X4" t="s">
        <v>84</v>
      </c>
      <c r="Y4" t="s">
        <v>299</v>
      </c>
    </row>
    <row r="5" spans="1:28" x14ac:dyDescent="0.3">
      <c r="A5" t="s">
        <v>21</v>
      </c>
      <c r="B5" t="s">
        <v>292</v>
      </c>
      <c r="C5" s="3">
        <f t="shared" si="4"/>
        <v>26</v>
      </c>
      <c r="D5">
        <v>15</v>
      </c>
      <c r="E5">
        <v>8</v>
      </c>
      <c r="F5">
        <v>2</v>
      </c>
      <c r="G5">
        <f t="shared" si="0"/>
        <v>5</v>
      </c>
      <c r="H5">
        <v>21</v>
      </c>
      <c r="I5">
        <v>20</v>
      </c>
      <c r="J5">
        <f t="shared" si="5"/>
        <v>1</v>
      </c>
      <c r="L5" t="s">
        <v>21</v>
      </c>
      <c r="M5" t="s">
        <v>295</v>
      </c>
      <c r="N5" s="3">
        <f t="shared" si="1"/>
        <v>24</v>
      </c>
      <c r="O5">
        <v>15</v>
      </c>
      <c r="P5">
        <v>7</v>
      </c>
      <c r="Q5">
        <v>3</v>
      </c>
      <c r="R5">
        <f t="shared" si="2"/>
        <v>5</v>
      </c>
      <c r="S5">
        <v>22</v>
      </c>
      <c r="T5">
        <v>21</v>
      </c>
      <c r="U5">
        <f t="shared" si="3"/>
        <v>1</v>
      </c>
      <c r="W5" t="s">
        <v>295</v>
      </c>
      <c r="X5" t="s">
        <v>81</v>
      </c>
      <c r="Y5" t="s">
        <v>257</v>
      </c>
    </row>
    <row r="6" spans="1:28" x14ac:dyDescent="0.3">
      <c r="A6" t="s">
        <v>24</v>
      </c>
      <c r="B6" t="s">
        <v>299</v>
      </c>
      <c r="C6" s="3">
        <f t="shared" si="4"/>
        <v>25</v>
      </c>
      <c r="D6">
        <v>15</v>
      </c>
      <c r="E6">
        <v>7</v>
      </c>
      <c r="F6">
        <v>4</v>
      </c>
      <c r="G6">
        <f>D6-E6-F6</f>
        <v>4</v>
      </c>
      <c r="H6">
        <v>28</v>
      </c>
      <c r="I6">
        <v>22</v>
      </c>
      <c r="J6">
        <f t="shared" si="5"/>
        <v>6</v>
      </c>
      <c r="L6" t="s">
        <v>24</v>
      </c>
      <c r="M6" t="s">
        <v>292</v>
      </c>
      <c r="N6" s="3">
        <f t="shared" si="1"/>
        <v>22</v>
      </c>
      <c r="O6">
        <v>15</v>
      </c>
      <c r="P6">
        <v>6</v>
      </c>
      <c r="Q6">
        <v>4</v>
      </c>
      <c r="R6">
        <f t="shared" si="2"/>
        <v>5</v>
      </c>
      <c r="S6">
        <v>31</v>
      </c>
      <c r="T6">
        <v>23</v>
      </c>
      <c r="U6">
        <f t="shared" si="3"/>
        <v>8</v>
      </c>
      <c r="W6" t="s">
        <v>294</v>
      </c>
      <c r="X6" t="s">
        <v>81</v>
      </c>
      <c r="Y6" t="s">
        <v>301</v>
      </c>
    </row>
    <row r="7" spans="1:28" x14ac:dyDescent="0.3">
      <c r="A7" t="s">
        <v>27</v>
      </c>
      <c r="B7" t="s">
        <v>257</v>
      </c>
      <c r="C7" s="3">
        <f t="shared" si="4"/>
        <v>24</v>
      </c>
      <c r="D7">
        <v>15</v>
      </c>
      <c r="E7">
        <v>8</v>
      </c>
      <c r="F7">
        <v>0</v>
      </c>
      <c r="G7">
        <f t="shared" si="0"/>
        <v>7</v>
      </c>
      <c r="H7">
        <v>26</v>
      </c>
      <c r="I7">
        <v>23</v>
      </c>
      <c r="J7">
        <f t="shared" si="5"/>
        <v>3</v>
      </c>
      <c r="L7" t="s">
        <v>27</v>
      </c>
      <c r="M7" t="s">
        <v>298</v>
      </c>
      <c r="N7" s="3">
        <f t="shared" si="1"/>
        <v>22</v>
      </c>
      <c r="O7">
        <v>15</v>
      </c>
      <c r="P7">
        <v>6</v>
      </c>
      <c r="Q7">
        <v>4</v>
      </c>
      <c r="R7">
        <f t="shared" si="2"/>
        <v>5</v>
      </c>
      <c r="S7">
        <v>23</v>
      </c>
      <c r="T7">
        <v>21</v>
      </c>
      <c r="U7">
        <f t="shared" si="3"/>
        <v>2</v>
      </c>
      <c r="W7" t="s">
        <v>303</v>
      </c>
      <c r="X7" t="s">
        <v>81</v>
      </c>
      <c r="Y7" t="s">
        <v>298</v>
      </c>
    </row>
    <row r="8" spans="1:28" x14ac:dyDescent="0.3">
      <c r="A8" t="s">
        <v>31</v>
      </c>
      <c r="B8" t="s">
        <v>298</v>
      </c>
      <c r="C8" s="3">
        <f t="shared" si="4"/>
        <v>22</v>
      </c>
      <c r="D8">
        <v>15</v>
      </c>
      <c r="E8">
        <v>7</v>
      </c>
      <c r="F8">
        <v>1</v>
      </c>
      <c r="G8">
        <f t="shared" si="0"/>
        <v>7</v>
      </c>
      <c r="H8">
        <v>23</v>
      </c>
      <c r="I8">
        <v>19</v>
      </c>
      <c r="J8">
        <f t="shared" si="5"/>
        <v>4</v>
      </c>
      <c r="L8" t="s">
        <v>31</v>
      </c>
      <c r="M8" t="s">
        <v>294</v>
      </c>
      <c r="N8" s="3">
        <f t="shared" si="1"/>
        <v>22</v>
      </c>
      <c r="O8">
        <v>15</v>
      </c>
      <c r="P8">
        <v>7</v>
      </c>
      <c r="Q8">
        <v>1</v>
      </c>
      <c r="R8">
        <f t="shared" si="2"/>
        <v>7</v>
      </c>
      <c r="S8">
        <v>27</v>
      </c>
      <c r="T8">
        <v>27</v>
      </c>
      <c r="U8">
        <f t="shared" si="3"/>
        <v>0</v>
      </c>
      <c r="W8" t="s">
        <v>292</v>
      </c>
      <c r="X8" t="s">
        <v>84</v>
      </c>
      <c r="Y8" t="s">
        <v>293</v>
      </c>
    </row>
    <row r="9" spans="1:28" x14ac:dyDescent="0.3">
      <c r="A9" t="s">
        <v>34</v>
      </c>
      <c r="B9" t="s">
        <v>293</v>
      </c>
      <c r="C9" s="3">
        <f t="shared" si="4"/>
        <v>22</v>
      </c>
      <c r="D9">
        <v>15</v>
      </c>
      <c r="E9">
        <v>6</v>
      </c>
      <c r="F9">
        <v>4</v>
      </c>
      <c r="G9">
        <f t="shared" si="0"/>
        <v>5</v>
      </c>
      <c r="H9">
        <v>24</v>
      </c>
      <c r="I9">
        <v>23</v>
      </c>
      <c r="J9">
        <f t="shared" si="5"/>
        <v>1</v>
      </c>
      <c r="L9" t="s">
        <v>34</v>
      </c>
      <c r="M9" t="s">
        <v>293</v>
      </c>
      <c r="N9" s="3">
        <f t="shared" si="1"/>
        <v>21</v>
      </c>
      <c r="O9">
        <v>15</v>
      </c>
      <c r="P9">
        <v>5</v>
      </c>
      <c r="Q9">
        <v>6</v>
      </c>
      <c r="R9">
        <f t="shared" si="2"/>
        <v>4</v>
      </c>
      <c r="S9">
        <v>31</v>
      </c>
      <c r="T9">
        <v>26</v>
      </c>
      <c r="U9">
        <f t="shared" si="3"/>
        <v>5</v>
      </c>
      <c r="W9" t="s">
        <v>17</v>
      </c>
      <c r="X9" t="s">
        <v>81</v>
      </c>
      <c r="Y9" t="s">
        <v>302</v>
      </c>
    </row>
    <row r="10" spans="1:28" x14ac:dyDescent="0.3">
      <c r="A10" t="s">
        <v>37</v>
      </c>
      <c r="B10" t="s">
        <v>297</v>
      </c>
      <c r="C10" s="3">
        <f t="shared" si="4"/>
        <v>21</v>
      </c>
      <c r="D10">
        <v>15</v>
      </c>
      <c r="E10">
        <v>6</v>
      </c>
      <c r="F10">
        <v>3</v>
      </c>
      <c r="G10">
        <f t="shared" si="0"/>
        <v>6</v>
      </c>
      <c r="H10">
        <v>19</v>
      </c>
      <c r="I10">
        <v>19</v>
      </c>
      <c r="J10">
        <f t="shared" si="5"/>
        <v>0</v>
      </c>
      <c r="L10" t="s">
        <v>37</v>
      </c>
      <c r="M10" t="s">
        <v>304</v>
      </c>
      <c r="N10" s="3">
        <f t="shared" si="1"/>
        <v>21</v>
      </c>
      <c r="O10">
        <v>15</v>
      </c>
      <c r="P10">
        <v>6</v>
      </c>
      <c r="Q10">
        <v>3</v>
      </c>
      <c r="R10">
        <f t="shared" si="2"/>
        <v>6</v>
      </c>
      <c r="S10">
        <v>21</v>
      </c>
      <c r="T10">
        <v>21</v>
      </c>
      <c r="U10">
        <f t="shared" si="3"/>
        <v>0</v>
      </c>
      <c r="W10" t="s">
        <v>300</v>
      </c>
      <c r="X10" t="s">
        <v>87</v>
      </c>
      <c r="Y10" t="s">
        <v>305</v>
      </c>
    </row>
    <row r="11" spans="1:28" x14ac:dyDescent="0.3">
      <c r="A11" t="s">
        <v>38</v>
      </c>
      <c r="B11" t="s">
        <v>300</v>
      </c>
      <c r="C11" s="3">
        <f t="shared" si="4"/>
        <v>20</v>
      </c>
      <c r="D11">
        <v>15</v>
      </c>
      <c r="E11">
        <v>6</v>
      </c>
      <c r="F11">
        <v>2</v>
      </c>
      <c r="G11">
        <f t="shared" si="0"/>
        <v>7</v>
      </c>
      <c r="H11">
        <v>19</v>
      </c>
      <c r="I11">
        <v>24</v>
      </c>
      <c r="J11">
        <f t="shared" si="5"/>
        <v>-5</v>
      </c>
      <c r="L11" t="s">
        <v>38</v>
      </c>
      <c r="M11" t="s">
        <v>305</v>
      </c>
      <c r="N11" s="3">
        <f t="shared" si="1"/>
        <v>19</v>
      </c>
      <c r="O11">
        <v>15</v>
      </c>
      <c r="P11">
        <v>5</v>
      </c>
      <c r="Q11">
        <v>4</v>
      </c>
      <c r="R11">
        <f t="shared" si="2"/>
        <v>6</v>
      </c>
      <c r="S11">
        <v>23</v>
      </c>
      <c r="T11">
        <v>23</v>
      </c>
      <c r="U11">
        <f t="shared" si="3"/>
        <v>0</v>
      </c>
    </row>
    <row r="12" spans="1:28" x14ac:dyDescent="0.3">
      <c r="A12" t="s">
        <v>41</v>
      </c>
      <c r="B12" t="s">
        <v>296</v>
      </c>
      <c r="C12" s="3">
        <f t="shared" ref="C12:C18" si="6">E12*3+F12</f>
        <v>19</v>
      </c>
      <c r="D12">
        <v>15</v>
      </c>
      <c r="E12">
        <v>5</v>
      </c>
      <c r="F12">
        <v>4</v>
      </c>
      <c r="G12">
        <f t="shared" ref="G12:G18" si="7">D12-E12-F12</f>
        <v>6</v>
      </c>
      <c r="H12">
        <v>28</v>
      </c>
      <c r="I12">
        <v>29</v>
      </c>
      <c r="J12">
        <f t="shared" si="5"/>
        <v>-1</v>
      </c>
      <c r="L12" t="s">
        <v>41</v>
      </c>
      <c r="M12" t="s">
        <v>303</v>
      </c>
      <c r="N12" s="3">
        <f t="shared" si="1"/>
        <v>19</v>
      </c>
      <c r="O12">
        <v>15</v>
      </c>
      <c r="P12">
        <v>5</v>
      </c>
      <c r="Q12">
        <v>4</v>
      </c>
      <c r="R12">
        <f t="shared" si="2"/>
        <v>6</v>
      </c>
      <c r="S12">
        <v>20</v>
      </c>
      <c r="T12">
        <v>29</v>
      </c>
      <c r="U12">
        <f t="shared" si="3"/>
        <v>-9</v>
      </c>
      <c r="W12" t="s">
        <v>91</v>
      </c>
    </row>
    <row r="13" spans="1:28" x14ac:dyDescent="0.3">
      <c r="A13" t="s">
        <v>43</v>
      </c>
      <c r="B13" t="s">
        <v>303</v>
      </c>
      <c r="C13" s="3">
        <f t="shared" si="6"/>
        <v>19</v>
      </c>
      <c r="D13">
        <v>15</v>
      </c>
      <c r="E13">
        <v>6</v>
      </c>
      <c r="F13">
        <v>1</v>
      </c>
      <c r="G13">
        <f t="shared" si="7"/>
        <v>8</v>
      </c>
      <c r="H13">
        <v>21</v>
      </c>
      <c r="I13">
        <v>25</v>
      </c>
      <c r="J13">
        <f t="shared" si="5"/>
        <v>-4</v>
      </c>
      <c r="L13" t="s">
        <v>43</v>
      </c>
      <c r="M13" t="s">
        <v>257</v>
      </c>
      <c r="N13" s="3">
        <f t="shared" si="1"/>
        <v>18</v>
      </c>
      <c r="O13">
        <v>15</v>
      </c>
      <c r="P13">
        <v>4</v>
      </c>
      <c r="Q13">
        <v>6</v>
      </c>
      <c r="R13">
        <f t="shared" si="2"/>
        <v>5</v>
      </c>
      <c r="S13">
        <v>18</v>
      </c>
      <c r="T13">
        <v>17</v>
      </c>
      <c r="U13">
        <f t="shared" si="3"/>
        <v>1</v>
      </c>
      <c r="W13" t="s">
        <v>304</v>
      </c>
      <c r="X13" t="s">
        <v>81</v>
      </c>
      <c r="Y13" t="s">
        <v>299</v>
      </c>
    </row>
    <row r="14" spans="1:28" x14ac:dyDescent="0.3">
      <c r="A14" t="s">
        <v>44</v>
      </c>
      <c r="B14" t="s">
        <v>295</v>
      </c>
      <c r="C14" s="3">
        <f t="shared" si="6"/>
        <v>18</v>
      </c>
      <c r="D14">
        <v>15</v>
      </c>
      <c r="E14">
        <v>5</v>
      </c>
      <c r="F14">
        <v>3</v>
      </c>
      <c r="G14">
        <f t="shared" si="7"/>
        <v>7</v>
      </c>
      <c r="H14">
        <v>26</v>
      </c>
      <c r="I14">
        <v>30</v>
      </c>
      <c r="J14">
        <f t="shared" si="5"/>
        <v>-4</v>
      </c>
      <c r="L14" t="s">
        <v>44</v>
      </c>
      <c r="M14" t="s">
        <v>301</v>
      </c>
      <c r="N14" s="3">
        <f t="shared" si="1"/>
        <v>18</v>
      </c>
      <c r="O14">
        <v>15</v>
      </c>
      <c r="P14">
        <v>5</v>
      </c>
      <c r="Q14">
        <v>3</v>
      </c>
      <c r="R14">
        <f t="shared" si="2"/>
        <v>7</v>
      </c>
      <c r="S14">
        <v>21</v>
      </c>
      <c r="T14">
        <v>24</v>
      </c>
      <c r="U14">
        <f t="shared" si="3"/>
        <v>-3</v>
      </c>
      <c r="W14" t="s">
        <v>295</v>
      </c>
      <c r="X14" t="s">
        <v>87</v>
      </c>
      <c r="Y14" t="s">
        <v>294</v>
      </c>
    </row>
    <row r="15" spans="1:28" x14ac:dyDescent="0.3">
      <c r="A15" t="s">
        <v>47</v>
      </c>
      <c r="B15" t="s">
        <v>305</v>
      </c>
      <c r="C15" s="3">
        <f t="shared" si="6"/>
        <v>18</v>
      </c>
      <c r="D15">
        <v>15</v>
      </c>
      <c r="E15">
        <v>5</v>
      </c>
      <c r="F15">
        <v>3</v>
      </c>
      <c r="G15">
        <f>D15-E15-F15</f>
        <v>7</v>
      </c>
      <c r="H15">
        <v>20</v>
      </c>
      <c r="I15">
        <v>27</v>
      </c>
      <c r="J15">
        <f t="shared" si="5"/>
        <v>-7</v>
      </c>
      <c r="L15" t="s">
        <v>47</v>
      </c>
      <c r="M15" t="s">
        <v>299</v>
      </c>
      <c r="N15" s="3">
        <f t="shared" si="1"/>
        <v>17</v>
      </c>
      <c r="O15">
        <v>15</v>
      </c>
      <c r="P15">
        <v>4</v>
      </c>
      <c r="Q15">
        <v>5</v>
      </c>
      <c r="R15">
        <f t="shared" si="2"/>
        <v>6</v>
      </c>
      <c r="S15">
        <v>23</v>
      </c>
      <c r="T15">
        <v>25</v>
      </c>
      <c r="U15">
        <f t="shared" si="3"/>
        <v>-2</v>
      </c>
      <c r="W15" t="s">
        <v>303</v>
      </c>
      <c r="X15" t="s">
        <v>164</v>
      </c>
      <c r="Y15" t="s">
        <v>293</v>
      </c>
    </row>
    <row r="16" spans="1:28" x14ac:dyDescent="0.3">
      <c r="A16" t="s">
        <v>49</v>
      </c>
      <c r="B16" t="s">
        <v>304</v>
      </c>
      <c r="C16" s="3">
        <f t="shared" si="6"/>
        <v>15</v>
      </c>
      <c r="D16">
        <v>15</v>
      </c>
      <c r="E16">
        <v>3</v>
      </c>
      <c r="F16">
        <v>6</v>
      </c>
      <c r="G16">
        <f t="shared" si="7"/>
        <v>6</v>
      </c>
      <c r="H16">
        <v>18</v>
      </c>
      <c r="I16">
        <v>20</v>
      </c>
      <c r="J16">
        <f t="shared" si="5"/>
        <v>-2</v>
      </c>
      <c r="L16" t="s">
        <v>49</v>
      </c>
      <c r="M16" t="s">
        <v>17</v>
      </c>
      <c r="N16" s="3">
        <f t="shared" si="1"/>
        <v>17</v>
      </c>
      <c r="O16">
        <v>15</v>
      </c>
      <c r="P16">
        <v>4</v>
      </c>
      <c r="Q16">
        <v>5</v>
      </c>
      <c r="R16">
        <f t="shared" si="2"/>
        <v>6</v>
      </c>
      <c r="S16">
        <v>21</v>
      </c>
      <c r="T16">
        <v>23</v>
      </c>
      <c r="U16">
        <f t="shared" si="3"/>
        <v>-2</v>
      </c>
      <c r="W16" t="s">
        <v>17</v>
      </c>
      <c r="X16" t="s">
        <v>81</v>
      </c>
      <c r="Y16" t="s">
        <v>300</v>
      </c>
    </row>
    <row r="17" spans="1:25" x14ac:dyDescent="0.3">
      <c r="A17" t="s">
        <v>51</v>
      </c>
      <c r="B17" t="s">
        <v>302</v>
      </c>
      <c r="C17" s="3">
        <f t="shared" si="6"/>
        <v>15</v>
      </c>
      <c r="D17">
        <v>15</v>
      </c>
      <c r="E17">
        <v>4</v>
      </c>
      <c r="F17">
        <v>3</v>
      </c>
      <c r="G17">
        <f t="shared" si="7"/>
        <v>8</v>
      </c>
      <c r="H17">
        <v>22</v>
      </c>
      <c r="I17">
        <v>27</v>
      </c>
      <c r="J17">
        <f t="shared" si="5"/>
        <v>-5</v>
      </c>
      <c r="L17" t="s">
        <v>51</v>
      </c>
      <c r="M17" t="s">
        <v>296</v>
      </c>
      <c r="N17" s="3">
        <f t="shared" si="1"/>
        <v>17</v>
      </c>
      <c r="O17">
        <v>15</v>
      </c>
      <c r="P17">
        <v>4</v>
      </c>
      <c r="Q17">
        <v>5</v>
      </c>
      <c r="R17">
        <f t="shared" si="2"/>
        <v>6</v>
      </c>
      <c r="S17">
        <v>16</v>
      </c>
      <c r="T17">
        <v>22</v>
      </c>
      <c r="U17">
        <f t="shared" si="3"/>
        <v>-6</v>
      </c>
    </row>
    <row r="18" spans="1:25" x14ac:dyDescent="0.3">
      <c r="A18" t="s">
        <v>53</v>
      </c>
      <c r="B18" t="s">
        <v>294</v>
      </c>
      <c r="C18" s="3">
        <f t="shared" si="6"/>
        <v>11</v>
      </c>
      <c r="D18">
        <v>15</v>
      </c>
      <c r="E18">
        <v>2</v>
      </c>
      <c r="F18">
        <v>5</v>
      </c>
      <c r="G18">
        <f t="shared" si="7"/>
        <v>8</v>
      </c>
      <c r="H18">
        <v>13</v>
      </c>
      <c r="I18">
        <v>23</v>
      </c>
      <c r="J18">
        <f t="shared" si="5"/>
        <v>-10</v>
      </c>
      <c r="L18" t="s">
        <v>53</v>
      </c>
      <c r="M18" t="s">
        <v>300</v>
      </c>
      <c r="N18" s="3">
        <f t="shared" si="1"/>
        <v>15</v>
      </c>
      <c r="O18">
        <v>15</v>
      </c>
      <c r="P18">
        <v>3</v>
      </c>
      <c r="Q18">
        <v>6</v>
      </c>
      <c r="R18">
        <f t="shared" si="2"/>
        <v>6</v>
      </c>
      <c r="S18">
        <v>19</v>
      </c>
      <c r="T18">
        <v>26</v>
      </c>
      <c r="U18">
        <f t="shared" si="3"/>
        <v>-7</v>
      </c>
      <c r="W18" t="s">
        <v>94</v>
      </c>
    </row>
    <row r="19" spans="1:25" x14ac:dyDescent="0.3">
      <c r="W19" t="s">
        <v>304</v>
      </c>
      <c r="X19" t="s">
        <v>79</v>
      </c>
      <c r="Y19" t="s">
        <v>295</v>
      </c>
    </row>
    <row r="20" spans="1:25" x14ac:dyDescent="0.3">
      <c r="A20" t="s">
        <v>306</v>
      </c>
      <c r="L20" t="s">
        <v>2</v>
      </c>
      <c r="W20" t="s">
        <v>303</v>
      </c>
      <c r="X20" t="s">
        <v>83</v>
      </c>
      <c r="Y20" t="s">
        <v>17</v>
      </c>
    </row>
    <row r="21" spans="1:25" x14ac:dyDescent="0.3">
      <c r="A21" t="s">
        <v>3</v>
      </c>
      <c r="L21" s="1" t="s">
        <v>4</v>
      </c>
      <c r="M21" t="s">
        <v>301</v>
      </c>
      <c r="P21" s="3"/>
      <c r="Q21" s="3"/>
      <c r="R21" s="3"/>
      <c r="S21" s="3"/>
      <c r="T21" s="3"/>
      <c r="U21" s="3"/>
    </row>
    <row r="22" spans="1:25" x14ac:dyDescent="0.3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  <c r="I22" t="s">
        <v>14</v>
      </c>
      <c r="J22" t="s">
        <v>15</v>
      </c>
      <c r="L22" s="1" t="s">
        <v>16</v>
      </c>
      <c r="M22" t="s">
        <v>297</v>
      </c>
      <c r="P22" s="3"/>
      <c r="Q22" s="3"/>
      <c r="R22" s="3"/>
      <c r="S22" s="3"/>
      <c r="T22" s="3"/>
      <c r="U22" s="3"/>
      <c r="W22" t="s">
        <v>96</v>
      </c>
    </row>
    <row r="23" spans="1:25" x14ac:dyDescent="0.3">
      <c r="A23" s="2" t="s">
        <v>4</v>
      </c>
      <c r="B23" t="s">
        <v>257</v>
      </c>
      <c r="C23" s="3">
        <f t="shared" ref="C23:C30" si="8">E23*3+F23</f>
        <v>16</v>
      </c>
      <c r="D23">
        <v>7</v>
      </c>
      <c r="E23">
        <v>5</v>
      </c>
      <c r="F23">
        <v>1</v>
      </c>
      <c r="G23">
        <f>D23-E23-F23</f>
        <v>1</v>
      </c>
      <c r="H23">
        <v>13</v>
      </c>
      <c r="I23">
        <v>3</v>
      </c>
      <c r="J23">
        <f>H23-I23</f>
        <v>10</v>
      </c>
      <c r="L23" s="4" t="s">
        <v>21</v>
      </c>
      <c r="M23" t="s">
        <v>292</v>
      </c>
      <c r="P23" s="3"/>
      <c r="Q23" s="3"/>
      <c r="R23" s="3"/>
      <c r="S23" s="3"/>
      <c r="T23" s="3"/>
      <c r="U23" s="3"/>
      <c r="W23" t="s">
        <v>295</v>
      </c>
      <c r="X23" t="s">
        <v>104</v>
      </c>
      <c r="Y23" t="s">
        <v>303</v>
      </c>
    </row>
    <row r="24" spans="1:25" x14ac:dyDescent="0.3">
      <c r="A24" t="s">
        <v>16</v>
      </c>
      <c r="B24" t="s">
        <v>292</v>
      </c>
      <c r="C24" s="3">
        <f t="shared" si="8"/>
        <v>13</v>
      </c>
      <c r="D24">
        <v>7</v>
      </c>
      <c r="E24">
        <v>4</v>
      </c>
      <c r="F24">
        <v>1</v>
      </c>
      <c r="G24">
        <f t="shared" ref="G24:G30" si="9">D24-E24-F24</f>
        <v>2</v>
      </c>
      <c r="H24">
        <v>9</v>
      </c>
      <c r="I24">
        <v>8</v>
      </c>
      <c r="J24">
        <f t="shared" ref="J24:J30" si="10">H24-I24</f>
        <v>1</v>
      </c>
      <c r="L24" s="6" t="s">
        <v>24</v>
      </c>
      <c r="M24" t="s">
        <v>257</v>
      </c>
      <c r="P24" s="3"/>
      <c r="Q24" s="3"/>
      <c r="R24" s="3"/>
      <c r="S24" s="3"/>
      <c r="T24" s="3"/>
      <c r="U24" s="3"/>
    </row>
    <row r="25" spans="1:25" x14ac:dyDescent="0.3">
      <c r="A25" t="s">
        <v>21</v>
      </c>
      <c r="B25" t="s">
        <v>301</v>
      </c>
      <c r="C25" s="3">
        <f t="shared" si="8"/>
        <v>12</v>
      </c>
      <c r="D25">
        <v>7</v>
      </c>
      <c r="E25">
        <v>4</v>
      </c>
      <c r="F25">
        <v>0</v>
      </c>
      <c r="G25">
        <f t="shared" si="9"/>
        <v>3</v>
      </c>
      <c r="H25">
        <v>9</v>
      </c>
      <c r="I25">
        <v>6</v>
      </c>
      <c r="J25">
        <f t="shared" si="10"/>
        <v>3</v>
      </c>
      <c r="L25" s="6" t="s">
        <v>27</v>
      </c>
      <c r="M25" t="s">
        <v>299</v>
      </c>
      <c r="P25" s="3"/>
      <c r="Q25" s="3"/>
      <c r="R25" s="3"/>
      <c r="S25" s="3"/>
      <c r="T25" s="3"/>
      <c r="U25" s="3"/>
    </row>
    <row r="26" spans="1:25" x14ac:dyDescent="0.3">
      <c r="A26" t="s">
        <v>24</v>
      </c>
      <c r="B26" t="s">
        <v>303</v>
      </c>
      <c r="C26" s="3">
        <f t="shared" si="8"/>
        <v>12</v>
      </c>
      <c r="D26">
        <v>7</v>
      </c>
      <c r="E26">
        <v>4</v>
      </c>
      <c r="F26">
        <v>0</v>
      </c>
      <c r="G26">
        <f t="shared" si="9"/>
        <v>3</v>
      </c>
      <c r="H26">
        <v>12</v>
      </c>
      <c r="I26">
        <v>10</v>
      </c>
      <c r="J26">
        <f t="shared" si="10"/>
        <v>2</v>
      </c>
      <c r="L26" s="6" t="s">
        <v>31</v>
      </c>
      <c r="M26" t="s">
        <v>17</v>
      </c>
      <c r="P26" s="3"/>
      <c r="Q26" s="3"/>
      <c r="R26" s="3"/>
      <c r="S26" s="3"/>
      <c r="T26" s="3"/>
      <c r="U26" s="3"/>
    </row>
    <row r="27" spans="1:25" x14ac:dyDescent="0.3">
      <c r="A27" t="s">
        <v>27</v>
      </c>
      <c r="B27" t="s">
        <v>300</v>
      </c>
      <c r="C27" s="3">
        <f t="shared" si="8"/>
        <v>10</v>
      </c>
      <c r="D27">
        <v>7</v>
      </c>
      <c r="E27">
        <v>3</v>
      </c>
      <c r="F27">
        <v>1</v>
      </c>
      <c r="G27">
        <f t="shared" si="9"/>
        <v>3</v>
      </c>
      <c r="H27">
        <v>13</v>
      </c>
      <c r="I27">
        <v>9</v>
      </c>
      <c r="J27">
        <f t="shared" si="10"/>
        <v>4</v>
      </c>
      <c r="L27" s="6" t="s">
        <v>34</v>
      </c>
      <c r="M27" t="s">
        <v>295</v>
      </c>
      <c r="P27" s="3"/>
      <c r="Q27" s="3"/>
      <c r="R27" s="3"/>
      <c r="S27" s="3"/>
      <c r="T27" s="3"/>
      <c r="U27" s="3"/>
    </row>
    <row r="28" spans="1:25" x14ac:dyDescent="0.3">
      <c r="A28" t="s">
        <v>31</v>
      </c>
      <c r="B28" t="s">
        <v>305</v>
      </c>
      <c r="C28" s="3">
        <f t="shared" si="8"/>
        <v>9</v>
      </c>
      <c r="D28">
        <v>7</v>
      </c>
      <c r="E28">
        <v>3</v>
      </c>
      <c r="F28">
        <v>0</v>
      </c>
      <c r="G28">
        <f t="shared" si="9"/>
        <v>4</v>
      </c>
      <c r="H28">
        <v>7</v>
      </c>
      <c r="I28">
        <v>12</v>
      </c>
      <c r="J28">
        <f t="shared" si="10"/>
        <v>-5</v>
      </c>
      <c r="L28" s="8" t="s">
        <v>37</v>
      </c>
      <c r="M28" t="s">
        <v>293</v>
      </c>
      <c r="P28" s="3"/>
      <c r="Q28" s="3"/>
      <c r="R28" s="3"/>
      <c r="S28" s="3"/>
      <c r="T28" s="3"/>
      <c r="U28" s="3"/>
    </row>
    <row r="29" spans="1:25" x14ac:dyDescent="0.3">
      <c r="A29" t="s">
        <v>34</v>
      </c>
      <c r="B29" t="s">
        <v>293</v>
      </c>
      <c r="C29" s="3">
        <f t="shared" si="8"/>
        <v>7</v>
      </c>
      <c r="D29">
        <v>7</v>
      </c>
      <c r="E29">
        <v>2</v>
      </c>
      <c r="F29">
        <v>1</v>
      </c>
      <c r="G29">
        <f t="shared" si="9"/>
        <v>4</v>
      </c>
      <c r="H29">
        <v>7</v>
      </c>
      <c r="I29">
        <v>11</v>
      </c>
      <c r="J29">
        <f t="shared" si="10"/>
        <v>-4</v>
      </c>
      <c r="L29" t="s">
        <v>38</v>
      </c>
      <c r="M29" t="s">
        <v>298</v>
      </c>
      <c r="P29" s="3"/>
      <c r="Q29" s="3"/>
      <c r="R29" s="3"/>
      <c r="S29" s="3"/>
      <c r="T29" s="3"/>
      <c r="U29" s="3"/>
    </row>
    <row r="30" spans="1:25" x14ac:dyDescent="0.3">
      <c r="A30" t="s">
        <v>37</v>
      </c>
      <c r="B30" t="s">
        <v>302</v>
      </c>
      <c r="C30" s="3">
        <f t="shared" si="8"/>
        <v>2</v>
      </c>
      <c r="D30">
        <v>7</v>
      </c>
      <c r="E30">
        <v>0</v>
      </c>
      <c r="F30">
        <v>2</v>
      </c>
      <c r="G30">
        <f t="shared" si="9"/>
        <v>5</v>
      </c>
      <c r="H30">
        <v>3</v>
      </c>
      <c r="I30">
        <v>14</v>
      </c>
      <c r="J30">
        <f t="shared" si="10"/>
        <v>-11</v>
      </c>
      <c r="L30" s="9" t="s">
        <v>41</v>
      </c>
      <c r="M30" t="s">
        <v>303</v>
      </c>
      <c r="P30" s="3"/>
      <c r="Q30" s="3"/>
      <c r="R30" s="3"/>
      <c r="S30" s="3"/>
      <c r="T30" s="3"/>
      <c r="U30" s="3"/>
    </row>
    <row r="31" spans="1:25" x14ac:dyDescent="0.3">
      <c r="L31" t="s">
        <v>43</v>
      </c>
      <c r="M31" t="s">
        <v>294</v>
      </c>
      <c r="P31" s="3"/>
      <c r="Q31" s="3"/>
      <c r="R31" s="3"/>
      <c r="S31" s="3"/>
      <c r="T31" s="3"/>
      <c r="U31" s="3"/>
    </row>
    <row r="32" spans="1:25" x14ac:dyDescent="0.3">
      <c r="A32" t="s">
        <v>56</v>
      </c>
      <c r="L32" t="s">
        <v>44</v>
      </c>
      <c r="M32" t="s">
        <v>305</v>
      </c>
      <c r="P32" s="3"/>
      <c r="Q32" s="3"/>
      <c r="R32" s="3"/>
      <c r="S32" s="3"/>
      <c r="T32" s="3"/>
      <c r="U32" s="3"/>
    </row>
    <row r="33" spans="1:21" x14ac:dyDescent="0.3">
      <c r="A33" t="s">
        <v>6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 t="s">
        <v>13</v>
      </c>
      <c r="I33" t="s">
        <v>14</v>
      </c>
      <c r="J33" t="s">
        <v>15</v>
      </c>
      <c r="L33" t="s">
        <v>47</v>
      </c>
      <c r="M33" t="s">
        <v>300</v>
      </c>
      <c r="P33" s="3"/>
      <c r="Q33" s="3"/>
      <c r="R33" s="3"/>
      <c r="S33" s="3"/>
      <c r="T33" s="3"/>
      <c r="U33" s="3"/>
    </row>
    <row r="34" spans="1:21" x14ac:dyDescent="0.3">
      <c r="A34" s="2" t="s">
        <v>4</v>
      </c>
      <c r="B34" t="s">
        <v>297</v>
      </c>
      <c r="C34" s="3">
        <f t="shared" ref="C34:C41" si="11">E34*3+F34</f>
        <v>14</v>
      </c>
      <c r="D34">
        <v>7</v>
      </c>
      <c r="E34">
        <v>4</v>
      </c>
      <c r="F34">
        <v>2</v>
      </c>
      <c r="G34">
        <f>D34-E34-F34</f>
        <v>1</v>
      </c>
      <c r="H34">
        <v>12</v>
      </c>
      <c r="I34">
        <v>6</v>
      </c>
      <c r="J34">
        <f>H34-I34</f>
        <v>6</v>
      </c>
      <c r="L34" t="s">
        <v>49</v>
      </c>
      <c r="M34" t="s">
        <v>296</v>
      </c>
      <c r="P34" s="3"/>
      <c r="Q34" s="3"/>
      <c r="R34" s="3"/>
      <c r="S34" s="3"/>
      <c r="T34" s="3"/>
      <c r="U34" s="3"/>
    </row>
    <row r="35" spans="1:21" x14ac:dyDescent="0.3">
      <c r="A35" t="s">
        <v>16</v>
      </c>
      <c r="B35" t="s">
        <v>294</v>
      </c>
      <c r="C35" s="3">
        <f t="shared" si="11"/>
        <v>13</v>
      </c>
      <c r="D35">
        <v>7</v>
      </c>
      <c r="E35">
        <v>4</v>
      </c>
      <c r="F35">
        <v>1</v>
      </c>
      <c r="G35">
        <f t="shared" ref="G35:G41" si="12">D35-E35-F35</f>
        <v>2</v>
      </c>
      <c r="H35">
        <v>14</v>
      </c>
      <c r="I35">
        <v>6</v>
      </c>
      <c r="J35">
        <f t="shared" ref="J35:J41" si="13">H35-I35</f>
        <v>8</v>
      </c>
      <c r="L35" t="s">
        <v>51</v>
      </c>
      <c r="M35" t="s">
        <v>302</v>
      </c>
      <c r="P35" s="3"/>
      <c r="Q35" s="3"/>
      <c r="R35" s="3"/>
      <c r="S35" s="3"/>
      <c r="T35" s="3"/>
      <c r="U35" s="3"/>
    </row>
    <row r="36" spans="1:21" x14ac:dyDescent="0.3">
      <c r="A36" t="s">
        <v>21</v>
      </c>
      <c r="B36" t="s">
        <v>299</v>
      </c>
      <c r="C36" s="3">
        <f t="shared" si="11"/>
        <v>13</v>
      </c>
      <c r="D36">
        <v>7</v>
      </c>
      <c r="E36">
        <v>4</v>
      </c>
      <c r="F36">
        <v>1</v>
      </c>
      <c r="G36">
        <f t="shared" si="12"/>
        <v>2</v>
      </c>
      <c r="H36">
        <v>9</v>
      </c>
      <c r="I36">
        <v>5</v>
      </c>
      <c r="J36">
        <f t="shared" si="13"/>
        <v>4</v>
      </c>
      <c r="L36" t="s">
        <v>53</v>
      </c>
      <c r="M36" t="s">
        <v>304</v>
      </c>
      <c r="P36" s="3"/>
      <c r="Q36" s="3"/>
      <c r="R36" s="3"/>
      <c r="S36" s="3"/>
      <c r="T36" s="3"/>
      <c r="U36" s="3"/>
    </row>
    <row r="37" spans="1:21" x14ac:dyDescent="0.3">
      <c r="A37" t="s">
        <v>24</v>
      </c>
      <c r="B37" t="s">
        <v>295</v>
      </c>
      <c r="C37" s="3">
        <f t="shared" si="11"/>
        <v>10</v>
      </c>
      <c r="D37">
        <v>7</v>
      </c>
      <c r="E37">
        <v>3</v>
      </c>
      <c r="F37">
        <v>1</v>
      </c>
      <c r="G37">
        <f t="shared" si="12"/>
        <v>3</v>
      </c>
      <c r="H37">
        <v>9</v>
      </c>
      <c r="I37">
        <v>9</v>
      </c>
      <c r="J37">
        <f t="shared" si="13"/>
        <v>0</v>
      </c>
    </row>
    <row r="38" spans="1:21" x14ac:dyDescent="0.3">
      <c r="A38" t="s">
        <v>27</v>
      </c>
      <c r="B38" t="s">
        <v>17</v>
      </c>
      <c r="C38" s="3">
        <f t="shared" si="11"/>
        <v>10</v>
      </c>
      <c r="D38">
        <v>7</v>
      </c>
      <c r="E38">
        <v>3</v>
      </c>
      <c r="F38">
        <v>1</v>
      </c>
      <c r="G38">
        <f t="shared" si="12"/>
        <v>3</v>
      </c>
      <c r="H38">
        <v>7</v>
      </c>
      <c r="I38">
        <v>10</v>
      </c>
      <c r="J38">
        <f t="shared" si="13"/>
        <v>-3</v>
      </c>
      <c r="L38" t="s">
        <v>96</v>
      </c>
    </row>
    <row r="39" spans="1:21" x14ac:dyDescent="0.3">
      <c r="A39" t="s">
        <v>31</v>
      </c>
      <c r="B39" t="s">
        <v>296</v>
      </c>
      <c r="C39" s="3">
        <f t="shared" si="11"/>
        <v>9</v>
      </c>
      <c r="D39">
        <v>7</v>
      </c>
      <c r="E39">
        <v>3</v>
      </c>
      <c r="F39">
        <v>0</v>
      </c>
      <c r="G39">
        <f t="shared" si="12"/>
        <v>4</v>
      </c>
      <c r="H39">
        <v>7</v>
      </c>
      <c r="I39">
        <v>10</v>
      </c>
      <c r="J39">
        <f t="shared" si="13"/>
        <v>-3</v>
      </c>
      <c r="L39" t="s">
        <v>301</v>
      </c>
      <c r="M39" t="s">
        <v>83</v>
      </c>
      <c r="N39" t="s">
        <v>302</v>
      </c>
    </row>
    <row r="40" spans="1:21" x14ac:dyDescent="0.3">
      <c r="A40" t="s">
        <v>34</v>
      </c>
      <c r="B40" t="s">
        <v>298</v>
      </c>
      <c r="C40" s="3">
        <f t="shared" si="11"/>
        <v>6</v>
      </c>
      <c r="D40">
        <v>7</v>
      </c>
      <c r="E40">
        <v>2</v>
      </c>
      <c r="F40">
        <v>0</v>
      </c>
      <c r="G40">
        <f t="shared" si="12"/>
        <v>5</v>
      </c>
      <c r="H40">
        <v>5</v>
      </c>
      <c r="I40">
        <v>10</v>
      </c>
      <c r="J40">
        <f t="shared" si="13"/>
        <v>-5</v>
      </c>
    </row>
    <row r="41" spans="1:21" x14ac:dyDescent="0.3">
      <c r="A41" t="s">
        <v>37</v>
      </c>
      <c r="B41" t="s">
        <v>304</v>
      </c>
      <c r="C41" s="3">
        <f t="shared" si="11"/>
        <v>6</v>
      </c>
      <c r="D41">
        <v>7</v>
      </c>
      <c r="E41">
        <v>2</v>
      </c>
      <c r="F41">
        <v>0</v>
      </c>
      <c r="G41">
        <f t="shared" si="12"/>
        <v>5</v>
      </c>
      <c r="H41">
        <v>4</v>
      </c>
      <c r="I41">
        <v>11</v>
      </c>
      <c r="J41">
        <f t="shared" si="13"/>
        <v>-7</v>
      </c>
    </row>
    <row r="43" spans="1:21" x14ac:dyDescent="0.3">
      <c r="A43" t="s">
        <v>96</v>
      </c>
    </row>
    <row r="44" spans="1:21" x14ac:dyDescent="0.3">
      <c r="A44" t="s">
        <v>257</v>
      </c>
      <c r="B44" t="s">
        <v>83</v>
      </c>
      <c r="C44" t="s">
        <v>297</v>
      </c>
    </row>
  </sheetData>
  <sortState xmlns:xlrd2="http://schemas.microsoft.com/office/spreadsheetml/2017/richdata2" ref="M33:O35">
    <sortCondition descending="1" ref="N33:N35"/>
    <sortCondition descending="1" ref="O33:O3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2C10-7C4E-408D-9284-DC7083B994CB}">
  <dimension ref="A1:AQ33"/>
  <sheetViews>
    <sheetView tabSelected="1" topLeftCell="AC1" workbookViewId="0">
      <selection activeCell="AG14" sqref="AG14:AG20"/>
    </sheetView>
  </sheetViews>
  <sheetFormatPr defaultRowHeight="14.4" x14ac:dyDescent="0.3"/>
  <cols>
    <col min="2" max="2" width="19.33203125" customWidth="1"/>
    <col min="3" max="3" width="11.88671875" customWidth="1"/>
    <col min="12" max="12" width="12.109375" customWidth="1"/>
    <col min="13" max="13" width="20.21875" customWidth="1"/>
    <col min="14" max="14" width="10.88671875" customWidth="1"/>
    <col min="23" max="23" width="12.6640625" customWidth="1"/>
    <col min="24" max="24" width="20.109375" customWidth="1"/>
    <col min="25" max="25" width="11.77734375" customWidth="1"/>
    <col min="27" max="27" width="11.88671875" customWidth="1"/>
    <col min="29" max="29" width="11.33203125" customWidth="1"/>
    <col min="31" max="31" width="19.21875" customWidth="1"/>
    <col min="32" max="32" width="19.33203125" customWidth="1"/>
    <col min="33" max="33" width="19.44140625" customWidth="1"/>
    <col min="35" max="35" width="19.33203125" customWidth="1"/>
    <col min="37" max="37" width="19.33203125" customWidth="1"/>
    <col min="42" max="42" width="20.5546875" customWidth="1"/>
  </cols>
  <sheetData>
    <row r="1" spans="1:43" x14ac:dyDescent="0.3">
      <c r="A1" t="s">
        <v>0</v>
      </c>
      <c r="L1" t="s">
        <v>1</v>
      </c>
      <c r="W1" t="s">
        <v>322</v>
      </c>
      <c r="AE1" t="s">
        <v>323</v>
      </c>
      <c r="AP1" t="s">
        <v>166</v>
      </c>
    </row>
    <row r="2" spans="1:43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W2" t="s">
        <v>321</v>
      </c>
      <c r="X2" t="s">
        <v>84</v>
      </c>
      <c r="Y2" t="s">
        <v>317</v>
      </c>
      <c r="AA2" t="s">
        <v>317</v>
      </c>
      <c r="AB2" t="s">
        <v>87</v>
      </c>
      <c r="AC2" t="s">
        <v>321</v>
      </c>
      <c r="AE2" t="s">
        <v>3</v>
      </c>
      <c r="AP2" t="s">
        <v>317</v>
      </c>
      <c r="AQ2">
        <v>1</v>
      </c>
    </row>
    <row r="3" spans="1:43" x14ac:dyDescent="0.3">
      <c r="A3" s="2" t="s">
        <v>4</v>
      </c>
      <c r="B3" t="s">
        <v>318</v>
      </c>
      <c r="C3" s="3">
        <f>E3*3+F3</f>
        <v>28</v>
      </c>
      <c r="D3">
        <v>13</v>
      </c>
      <c r="E3">
        <v>8</v>
      </c>
      <c r="F3">
        <v>4</v>
      </c>
      <c r="G3">
        <f>D3-E3-F3</f>
        <v>1</v>
      </c>
      <c r="H3">
        <v>23</v>
      </c>
      <c r="I3">
        <v>10</v>
      </c>
      <c r="J3">
        <f>H3-I3</f>
        <v>13</v>
      </c>
      <c r="L3" s="2" t="s">
        <v>4</v>
      </c>
      <c r="M3" t="s">
        <v>309</v>
      </c>
      <c r="N3" s="3">
        <f t="shared" ref="N3:N16" si="0">P3*3+Q3</f>
        <v>33</v>
      </c>
      <c r="O3">
        <v>13</v>
      </c>
      <c r="P3">
        <v>10</v>
      </c>
      <c r="Q3">
        <v>3</v>
      </c>
      <c r="R3">
        <f t="shared" ref="R3:R16" si="1">O3-P3-Q3</f>
        <v>0</v>
      </c>
      <c r="S3">
        <v>20</v>
      </c>
      <c r="T3">
        <v>17</v>
      </c>
      <c r="U3">
        <f t="shared" ref="U3:U16" si="2">S3-T3</f>
        <v>3</v>
      </c>
      <c r="AE3" t="s">
        <v>6</v>
      </c>
      <c r="AF3" t="s">
        <v>7</v>
      </c>
      <c r="AG3" t="s">
        <v>8</v>
      </c>
      <c r="AH3" t="s">
        <v>9</v>
      </c>
      <c r="AI3" t="s">
        <v>10</v>
      </c>
      <c r="AJ3" t="s">
        <v>11</v>
      </c>
      <c r="AK3" t="s">
        <v>12</v>
      </c>
      <c r="AL3" t="s">
        <v>13</v>
      </c>
      <c r="AM3" t="s">
        <v>14</v>
      </c>
      <c r="AN3" t="s">
        <v>15</v>
      </c>
      <c r="AP3" t="s">
        <v>313</v>
      </c>
      <c r="AQ3">
        <v>3</v>
      </c>
    </row>
    <row r="4" spans="1:43" x14ac:dyDescent="0.3">
      <c r="A4" s="5" t="s">
        <v>16</v>
      </c>
      <c r="B4" t="s">
        <v>308</v>
      </c>
      <c r="C4" s="3">
        <f t="shared" ref="C4:C11" si="3">E4*3+F4</f>
        <v>23</v>
      </c>
      <c r="D4">
        <v>13</v>
      </c>
      <c r="E4">
        <v>7</v>
      </c>
      <c r="F4">
        <v>2</v>
      </c>
      <c r="G4">
        <f t="shared" ref="G4:G16" si="4">D4-E4-F4</f>
        <v>4</v>
      </c>
      <c r="H4">
        <v>21</v>
      </c>
      <c r="I4">
        <v>13</v>
      </c>
      <c r="J4">
        <f t="shared" ref="J4:J16" si="5">H4-I4</f>
        <v>8</v>
      </c>
      <c r="L4" s="5" t="s">
        <v>16</v>
      </c>
      <c r="M4" t="s">
        <v>308</v>
      </c>
      <c r="N4" s="3">
        <f t="shared" si="0"/>
        <v>27</v>
      </c>
      <c r="O4">
        <v>13</v>
      </c>
      <c r="P4">
        <v>8</v>
      </c>
      <c r="Q4">
        <v>3</v>
      </c>
      <c r="R4">
        <f t="shared" si="1"/>
        <v>2</v>
      </c>
      <c r="S4">
        <v>28</v>
      </c>
      <c r="T4">
        <v>20</v>
      </c>
      <c r="U4">
        <f t="shared" si="2"/>
        <v>8</v>
      </c>
      <c r="W4" t="s">
        <v>2</v>
      </c>
      <c r="AE4" s="2" t="s">
        <v>4</v>
      </c>
      <c r="AF4" t="s">
        <v>319</v>
      </c>
      <c r="AG4" s="3">
        <f t="shared" ref="AG4:AG10" si="6">AI4*3+AJ4</f>
        <v>15</v>
      </c>
      <c r="AH4">
        <v>6</v>
      </c>
      <c r="AI4">
        <v>5</v>
      </c>
      <c r="AJ4">
        <v>0</v>
      </c>
      <c r="AK4">
        <f>AH4-AI4-AJ4</f>
        <v>1</v>
      </c>
      <c r="AL4">
        <v>11</v>
      </c>
      <c r="AM4">
        <v>6</v>
      </c>
      <c r="AN4">
        <f t="shared" ref="AN4:AN10" si="7">AL4-AM4</f>
        <v>5</v>
      </c>
    </row>
    <row r="5" spans="1:43" x14ac:dyDescent="0.3">
      <c r="A5" s="5" t="s">
        <v>21</v>
      </c>
      <c r="B5" t="s">
        <v>311</v>
      </c>
      <c r="C5" s="3">
        <f t="shared" si="3"/>
        <v>22</v>
      </c>
      <c r="D5">
        <v>13</v>
      </c>
      <c r="E5">
        <v>7</v>
      </c>
      <c r="F5">
        <v>1</v>
      </c>
      <c r="G5">
        <f t="shared" si="4"/>
        <v>5</v>
      </c>
      <c r="H5">
        <v>23</v>
      </c>
      <c r="I5">
        <v>17</v>
      </c>
      <c r="J5">
        <f t="shared" si="5"/>
        <v>6</v>
      </c>
      <c r="L5" s="5" t="s">
        <v>21</v>
      </c>
      <c r="M5" t="s">
        <v>317</v>
      </c>
      <c r="N5" s="3">
        <f t="shared" si="0"/>
        <v>23</v>
      </c>
      <c r="O5">
        <v>13</v>
      </c>
      <c r="P5">
        <v>7</v>
      </c>
      <c r="Q5">
        <v>2</v>
      </c>
      <c r="R5">
        <f t="shared" si="1"/>
        <v>4</v>
      </c>
      <c r="S5">
        <v>22</v>
      </c>
      <c r="T5">
        <v>15</v>
      </c>
      <c r="U5">
        <f t="shared" si="2"/>
        <v>7</v>
      </c>
      <c r="W5" s="1" t="s">
        <v>4</v>
      </c>
      <c r="X5" t="s">
        <v>309</v>
      </c>
      <c r="AE5" s="5" t="s">
        <v>16</v>
      </c>
      <c r="AF5" t="s">
        <v>317</v>
      </c>
      <c r="AG5" s="3">
        <f t="shared" si="6"/>
        <v>12</v>
      </c>
      <c r="AH5">
        <v>6</v>
      </c>
      <c r="AI5">
        <v>4</v>
      </c>
      <c r="AJ5">
        <v>0</v>
      </c>
      <c r="AK5">
        <f t="shared" ref="AK5:AK10" si="8">AH5-AI5-AJ5</f>
        <v>2</v>
      </c>
      <c r="AL5">
        <v>11</v>
      </c>
      <c r="AM5">
        <v>10</v>
      </c>
      <c r="AN5">
        <f t="shared" si="7"/>
        <v>1</v>
      </c>
    </row>
    <row r="6" spans="1:43" x14ac:dyDescent="0.3">
      <c r="A6" s="5" t="s">
        <v>24</v>
      </c>
      <c r="B6" t="s">
        <v>314</v>
      </c>
      <c r="C6" s="3">
        <f t="shared" si="3"/>
        <v>22</v>
      </c>
      <c r="D6">
        <v>13</v>
      </c>
      <c r="E6">
        <v>7</v>
      </c>
      <c r="F6">
        <v>1</v>
      </c>
      <c r="G6">
        <f t="shared" si="4"/>
        <v>5</v>
      </c>
      <c r="H6">
        <v>13</v>
      </c>
      <c r="I6">
        <v>14</v>
      </c>
      <c r="J6">
        <f t="shared" si="5"/>
        <v>-1</v>
      </c>
      <c r="L6" s="5" t="s">
        <v>24</v>
      </c>
      <c r="M6" t="s">
        <v>314</v>
      </c>
      <c r="N6" s="3">
        <f t="shared" si="0"/>
        <v>22</v>
      </c>
      <c r="O6">
        <v>13</v>
      </c>
      <c r="P6">
        <v>7</v>
      </c>
      <c r="Q6">
        <v>1</v>
      </c>
      <c r="R6">
        <f t="shared" si="1"/>
        <v>5</v>
      </c>
      <c r="S6">
        <v>25</v>
      </c>
      <c r="T6">
        <v>19</v>
      </c>
      <c r="U6">
        <f t="shared" si="2"/>
        <v>6</v>
      </c>
      <c r="W6" s="9" t="s">
        <v>16</v>
      </c>
      <c r="X6" t="s">
        <v>308</v>
      </c>
      <c r="AE6" s="5" t="s">
        <v>21</v>
      </c>
      <c r="AF6" t="s">
        <v>308</v>
      </c>
      <c r="AG6" s="3">
        <f t="shared" si="6"/>
        <v>10</v>
      </c>
      <c r="AH6">
        <v>6</v>
      </c>
      <c r="AI6">
        <v>3</v>
      </c>
      <c r="AJ6">
        <v>1</v>
      </c>
      <c r="AK6">
        <f t="shared" si="8"/>
        <v>2</v>
      </c>
      <c r="AL6">
        <v>13</v>
      </c>
      <c r="AM6">
        <v>10</v>
      </c>
      <c r="AN6">
        <f t="shared" si="7"/>
        <v>3</v>
      </c>
    </row>
    <row r="7" spans="1:43" x14ac:dyDescent="0.3">
      <c r="A7" s="5" t="s">
        <v>27</v>
      </c>
      <c r="B7" t="s">
        <v>321</v>
      </c>
      <c r="C7" s="3">
        <f t="shared" si="3"/>
        <v>20</v>
      </c>
      <c r="D7">
        <v>13</v>
      </c>
      <c r="E7">
        <v>6</v>
      </c>
      <c r="F7">
        <v>2</v>
      </c>
      <c r="G7">
        <f t="shared" si="4"/>
        <v>5</v>
      </c>
      <c r="H7">
        <v>21</v>
      </c>
      <c r="I7">
        <v>17</v>
      </c>
      <c r="J7">
        <f t="shared" si="5"/>
        <v>4</v>
      </c>
      <c r="L7" s="5" t="s">
        <v>27</v>
      </c>
      <c r="M7" t="s">
        <v>315</v>
      </c>
      <c r="N7" s="3">
        <f t="shared" si="0"/>
        <v>20</v>
      </c>
      <c r="O7">
        <v>13</v>
      </c>
      <c r="P7">
        <v>5</v>
      </c>
      <c r="Q7">
        <v>5</v>
      </c>
      <c r="R7">
        <f t="shared" si="1"/>
        <v>3</v>
      </c>
      <c r="S7">
        <v>25</v>
      </c>
      <c r="T7">
        <v>21</v>
      </c>
      <c r="U7">
        <f t="shared" si="2"/>
        <v>4</v>
      </c>
      <c r="W7" s="6" t="s">
        <v>21</v>
      </c>
      <c r="X7" t="s">
        <v>318</v>
      </c>
      <c r="AE7" s="5" t="s">
        <v>24</v>
      </c>
      <c r="AF7" t="s">
        <v>314</v>
      </c>
      <c r="AG7" s="3">
        <f t="shared" si="6"/>
        <v>9</v>
      </c>
      <c r="AH7">
        <v>6</v>
      </c>
      <c r="AI7">
        <v>3</v>
      </c>
      <c r="AJ7">
        <v>0</v>
      </c>
      <c r="AK7">
        <f t="shared" si="8"/>
        <v>3</v>
      </c>
      <c r="AL7">
        <v>12</v>
      </c>
      <c r="AM7">
        <v>8</v>
      </c>
      <c r="AN7">
        <f t="shared" si="7"/>
        <v>4</v>
      </c>
    </row>
    <row r="8" spans="1:43" x14ac:dyDescent="0.3">
      <c r="A8" s="5" t="s">
        <v>31</v>
      </c>
      <c r="B8" t="s">
        <v>309</v>
      </c>
      <c r="C8" s="3">
        <f t="shared" si="3"/>
        <v>19</v>
      </c>
      <c r="D8">
        <v>13</v>
      </c>
      <c r="E8">
        <v>5</v>
      </c>
      <c r="F8">
        <v>4</v>
      </c>
      <c r="G8">
        <f t="shared" si="4"/>
        <v>4</v>
      </c>
      <c r="H8">
        <v>21</v>
      </c>
      <c r="I8">
        <v>19</v>
      </c>
      <c r="J8">
        <f t="shared" si="5"/>
        <v>2</v>
      </c>
      <c r="L8" s="5" t="s">
        <v>31</v>
      </c>
      <c r="M8" t="s">
        <v>318</v>
      </c>
      <c r="N8" s="3">
        <f t="shared" si="0"/>
        <v>18</v>
      </c>
      <c r="O8">
        <v>13</v>
      </c>
      <c r="P8">
        <v>5</v>
      </c>
      <c r="Q8">
        <v>3</v>
      </c>
      <c r="R8">
        <f t="shared" si="1"/>
        <v>5</v>
      </c>
      <c r="S8">
        <v>20</v>
      </c>
      <c r="T8">
        <v>25</v>
      </c>
      <c r="U8">
        <f t="shared" si="2"/>
        <v>-5</v>
      </c>
      <c r="W8" s="6" t="s">
        <v>24</v>
      </c>
      <c r="X8" t="s">
        <v>314</v>
      </c>
      <c r="AE8" t="s">
        <v>27</v>
      </c>
      <c r="AF8" t="s">
        <v>312</v>
      </c>
      <c r="AG8" s="3">
        <f t="shared" si="6"/>
        <v>7</v>
      </c>
      <c r="AH8">
        <v>6</v>
      </c>
      <c r="AI8">
        <v>2</v>
      </c>
      <c r="AJ8">
        <v>1</v>
      </c>
      <c r="AK8">
        <f t="shared" si="8"/>
        <v>3</v>
      </c>
      <c r="AL8">
        <v>8</v>
      </c>
      <c r="AM8">
        <v>12</v>
      </c>
      <c r="AN8">
        <f t="shared" si="7"/>
        <v>-4</v>
      </c>
    </row>
    <row r="9" spans="1:43" x14ac:dyDescent="0.3">
      <c r="A9" s="5" t="s">
        <v>34</v>
      </c>
      <c r="B9" t="s">
        <v>317</v>
      </c>
      <c r="C9" s="3">
        <f t="shared" si="3"/>
        <v>18</v>
      </c>
      <c r="D9">
        <v>13</v>
      </c>
      <c r="E9">
        <v>5</v>
      </c>
      <c r="F9">
        <v>3</v>
      </c>
      <c r="G9">
        <f t="shared" si="4"/>
        <v>5</v>
      </c>
      <c r="H9">
        <v>20</v>
      </c>
      <c r="I9">
        <v>16</v>
      </c>
      <c r="J9">
        <f t="shared" si="5"/>
        <v>4</v>
      </c>
      <c r="L9" s="5" t="s">
        <v>34</v>
      </c>
      <c r="M9" t="s">
        <v>321</v>
      </c>
      <c r="N9" s="3">
        <f t="shared" si="0"/>
        <v>18</v>
      </c>
      <c r="O9">
        <v>13</v>
      </c>
      <c r="P9">
        <v>5</v>
      </c>
      <c r="Q9">
        <v>3</v>
      </c>
      <c r="R9">
        <f t="shared" si="1"/>
        <v>5</v>
      </c>
      <c r="S9">
        <v>13</v>
      </c>
      <c r="T9">
        <v>14</v>
      </c>
      <c r="U9">
        <f t="shared" si="2"/>
        <v>-1</v>
      </c>
      <c r="W9" s="1" t="s">
        <v>27</v>
      </c>
      <c r="X9" t="s">
        <v>317</v>
      </c>
      <c r="AE9" t="s">
        <v>31</v>
      </c>
      <c r="AF9" t="s">
        <v>309</v>
      </c>
      <c r="AG9" s="3">
        <f t="shared" si="6"/>
        <v>4</v>
      </c>
      <c r="AH9">
        <v>6</v>
      </c>
      <c r="AI9">
        <v>1</v>
      </c>
      <c r="AJ9">
        <v>1</v>
      </c>
      <c r="AK9">
        <f t="shared" si="8"/>
        <v>4</v>
      </c>
      <c r="AL9">
        <v>8</v>
      </c>
      <c r="AM9">
        <v>12</v>
      </c>
      <c r="AN9">
        <f t="shared" si="7"/>
        <v>-4</v>
      </c>
    </row>
    <row r="10" spans="1:43" x14ac:dyDescent="0.3">
      <c r="A10" s="5" t="s">
        <v>37</v>
      </c>
      <c r="B10" t="s">
        <v>310</v>
      </c>
      <c r="C10" s="3">
        <f t="shared" si="3"/>
        <v>18</v>
      </c>
      <c r="D10">
        <v>13</v>
      </c>
      <c r="E10">
        <v>5</v>
      </c>
      <c r="F10">
        <v>3</v>
      </c>
      <c r="G10">
        <f t="shared" si="4"/>
        <v>5</v>
      </c>
      <c r="H10">
        <v>14</v>
      </c>
      <c r="I10">
        <v>15</v>
      </c>
      <c r="J10">
        <f t="shared" si="5"/>
        <v>-1</v>
      </c>
      <c r="L10" s="5" t="s">
        <v>37</v>
      </c>
      <c r="M10" t="s">
        <v>313</v>
      </c>
      <c r="N10" s="3">
        <f t="shared" si="0"/>
        <v>18</v>
      </c>
      <c r="O10">
        <v>13</v>
      </c>
      <c r="P10">
        <v>5</v>
      </c>
      <c r="Q10">
        <v>3</v>
      </c>
      <c r="R10">
        <f t="shared" si="1"/>
        <v>5</v>
      </c>
      <c r="S10">
        <v>16</v>
      </c>
      <c r="T10">
        <v>17</v>
      </c>
      <c r="U10">
        <f t="shared" si="2"/>
        <v>-1</v>
      </c>
      <c r="W10" s="4" t="s">
        <v>31</v>
      </c>
      <c r="X10" t="s">
        <v>321</v>
      </c>
      <c r="AE10" t="s">
        <v>34</v>
      </c>
      <c r="AF10" t="s">
        <v>316</v>
      </c>
      <c r="AG10" s="3">
        <f t="shared" si="6"/>
        <v>4</v>
      </c>
      <c r="AH10">
        <v>6</v>
      </c>
      <c r="AI10">
        <v>1</v>
      </c>
      <c r="AJ10">
        <v>1</v>
      </c>
      <c r="AK10">
        <f t="shared" si="8"/>
        <v>4</v>
      </c>
      <c r="AL10">
        <v>9</v>
      </c>
      <c r="AM10">
        <v>14</v>
      </c>
      <c r="AN10">
        <f t="shared" si="7"/>
        <v>-5</v>
      </c>
    </row>
    <row r="11" spans="1:43" x14ac:dyDescent="0.3">
      <c r="A11" t="s">
        <v>38</v>
      </c>
      <c r="B11" t="s">
        <v>315</v>
      </c>
      <c r="C11" s="3">
        <f t="shared" si="3"/>
        <v>18</v>
      </c>
      <c r="D11">
        <v>13</v>
      </c>
      <c r="E11">
        <v>6</v>
      </c>
      <c r="F11">
        <v>0</v>
      </c>
      <c r="G11">
        <f t="shared" si="4"/>
        <v>7</v>
      </c>
      <c r="H11">
        <v>13</v>
      </c>
      <c r="I11">
        <v>16</v>
      </c>
      <c r="J11">
        <f t="shared" si="5"/>
        <v>-3</v>
      </c>
      <c r="L11" t="s">
        <v>38</v>
      </c>
      <c r="M11" t="s">
        <v>319</v>
      </c>
      <c r="N11" s="3">
        <f t="shared" si="0"/>
        <v>17</v>
      </c>
      <c r="O11">
        <v>13</v>
      </c>
      <c r="P11">
        <v>5</v>
      </c>
      <c r="Q11">
        <v>2</v>
      </c>
      <c r="R11">
        <f t="shared" si="1"/>
        <v>6</v>
      </c>
      <c r="S11">
        <v>23</v>
      </c>
      <c r="T11">
        <v>22</v>
      </c>
      <c r="U11">
        <f t="shared" si="2"/>
        <v>1</v>
      </c>
      <c r="W11" s="6" t="s">
        <v>34</v>
      </c>
      <c r="X11" t="s">
        <v>315</v>
      </c>
    </row>
    <row r="12" spans="1:43" x14ac:dyDescent="0.3">
      <c r="A12" t="s">
        <v>41</v>
      </c>
      <c r="B12" t="s">
        <v>312</v>
      </c>
      <c r="C12" s="3">
        <f>E12*3+F12</f>
        <v>17</v>
      </c>
      <c r="D12">
        <v>13</v>
      </c>
      <c r="E12">
        <v>5</v>
      </c>
      <c r="F12">
        <v>2</v>
      </c>
      <c r="G12">
        <f t="shared" si="4"/>
        <v>6</v>
      </c>
      <c r="H12">
        <v>16</v>
      </c>
      <c r="I12">
        <v>18</v>
      </c>
      <c r="J12">
        <f t="shared" si="5"/>
        <v>-2</v>
      </c>
      <c r="L12" t="s">
        <v>41</v>
      </c>
      <c r="M12" t="s">
        <v>310</v>
      </c>
      <c r="N12" s="3">
        <f t="shared" si="0"/>
        <v>17</v>
      </c>
      <c r="O12">
        <v>13</v>
      </c>
      <c r="P12">
        <v>5</v>
      </c>
      <c r="Q12">
        <v>2</v>
      </c>
      <c r="R12">
        <f t="shared" si="1"/>
        <v>6</v>
      </c>
      <c r="S12">
        <v>17</v>
      </c>
      <c r="T12">
        <v>17</v>
      </c>
      <c r="U12">
        <f t="shared" si="2"/>
        <v>0</v>
      </c>
      <c r="W12" s="6" t="s">
        <v>37</v>
      </c>
      <c r="X12" t="s">
        <v>310</v>
      </c>
      <c r="AE12" t="s">
        <v>56</v>
      </c>
    </row>
    <row r="13" spans="1:43" x14ac:dyDescent="0.3">
      <c r="A13" t="s">
        <v>43</v>
      </c>
      <c r="B13" t="s">
        <v>319</v>
      </c>
      <c r="C13" s="3">
        <f>E13*3+F13</f>
        <v>17</v>
      </c>
      <c r="D13">
        <v>13</v>
      </c>
      <c r="E13">
        <v>5</v>
      </c>
      <c r="F13">
        <v>2</v>
      </c>
      <c r="G13">
        <f t="shared" si="4"/>
        <v>6</v>
      </c>
      <c r="H13">
        <v>13</v>
      </c>
      <c r="I13">
        <v>15</v>
      </c>
      <c r="J13">
        <f t="shared" si="5"/>
        <v>-2</v>
      </c>
      <c r="L13" t="s">
        <v>43</v>
      </c>
      <c r="M13" t="s">
        <v>316</v>
      </c>
      <c r="N13" s="3">
        <f t="shared" si="0"/>
        <v>15</v>
      </c>
      <c r="O13">
        <v>13</v>
      </c>
      <c r="P13">
        <v>4</v>
      </c>
      <c r="Q13">
        <v>3</v>
      </c>
      <c r="R13">
        <f t="shared" si="1"/>
        <v>6</v>
      </c>
      <c r="S13">
        <v>11</v>
      </c>
      <c r="T13">
        <v>21</v>
      </c>
      <c r="U13">
        <f t="shared" si="2"/>
        <v>-10</v>
      </c>
      <c r="W13" s="8" t="s">
        <v>38</v>
      </c>
      <c r="X13" t="s">
        <v>319</v>
      </c>
      <c r="AE13" t="s">
        <v>6</v>
      </c>
      <c r="AF13" t="s">
        <v>7</v>
      </c>
      <c r="AG13" t="s">
        <v>8</v>
      </c>
      <c r="AH13" t="s">
        <v>9</v>
      </c>
      <c r="AI13" t="s">
        <v>10</v>
      </c>
      <c r="AJ13" t="s">
        <v>11</v>
      </c>
      <c r="AK13" t="s">
        <v>12</v>
      </c>
      <c r="AL13" t="s">
        <v>13</v>
      </c>
      <c r="AM13" t="s">
        <v>14</v>
      </c>
      <c r="AN13" t="s">
        <v>15</v>
      </c>
    </row>
    <row r="14" spans="1:43" x14ac:dyDescent="0.3">
      <c r="A14" t="s">
        <v>44</v>
      </c>
      <c r="B14" t="s">
        <v>320</v>
      </c>
      <c r="C14" s="3">
        <f>E14*3+F14</f>
        <v>14</v>
      </c>
      <c r="D14">
        <v>13</v>
      </c>
      <c r="E14">
        <v>4</v>
      </c>
      <c r="F14">
        <v>2</v>
      </c>
      <c r="G14">
        <f t="shared" si="4"/>
        <v>7</v>
      </c>
      <c r="H14">
        <v>12</v>
      </c>
      <c r="I14">
        <v>20</v>
      </c>
      <c r="J14">
        <f t="shared" si="5"/>
        <v>-8</v>
      </c>
      <c r="L14" t="s">
        <v>44</v>
      </c>
      <c r="M14" t="s">
        <v>320</v>
      </c>
      <c r="N14" s="3">
        <f t="shared" si="0"/>
        <v>11</v>
      </c>
      <c r="O14">
        <v>13</v>
      </c>
      <c r="P14">
        <v>3</v>
      </c>
      <c r="Q14">
        <v>2</v>
      </c>
      <c r="R14">
        <f t="shared" si="1"/>
        <v>8</v>
      </c>
      <c r="S14">
        <v>18</v>
      </c>
      <c r="T14">
        <v>24</v>
      </c>
      <c r="U14">
        <f t="shared" si="2"/>
        <v>-6</v>
      </c>
      <c r="W14" t="s">
        <v>41</v>
      </c>
      <c r="X14" t="s">
        <v>311</v>
      </c>
      <c r="AE14" s="2" t="s">
        <v>4</v>
      </c>
      <c r="AF14" t="s">
        <v>321</v>
      </c>
      <c r="AG14" s="3">
        <f t="shared" ref="AG14:AG20" si="9">AI14*3+AJ14</f>
        <v>10</v>
      </c>
      <c r="AH14">
        <v>6</v>
      </c>
      <c r="AI14">
        <v>3</v>
      </c>
      <c r="AJ14">
        <v>1</v>
      </c>
      <c r="AK14">
        <f>AH14-AI14-AJ14</f>
        <v>2</v>
      </c>
      <c r="AL14">
        <v>9</v>
      </c>
      <c r="AM14">
        <v>6</v>
      </c>
      <c r="AN14">
        <f t="shared" ref="AN14:AN20" si="10">AL14-AM14</f>
        <v>3</v>
      </c>
    </row>
    <row r="15" spans="1:43" x14ac:dyDescent="0.3">
      <c r="A15" t="s">
        <v>47</v>
      </c>
      <c r="B15" t="s">
        <v>316</v>
      </c>
      <c r="C15" s="3">
        <f>E15*3+F15</f>
        <v>13</v>
      </c>
      <c r="D15">
        <v>13</v>
      </c>
      <c r="E15">
        <v>3</v>
      </c>
      <c r="F15">
        <v>4</v>
      </c>
      <c r="G15">
        <f>D15-E15-F15</f>
        <v>6</v>
      </c>
      <c r="H15">
        <v>8</v>
      </c>
      <c r="I15">
        <v>14</v>
      </c>
      <c r="J15">
        <f t="shared" si="5"/>
        <v>-6</v>
      </c>
      <c r="L15" t="s">
        <v>47</v>
      </c>
      <c r="M15" t="s">
        <v>311</v>
      </c>
      <c r="N15" s="3">
        <f t="shared" si="0"/>
        <v>10</v>
      </c>
      <c r="O15">
        <v>13</v>
      </c>
      <c r="P15">
        <v>3</v>
      </c>
      <c r="Q15">
        <v>1</v>
      </c>
      <c r="R15">
        <f t="shared" si="1"/>
        <v>9</v>
      </c>
      <c r="S15">
        <v>19</v>
      </c>
      <c r="T15">
        <v>28</v>
      </c>
      <c r="U15">
        <f t="shared" si="2"/>
        <v>-9</v>
      </c>
      <c r="W15" t="s">
        <v>43</v>
      </c>
      <c r="X15" t="s">
        <v>316</v>
      </c>
      <c r="AE15" s="5" t="s">
        <v>16</v>
      </c>
      <c r="AF15" t="s">
        <v>318</v>
      </c>
      <c r="AG15" s="3">
        <f t="shared" si="9"/>
        <v>10</v>
      </c>
      <c r="AH15">
        <v>6</v>
      </c>
      <c r="AI15">
        <v>3</v>
      </c>
      <c r="AJ15">
        <v>1</v>
      </c>
      <c r="AK15">
        <f t="shared" ref="AK15:AK20" si="11">AH15-AI15-AJ15</f>
        <v>2</v>
      </c>
      <c r="AL15">
        <v>6</v>
      </c>
      <c r="AM15">
        <v>4</v>
      </c>
      <c r="AN15">
        <f t="shared" si="10"/>
        <v>2</v>
      </c>
    </row>
    <row r="16" spans="1:43" x14ac:dyDescent="0.3">
      <c r="A16" t="s">
        <v>49</v>
      </c>
      <c r="B16" t="s">
        <v>313</v>
      </c>
      <c r="C16" s="3">
        <f>E16*3+F16</f>
        <v>8</v>
      </c>
      <c r="D16">
        <v>13</v>
      </c>
      <c r="E16">
        <v>2</v>
      </c>
      <c r="F16">
        <v>2</v>
      </c>
      <c r="G16">
        <f t="shared" si="4"/>
        <v>9</v>
      </c>
      <c r="H16">
        <v>6</v>
      </c>
      <c r="I16">
        <v>20</v>
      </c>
      <c r="J16">
        <f t="shared" si="5"/>
        <v>-14</v>
      </c>
      <c r="L16" t="s">
        <v>49</v>
      </c>
      <c r="M16" t="s">
        <v>312</v>
      </c>
      <c r="N16" s="3">
        <f t="shared" si="0"/>
        <v>7</v>
      </c>
      <c r="O16">
        <v>13</v>
      </c>
      <c r="P16">
        <v>2</v>
      </c>
      <c r="Q16">
        <v>1</v>
      </c>
      <c r="R16">
        <f t="shared" si="1"/>
        <v>10</v>
      </c>
      <c r="S16">
        <v>7</v>
      </c>
      <c r="T16">
        <v>24</v>
      </c>
      <c r="U16">
        <f t="shared" si="2"/>
        <v>-17</v>
      </c>
      <c r="W16" t="s">
        <v>44</v>
      </c>
      <c r="X16" t="s">
        <v>313</v>
      </c>
      <c r="AE16" s="5" t="s">
        <v>21</v>
      </c>
      <c r="AF16" t="s">
        <v>313</v>
      </c>
      <c r="AG16" s="3">
        <f t="shared" si="9"/>
        <v>10</v>
      </c>
      <c r="AH16">
        <v>6</v>
      </c>
      <c r="AI16">
        <v>3</v>
      </c>
      <c r="AJ16">
        <v>1</v>
      </c>
      <c r="AK16">
        <f t="shared" si="11"/>
        <v>2</v>
      </c>
      <c r="AL16">
        <v>5</v>
      </c>
      <c r="AM16">
        <v>4</v>
      </c>
      <c r="AN16">
        <f t="shared" si="10"/>
        <v>1</v>
      </c>
    </row>
    <row r="17" spans="1:40" x14ac:dyDescent="0.3">
      <c r="W17" t="s">
        <v>47</v>
      </c>
      <c r="X17" t="s">
        <v>320</v>
      </c>
      <c r="AE17" s="5" t="s">
        <v>24</v>
      </c>
      <c r="AF17" t="s">
        <v>310</v>
      </c>
      <c r="AG17" s="3">
        <f t="shared" si="9"/>
        <v>10</v>
      </c>
      <c r="AH17">
        <v>6</v>
      </c>
      <c r="AI17">
        <v>3</v>
      </c>
      <c r="AJ17">
        <v>1</v>
      </c>
      <c r="AK17">
        <f t="shared" si="11"/>
        <v>2</v>
      </c>
      <c r="AL17">
        <v>6</v>
      </c>
      <c r="AM17">
        <v>6</v>
      </c>
      <c r="AN17">
        <f t="shared" si="10"/>
        <v>0</v>
      </c>
    </row>
    <row r="18" spans="1:40" x14ac:dyDescent="0.3">
      <c r="A18" t="s">
        <v>3</v>
      </c>
      <c r="L18" t="s">
        <v>3</v>
      </c>
      <c r="W18" t="s">
        <v>49</v>
      </c>
      <c r="X18" t="s">
        <v>312</v>
      </c>
      <c r="AE18" t="s">
        <v>27</v>
      </c>
      <c r="AF18" t="s">
        <v>320</v>
      </c>
      <c r="AG18" s="3">
        <f t="shared" si="9"/>
        <v>9</v>
      </c>
      <c r="AH18">
        <v>6</v>
      </c>
      <c r="AI18">
        <v>3</v>
      </c>
      <c r="AJ18">
        <v>0</v>
      </c>
      <c r="AK18">
        <f t="shared" si="11"/>
        <v>3</v>
      </c>
      <c r="AL18">
        <v>8</v>
      </c>
      <c r="AM18">
        <v>6</v>
      </c>
      <c r="AN18">
        <f t="shared" si="10"/>
        <v>2</v>
      </c>
    </row>
    <row r="19" spans="1:40" x14ac:dyDescent="0.3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L19" t="s">
        <v>6</v>
      </c>
      <c r="M19" t="s">
        <v>7</v>
      </c>
      <c r="N19" t="s">
        <v>8</v>
      </c>
      <c r="O19" t="s">
        <v>9</v>
      </c>
      <c r="P19" t="s">
        <v>10</v>
      </c>
      <c r="Q19" t="s">
        <v>11</v>
      </c>
      <c r="R19" t="s">
        <v>12</v>
      </c>
      <c r="S19" t="s">
        <v>13</v>
      </c>
      <c r="T19" t="s">
        <v>14</v>
      </c>
      <c r="U19" t="s">
        <v>15</v>
      </c>
      <c r="AE19" t="s">
        <v>31</v>
      </c>
      <c r="AF19" t="s">
        <v>315</v>
      </c>
      <c r="AG19" s="3">
        <f t="shared" si="9"/>
        <v>7</v>
      </c>
      <c r="AH19">
        <v>6</v>
      </c>
      <c r="AI19">
        <v>2</v>
      </c>
      <c r="AJ19">
        <v>1</v>
      </c>
      <c r="AK19">
        <f t="shared" si="11"/>
        <v>3</v>
      </c>
      <c r="AL19">
        <v>7</v>
      </c>
      <c r="AM19">
        <v>9</v>
      </c>
      <c r="AN19">
        <f t="shared" si="10"/>
        <v>-2</v>
      </c>
    </row>
    <row r="20" spans="1:40" x14ac:dyDescent="0.3">
      <c r="A20" s="2" t="s">
        <v>4</v>
      </c>
      <c r="B20" t="s">
        <v>317</v>
      </c>
      <c r="C20" s="3">
        <f>E20*3+F20</f>
        <v>12</v>
      </c>
      <c r="D20">
        <v>6</v>
      </c>
      <c r="E20">
        <v>3</v>
      </c>
      <c r="F20">
        <v>3</v>
      </c>
      <c r="G20">
        <f>D20-E20-F20</f>
        <v>0</v>
      </c>
      <c r="H20">
        <v>9</v>
      </c>
      <c r="I20">
        <v>6</v>
      </c>
      <c r="J20">
        <f>H20-I20</f>
        <v>3</v>
      </c>
      <c r="L20" s="2" t="s">
        <v>4</v>
      </c>
      <c r="M20" t="s">
        <v>321</v>
      </c>
      <c r="N20" s="3">
        <f>P20*3+Q20</f>
        <v>10</v>
      </c>
      <c r="O20">
        <v>6</v>
      </c>
      <c r="P20">
        <v>2</v>
      </c>
      <c r="Q20">
        <v>4</v>
      </c>
      <c r="R20">
        <f>O20-P20-Q20</f>
        <v>0</v>
      </c>
      <c r="S20">
        <v>8</v>
      </c>
      <c r="T20">
        <v>6</v>
      </c>
      <c r="U20">
        <f>S20-T20</f>
        <v>2</v>
      </c>
      <c r="AE20" t="s">
        <v>34</v>
      </c>
      <c r="AF20" t="s">
        <v>311</v>
      </c>
      <c r="AG20" s="3">
        <f t="shared" si="9"/>
        <v>4</v>
      </c>
      <c r="AH20">
        <v>6</v>
      </c>
      <c r="AI20">
        <v>1</v>
      </c>
      <c r="AJ20">
        <v>1</v>
      </c>
      <c r="AK20">
        <f t="shared" si="11"/>
        <v>4</v>
      </c>
      <c r="AL20">
        <v>6</v>
      </c>
      <c r="AM20">
        <v>12</v>
      </c>
      <c r="AN20">
        <f t="shared" si="10"/>
        <v>-6</v>
      </c>
    </row>
    <row r="21" spans="1:40" x14ac:dyDescent="0.3">
      <c r="A21" t="s">
        <v>16</v>
      </c>
      <c r="B21" t="s">
        <v>310</v>
      </c>
      <c r="C21" s="3">
        <f t="shared" ref="C21:C23" si="12">E21*3+F21</f>
        <v>10</v>
      </c>
      <c r="D21">
        <v>6</v>
      </c>
      <c r="E21">
        <v>3</v>
      </c>
      <c r="F21">
        <v>1</v>
      </c>
      <c r="G21">
        <f t="shared" ref="G21:G23" si="13">D21-E21-F21</f>
        <v>2</v>
      </c>
      <c r="H21">
        <v>6</v>
      </c>
      <c r="I21">
        <v>4</v>
      </c>
      <c r="J21">
        <f t="shared" ref="J21:J23" si="14">H21-I21</f>
        <v>2</v>
      </c>
      <c r="L21" t="s">
        <v>16</v>
      </c>
      <c r="M21" t="s">
        <v>314</v>
      </c>
      <c r="N21" s="3">
        <f t="shared" ref="N21:N23" si="15">P21*3+Q21</f>
        <v>9</v>
      </c>
      <c r="O21">
        <v>6</v>
      </c>
      <c r="P21">
        <v>2</v>
      </c>
      <c r="Q21">
        <v>3</v>
      </c>
      <c r="R21">
        <f t="shared" ref="R21:R23" si="16">O21-P21-Q21</f>
        <v>1</v>
      </c>
      <c r="S21">
        <v>6</v>
      </c>
      <c r="T21">
        <v>5</v>
      </c>
      <c r="U21">
        <f t="shared" ref="U21:U23" si="17">S21-T21</f>
        <v>1</v>
      </c>
    </row>
    <row r="22" spans="1:40" x14ac:dyDescent="0.3">
      <c r="A22" t="s">
        <v>21</v>
      </c>
      <c r="B22" t="s">
        <v>311</v>
      </c>
      <c r="C22" s="3">
        <f t="shared" si="12"/>
        <v>6</v>
      </c>
      <c r="D22">
        <v>6</v>
      </c>
      <c r="E22">
        <v>1</v>
      </c>
      <c r="F22">
        <v>3</v>
      </c>
      <c r="G22">
        <f t="shared" si="13"/>
        <v>2</v>
      </c>
      <c r="H22">
        <v>7</v>
      </c>
      <c r="I22">
        <v>8</v>
      </c>
      <c r="J22">
        <f t="shared" si="14"/>
        <v>-1</v>
      </c>
      <c r="L22" t="s">
        <v>21</v>
      </c>
      <c r="M22" t="s">
        <v>318</v>
      </c>
      <c r="N22" s="3">
        <f t="shared" si="15"/>
        <v>7</v>
      </c>
      <c r="O22">
        <v>6</v>
      </c>
      <c r="P22">
        <v>2</v>
      </c>
      <c r="Q22">
        <v>1</v>
      </c>
      <c r="R22">
        <f t="shared" si="16"/>
        <v>3</v>
      </c>
      <c r="S22">
        <v>4</v>
      </c>
      <c r="T22">
        <v>7</v>
      </c>
      <c r="U22">
        <f t="shared" si="17"/>
        <v>-3</v>
      </c>
      <c r="AE22" t="s">
        <v>91</v>
      </c>
    </row>
    <row r="23" spans="1:40" x14ac:dyDescent="0.3">
      <c r="A23" t="s">
        <v>24</v>
      </c>
      <c r="B23" t="s">
        <v>318</v>
      </c>
      <c r="C23" s="3">
        <f t="shared" si="12"/>
        <v>4</v>
      </c>
      <c r="D23">
        <v>6</v>
      </c>
      <c r="E23">
        <v>1</v>
      </c>
      <c r="F23">
        <v>1</v>
      </c>
      <c r="G23">
        <f t="shared" si="13"/>
        <v>4</v>
      </c>
      <c r="H23">
        <v>5</v>
      </c>
      <c r="I23">
        <v>9</v>
      </c>
      <c r="J23">
        <f t="shared" si="14"/>
        <v>-4</v>
      </c>
      <c r="L23" t="s">
        <v>24</v>
      </c>
      <c r="M23" t="s">
        <v>309</v>
      </c>
      <c r="N23" s="3">
        <f t="shared" si="15"/>
        <v>5</v>
      </c>
      <c r="O23">
        <v>6</v>
      </c>
      <c r="P23">
        <v>1</v>
      </c>
      <c r="Q23">
        <v>2</v>
      </c>
      <c r="R23">
        <f t="shared" si="16"/>
        <v>3</v>
      </c>
      <c r="S23">
        <v>7</v>
      </c>
      <c r="T23">
        <v>7</v>
      </c>
      <c r="U23">
        <f t="shared" si="17"/>
        <v>0</v>
      </c>
      <c r="AE23" t="str">
        <f>AF17</f>
        <v>Caracas</v>
      </c>
      <c r="AF23" t="s">
        <v>108</v>
      </c>
      <c r="AG23" t="str">
        <f>AF4</f>
        <v>UCV</v>
      </c>
      <c r="AI23" t="str">
        <f>AF4</f>
        <v>UCV</v>
      </c>
      <c r="AJ23" t="s">
        <v>80</v>
      </c>
      <c r="AK23" t="str">
        <f>AF17</f>
        <v>Caracas</v>
      </c>
    </row>
    <row r="24" spans="1:40" x14ac:dyDescent="0.3">
      <c r="AE24" t="str">
        <f>AF6</f>
        <v>Trujillanos</v>
      </c>
      <c r="AF24" t="s">
        <v>87</v>
      </c>
      <c r="AG24" t="str">
        <f>AF15</f>
        <v>Monagas</v>
      </c>
      <c r="AI24" t="str">
        <f>AF15</f>
        <v>Monagas</v>
      </c>
      <c r="AJ24" t="s">
        <v>145</v>
      </c>
      <c r="AK24" t="str">
        <f>AF6</f>
        <v>Trujillanos</v>
      </c>
    </row>
    <row r="25" spans="1:40" x14ac:dyDescent="0.3">
      <c r="A25" t="s">
        <v>56</v>
      </c>
      <c r="L25" t="s">
        <v>56</v>
      </c>
      <c r="AE25" t="str">
        <f>AF7</f>
        <v>Deportivo La Guaira</v>
      </c>
      <c r="AF25" t="s">
        <v>147</v>
      </c>
      <c r="AG25" t="str">
        <f>AF14</f>
        <v>Portuguesa</v>
      </c>
      <c r="AI25" t="str">
        <f>AF14</f>
        <v>Portuguesa</v>
      </c>
      <c r="AJ25" t="s">
        <v>86</v>
      </c>
      <c r="AK25" t="str">
        <f>AF7</f>
        <v>Deportivo La Guaira</v>
      </c>
    </row>
    <row r="26" spans="1:40" x14ac:dyDescent="0.3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J26" t="s">
        <v>15</v>
      </c>
      <c r="L26" t="s">
        <v>6</v>
      </c>
      <c r="M26" t="s">
        <v>7</v>
      </c>
      <c r="N26" t="s">
        <v>8</v>
      </c>
      <c r="O26" t="s">
        <v>9</v>
      </c>
      <c r="P26" t="s">
        <v>10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AE26" t="str">
        <f>AF16</f>
        <v>Estudiantes de Mérida</v>
      </c>
      <c r="AF26" t="s">
        <v>87</v>
      </c>
      <c r="AG26" t="str">
        <f>AF5</f>
        <v>Rayo Zuliano</v>
      </c>
      <c r="AI26" t="str">
        <f>AF5</f>
        <v>Rayo Zuliano</v>
      </c>
      <c r="AJ26" t="s">
        <v>147</v>
      </c>
      <c r="AK26" t="str">
        <f>AF16</f>
        <v>Estudiantes de Mérida</v>
      </c>
    </row>
    <row r="27" spans="1:40" x14ac:dyDescent="0.3">
      <c r="A27" s="2" t="s">
        <v>4</v>
      </c>
      <c r="B27" t="s">
        <v>309</v>
      </c>
      <c r="C27" s="3">
        <f>E27*3+F27</f>
        <v>9</v>
      </c>
      <c r="D27">
        <v>6</v>
      </c>
      <c r="E27">
        <v>2</v>
      </c>
      <c r="F27">
        <v>3</v>
      </c>
      <c r="G27">
        <f>D27-E27-F27</f>
        <v>1</v>
      </c>
      <c r="H27">
        <v>8</v>
      </c>
      <c r="I27">
        <v>7</v>
      </c>
      <c r="J27">
        <f>H27-I27</f>
        <v>1</v>
      </c>
      <c r="L27" s="2" t="s">
        <v>4</v>
      </c>
      <c r="M27" t="s">
        <v>317</v>
      </c>
      <c r="N27" s="3">
        <f>P27*3+Q27</f>
        <v>15</v>
      </c>
      <c r="O27">
        <v>6</v>
      </c>
      <c r="P27">
        <v>5</v>
      </c>
      <c r="Q27">
        <v>0</v>
      </c>
      <c r="R27">
        <f>O27-P27-Q27</f>
        <v>1</v>
      </c>
      <c r="S27">
        <v>9</v>
      </c>
      <c r="T27">
        <v>5</v>
      </c>
      <c r="U27">
        <f>S27-T27</f>
        <v>4</v>
      </c>
    </row>
    <row r="28" spans="1:40" x14ac:dyDescent="0.3">
      <c r="A28" t="s">
        <v>16</v>
      </c>
      <c r="B28" t="s">
        <v>321</v>
      </c>
      <c r="C28" s="3">
        <f t="shared" ref="C28:C30" si="18">E28*3+F28</f>
        <v>8</v>
      </c>
      <c r="D28">
        <v>6</v>
      </c>
      <c r="E28">
        <v>1</v>
      </c>
      <c r="F28">
        <v>5</v>
      </c>
      <c r="G28">
        <f t="shared" ref="G28:G30" si="19">D28-E28-F28</f>
        <v>0</v>
      </c>
      <c r="H28">
        <v>5</v>
      </c>
      <c r="I28">
        <v>4</v>
      </c>
      <c r="J28">
        <f t="shared" ref="J28:J30" si="20">H28-I28</f>
        <v>1</v>
      </c>
      <c r="L28" t="s">
        <v>16</v>
      </c>
      <c r="M28" t="s">
        <v>308</v>
      </c>
      <c r="N28" s="3">
        <f t="shared" ref="N28:N30" si="21">P28*3+Q28</f>
        <v>7</v>
      </c>
      <c r="O28">
        <v>6</v>
      </c>
      <c r="P28">
        <v>2</v>
      </c>
      <c r="Q28">
        <v>1</v>
      </c>
      <c r="R28">
        <f t="shared" ref="R28:R30" si="22">O28-P28-Q28</f>
        <v>3</v>
      </c>
      <c r="S28">
        <v>8</v>
      </c>
      <c r="T28">
        <v>9</v>
      </c>
      <c r="U28">
        <f t="shared" ref="U28:U30" si="23">S28-T28</f>
        <v>-1</v>
      </c>
      <c r="AE28" t="s">
        <v>94</v>
      </c>
    </row>
    <row r="29" spans="1:40" x14ac:dyDescent="0.3">
      <c r="A29" t="s">
        <v>21</v>
      </c>
      <c r="B29" t="s">
        <v>308</v>
      </c>
      <c r="C29" s="3">
        <f t="shared" si="18"/>
        <v>6</v>
      </c>
      <c r="D29">
        <v>6</v>
      </c>
      <c r="E29">
        <v>1</v>
      </c>
      <c r="F29">
        <v>3</v>
      </c>
      <c r="G29">
        <f t="shared" si="19"/>
        <v>2</v>
      </c>
      <c r="H29">
        <v>5</v>
      </c>
      <c r="I29">
        <v>5</v>
      </c>
      <c r="J29">
        <f t="shared" si="20"/>
        <v>0</v>
      </c>
      <c r="L29" t="s">
        <v>21</v>
      </c>
      <c r="M29" t="s">
        <v>313</v>
      </c>
      <c r="N29" s="3">
        <f t="shared" si="21"/>
        <v>6</v>
      </c>
      <c r="O29">
        <v>6</v>
      </c>
      <c r="P29">
        <v>1</v>
      </c>
      <c r="Q29">
        <v>3</v>
      </c>
      <c r="R29">
        <f t="shared" si="22"/>
        <v>2</v>
      </c>
      <c r="S29">
        <v>7</v>
      </c>
      <c r="T29">
        <v>8</v>
      </c>
      <c r="U29">
        <f t="shared" si="23"/>
        <v>-1</v>
      </c>
      <c r="AE29" t="s">
        <v>308</v>
      </c>
      <c r="AF29" t="s">
        <v>83</v>
      </c>
      <c r="AG29" t="s">
        <v>310</v>
      </c>
      <c r="AI29" t="s">
        <v>310</v>
      </c>
      <c r="AJ29" t="s">
        <v>81</v>
      </c>
      <c r="AK29" t="s">
        <v>308</v>
      </c>
    </row>
    <row r="30" spans="1:40" x14ac:dyDescent="0.3">
      <c r="A30" t="s">
        <v>24</v>
      </c>
      <c r="B30" t="s">
        <v>314</v>
      </c>
      <c r="C30" s="3">
        <f t="shared" si="18"/>
        <v>5</v>
      </c>
      <c r="D30">
        <v>6</v>
      </c>
      <c r="E30">
        <v>0</v>
      </c>
      <c r="F30">
        <v>5</v>
      </c>
      <c r="G30">
        <f t="shared" si="19"/>
        <v>1</v>
      </c>
      <c r="H30">
        <v>2</v>
      </c>
      <c r="I30">
        <v>4</v>
      </c>
      <c r="J30">
        <f t="shared" si="20"/>
        <v>-2</v>
      </c>
      <c r="L30" t="s">
        <v>24</v>
      </c>
      <c r="M30" t="s">
        <v>315</v>
      </c>
      <c r="N30" s="3">
        <f t="shared" si="21"/>
        <v>5</v>
      </c>
      <c r="O30">
        <v>6</v>
      </c>
      <c r="P30">
        <v>1</v>
      </c>
      <c r="Q30">
        <v>2</v>
      </c>
      <c r="R30">
        <f t="shared" si="22"/>
        <v>3</v>
      </c>
      <c r="S30">
        <v>9</v>
      </c>
      <c r="T30">
        <v>11</v>
      </c>
      <c r="U30">
        <f t="shared" si="23"/>
        <v>-2</v>
      </c>
      <c r="AE30" t="s">
        <v>314</v>
      </c>
      <c r="AF30" t="s">
        <v>146</v>
      </c>
      <c r="AG30" t="s">
        <v>313</v>
      </c>
      <c r="AI30" t="s">
        <v>313</v>
      </c>
      <c r="AJ30" t="s">
        <v>81</v>
      </c>
      <c r="AK30" t="s">
        <v>314</v>
      </c>
    </row>
    <row r="32" spans="1:40" x14ac:dyDescent="0.3">
      <c r="A32" t="s">
        <v>96</v>
      </c>
      <c r="L32" t="s">
        <v>96</v>
      </c>
      <c r="AE32" t="s">
        <v>96</v>
      </c>
    </row>
    <row r="33" spans="1:37" x14ac:dyDescent="0.3">
      <c r="A33" t="s">
        <v>309</v>
      </c>
      <c r="B33" t="s">
        <v>80</v>
      </c>
      <c r="C33" t="s">
        <v>317</v>
      </c>
      <c r="L33" t="s">
        <v>317</v>
      </c>
      <c r="M33" t="s">
        <v>84</v>
      </c>
      <c r="N33" t="s">
        <v>321</v>
      </c>
      <c r="AE33" t="s">
        <v>313</v>
      </c>
      <c r="AF33" t="s">
        <v>147</v>
      </c>
      <c r="AG33" t="s">
        <v>310</v>
      </c>
      <c r="AI33" t="s">
        <v>310</v>
      </c>
      <c r="AJ33" t="s">
        <v>324</v>
      </c>
      <c r="AK33" t="s">
        <v>313</v>
      </c>
    </row>
  </sheetData>
  <sortState xmlns:xlrd2="http://schemas.microsoft.com/office/spreadsheetml/2017/richdata2" ref="M3:U16">
    <sortCondition descending="1" ref="N3:N16"/>
    <sortCondition descending="1" ref="U3:U16"/>
    <sortCondition descending="1" ref="S3:S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Argentina</vt:lpstr>
      <vt:lpstr>Bolívia</vt:lpstr>
      <vt:lpstr>Chile</vt:lpstr>
      <vt:lpstr>Colômbia</vt:lpstr>
      <vt:lpstr>Equador</vt:lpstr>
      <vt:lpstr>Paraguai</vt:lpstr>
      <vt:lpstr>Peru</vt:lpstr>
      <vt:lpstr>Uruguai</vt:lpstr>
      <vt:lpstr>Venezuela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2026-07-20T01:25:39Z</dcterms:created>
  <dcterms:modified xsi:type="dcterms:W3CDTF">2026-07-26T05:14:12Z</dcterms:modified>
</cp:coreProperties>
</file>