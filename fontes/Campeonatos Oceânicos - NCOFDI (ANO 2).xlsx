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ie\OneDrive\Documentos\"/>
    </mc:Choice>
  </mc:AlternateContent>
  <xr:revisionPtr revIDLastSave="0" documentId="8_{7E352AFC-3744-477A-823D-6D1F0819D894}" xr6:coauthVersionLast="47" xr6:coauthVersionMax="47" xr10:uidLastSave="{00000000-0000-0000-0000-000000000000}"/>
  <bookViews>
    <workbookView xWindow="-108" yWindow="-108" windowWidth="23256" windowHeight="13176" xr2:uid="{C34FE86D-FAD2-41FB-A608-9AF285E61802}"/>
  </bookViews>
  <sheets>
    <sheet name="Fiji" sheetId="1" r:id="rId1"/>
    <sheet name="Ilhas Salomão" sheetId="2" r:id="rId2"/>
    <sheet name="Nova Zelândia" sheetId="3" r:id="rId3"/>
    <sheet name="Taiti" sheetId="4" r:id="rId4"/>
    <sheet name="Vanuatu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8" i="5" l="1"/>
  <c r="G8" i="5"/>
  <c r="C8" i="5"/>
  <c r="J7" i="5"/>
  <c r="G7" i="5"/>
  <c r="C7" i="5"/>
  <c r="J6" i="5"/>
  <c r="G6" i="5"/>
  <c r="C6" i="5"/>
  <c r="J5" i="5"/>
  <c r="G5" i="5"/>
  <c r="C5" i="5"/>
  <c r="J4" i="5"/>
  <c r="G4" i="5"/>
  <c r="C4" i="5"/>
  <c r="J3" i="5"/>
  <c r="G3" i="5"/>
  <c r="C3" i="5"/>
  <c r="J20" i="4"/>
  <c r="G20" i="4"/>
  <c r="C20" i="4" s="1"/>
  <c r="J19" i="4"/>
  <c r="G19" i="4"/>
  <c r="C19" i="4" s="1"/>
  <c r="J18" i="4"/>
  <c r="G18" i="4"/>
  <c r="C18" i="4" s="1"/>
  <c r="J17" i="4"/>
  <c r="G17" i="4"/>
  <c r="C17" i="4" s="1"/>
  <c r="J16" i="4"/>
  <c r="G16" i="4"/>
  <c r="C16" i="4" s="1"/>
  <c r="J12" i="4"/>
  <c r="G12" i="4"/>
  <c r="C12" i="4" s="1"/>
  <c r="J11" i="4"/>
  <c r="G11" i="4"/>
  <c r="C11" i="4" s="1"/>
  <c r="J10" i="4"/>
  <c r="G10" i="4"/>
  <c r="C10" i="4" s="1"/>
  <c r="J9" i="4"/>
  <c r="G9" i="4"/>
  <c r="C9" i="4" s="1"/>
  <c r="J8" i="4"/>
  <c r="G8" i="4"/>
  <c r="C8" i="4" s="1"/>
  <c r="J7" i="4"/>
  <c r="G7" i="4"/>
  <c r="C7" i="4" s="1"/>
  <c r="J6" i="4"/>
  <c r="G6" i="4"/>
  <c r="C6" i="4" s="1"/>
  <c r="J5" i="4"/>
  <c r="G5" i="4"/>
  <c r="C5" i="4" s="1"/>
  <c r="J4" i="4"/>
  <c r="G4" i="4"/>
  <c r="C4" i="4" s="1"/>
  <c r="J3" i="4"/>
  <c r="G3" i="4"/>
  <c r="C3" i="4" s="1"/>
  <c r="C13" i="3"/>
  <c r="C12" i="3"/>
  <c r="C11" i="3"/>
  <c r="C10" i="3"/>
  <c r="C9" i="3"/>
  <c r="C8" i="3"/>
  <c r="C7" i="3"/>
  <c r="C6" i="3"/>
  <c r="C5" i="3"/>
  <c r="C4" i="3"/>
  <c r="C3" i="3"/>
  <c r="C16" i="3"/>
  <c r="A16" i="3"/>
  <c r="J13" i="3"/>
  <c r="G13" i="3"/>
  <c r="J12" i="3"/>
  <c r="G12" i="3"/>
  <c r="J11" i="3"/>
  <c r="G11" i="3"/>
  <c r="J10" i="3"/>
  <c r="G10" i="3"/>
  <c r="J9" i="3"/>
  <c r="G9" i="3"/>
  <c r="J8" i="3"/>
  <c r="G8" i="3"/>
  <c r="J7" i="3"/>
  <c r="G7" i="3"/>
  <c r="J6" i="3"/>
  <c r="G6" i="3"/>
  <c r="J5" i="3"/>
  <c r="G5" i="3"/>
  <c r="J4" i="3"/>
  <c r="G4" i="3"/>
  <c r="J3" i="3"/>
  <c r="G3" i="3"/>
  <c r="C13" i="2"/>
  <c r="C14" i="2"/>
  <c r="C12" i="2"/>
  <c r="C11" i="2"/>
  <c r="C10" i="2"/>
  <c r="C9" i="2"/>
  <c r="C8" i="2"/>
  <c r="C7" i="2"/>
  <c r="C6" i="2"/>
  <c r="C5" i="2"/>
  <c r="C4" i="2"/>
  <c r="C3" i="2"/>
  <c r="J14" i="2"/>
  <c r="G14" i="2"/>
  <c r="J13" i="2"/>
  <c r="G13" i="2"/>
  <c r="J12" i="2"/>
  <c r="G12" i="2"/>
  <c r="J11" i="2"/>
  <c r="G11" i="2"/>
  <c r="J10" i="2"/>
  <c r="G10" i="2"/>
  <c r="J9" i="2"/>
  <c r="G9" i="2"/>
  <c r="J8" i="2"/>
  <c r="G8" i="2"/>
  <c r="J7" i="2"/>
  <c r="G7" i="2"/>
  <c r="J6" i="2"/>
  <c r="G6" i="2"/>
  <c r="J5" i="2"/>
  <c r="G5" i="2"/>
  <c r="J4" i="2"/>
  <c r="G4" i="2"/>
  <c r="J3" i="2"/>
  <c r="G3" i="2"/>
  <c r="C4" i="1"/>
  <c r="C5" i="1"/>
  <c r="C6" i="1"/>
  <c r="C7" i="1"/>
  <c r="C8" i="1"/>
  <c r="C9" i="1"/>
  <c r="C10" i="1"/>
  <c r="C11" i="1"/>
  <c r="C12" i="1"/>
  <c r="C3" i="1"/>
  <c r="J12" i="1"/>
  <c r="G12" i="1"/>
  <c r="J11" i="1"/>
  <c r="G11" i="1"/>
  <c r="J10" i="1"/>
  <c r="G10" i="1"/>
  <c r="J9" i="1"/>
  <c r="G9" i="1"/>
  <c r="J8" i="1"/>
  <c r="G8" i="1"/>
  <c r="J7" i="1"/>
  <c r="G7" i="1"/>
  <c r="J6" i="1"/>
  <c r="G6" i="1"/>
  <c r="J5" i="1"/>
  <c r="G5" i="1"/>
  <c r="J4" i="1"/>
  <c r="G4" i="1"/>
  <c r="J3" i="1"/>
  <c r="G3" i="1"/>
</calcChain>
</file>

<file path=xl/sharedStrings.xml><?xml version="1.0" encoding="utf-8"?>
<sst xmlns="http://schemas.openxmlformats.org/spreadsheetml/2006/main" count="255" uniqueCount="96">
  <si>
    <t>Digicel Premier League</t>
  </si>
  <si>
    <t>#</t>
  </si>
  <si>
    <t>Time</t>
  </si>
  <si>
    <t>PTS</t>
  </si>
  <si>
    <t>PJ</t>
  </si>
  <si>
    <t>VIT</t>
  </si>
  <si>
    <t>E</t>
  </si>
  <si>
    <t>DER</t>
  </si>
  <si>
    <t>GP</t>
  </si>
  <si>
    <t>GC</t>
  </si>
  <si>
    <t>SG</t>
  </si>
  <si>
    <t>1.</t>
  </si>
  <si>
    <t>Nadi FC</t>
  </si>
  <si>
    <t>2.</t>
  </si>
  <si>
    <t>Rewa FC</t>
  </si>
  <si>
    <t>3.</t>
  </si>
  <si>
    <t>Labasa FC</t>
  </si>
  <si>
    <t>4.</t>
  </si>
  <si>
    <t>Ba Fa</t>
  </si>
  <si>
    <t>5.</t>
  </si>
  <si>
    <t>Lautoka FC</t>
  </si>
  <si>
    <t>6.</t>
  </si>
  <si>
    <t>Tailevu Naitasiri</t>
  </si>
  <si>
    <t>7.</t>
  </si>
  <si>
    <t>Suva FC</t>
  </si>
  <si>
    <t>8.</t>
  </si>
  <si>
    <t>Nadroga FC</t>
  </si>
  <si>
    <t>9.</t>
  </si>
  <si>
    <t>Navua FC</t>
  </si>
  <si>
    <t>10.</t>
  </si>
  <si>
    <t>Nasinu FC</t>
  </si>
  <si>
    <t>Campeão</t>
  </si>
  <si>
    <t>Telekom S-League</t>
  </si>
  <si>
    <t>Ghupo FC</t>
  </si>
  <si>
    <t>Central Coast</t>
  </si>
  <si>
    <t>Kossa FC</t>
  </si>
  <si>
    <t>Southern United</t>
  </si>
  <si>
    <t>Waneagu United</t>
  </si>
  <si>
    <t>Green Shield</t>
  </si>
  <si>
    <t>Malaita Kingz</t>
  </si>
  <si>
    <t>Sosa FC</t>
  </si>
  <si>
    <t>Marist FC</t>
  </si>
  <si>
    <t>Honiara City</t>
  </si>
  <si>
    <t>11.</t>
  </si>
  <si>
    <t>Laugu United</t>
  </si>
  <si>
    <t>12.</t>
  </si>
  <si>
    <t>Juniper FC</t>
  </si>
  <si>
    <t>New Zealand National League</t>
  </si>
  <si>
    <t>Chatham Cup</t>
  </si>
  <si>
    <t>Fase preliminar</t>
  </si>
  <si>
    <t>Western Suburbs</t>
  </si>
  <si>
    <t>Birkenhead United</t>
  </si>
  <si>
    <t>Auckland United</t>
  </si>
  <si>
    <t>Miramar Rangers</t>
  </si>
  <si>
    <t>Wellington Phoenix Reserves</t>
  </si>
  <si>
    <t>Quartas de final</t>
  </si>
  <si>
    <t>Western Springs</t>
  </si>
  <si>
    <t>Auckland FC Reserves</t>
  </si>
  <si>
    <t>Auckland City</t>
  </si>
  <si>
    <t>Wellington Olympic</t>
  </si>
  <si>
    <t>Christchurch United</t>
  </si>
  <si>
    <t>Semifinal</t>
  </si>
  <si>
    <t>Coastal Spirit</t>
  </si>
  <si>
    <t>Final</t>
  </si>
  <si>
    <t>0x1</t>
  </si>
  <si>
    <t>1x0</t>
  </si>
  <si>
    <t>2x0</t>
  </si>
  <si>
    <t>3x1</t>
  </si>
  <si>
    <t>1x1 (3x5)</t>
  </si>
  <si>
    <t>2x1</t>
  </si>
  <si>
    <t>3x2</t>
  </si>
  <si>
    <t>0x0 (5x4)</t>
  </si>
  <si>
    <t>1x2</t>
  </si>
  <si>
    <t>Campeões</t>
  </si>
  <si>
    <t>Ligue 1 Vini</t>
  </si>
  <si>
    <t>Coupe de Polynesie</t>
  </si>
  <si>
    <t>Tefana</t>
  </si>
  <si>
    <t>Venus</t>
  </si>
  <si>
    <t>Pueu</t>
  </si>
  <si>
    <t>Mira</t>
  </si>
  <si>
    <t>Pirae</t>
  </si>
  <si>
    <t>Tamarii Punaruu</t>
  </si>
  <si>
    <t>Central Sport</t>
  </si>
  <si>
    <t>Taiarapu</t>
  </si>
  <si>
    <t>Dragon</t>
  </si>
  <si>
    <t>Jeunes Tahitiens</t>
  </si>
  <si>
    <t>Play-off</t>
  </si>
  <si>
    <t>0x2</t>
  </si>
  <si>
    <t>2x2 (5x4)</t>
  </si>
  <si>
    <t>PVFA Super League</t>
  </si>
  <si>
    <t>Icount Yatel</t>
  </si>
  <si>
    <t>ABM Galaxy</t>
  </si>
  <si>
    <t>Ifira Black Bird</t>
  </si>
  <si>
    <t>North Efate United</t>
  </si>
  <si>
    <t>Naka</t>
  </si>
  <si>
    <t>Mauriki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</si>
</sst>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380C2-608B-4EBE-B7BC-102866F67F48}">
  <dimension ref="A1:M12"/>
  <sheetViews>
    <sheetView tabSelected="1" workbookViewId="0">
      <selection activeCell="C3" sqref="C3:C12"/>
    </sheetView>
  </sheetViews>
  <sheetFormatPr defaultRowHeight="14.4" x14ac:dyDescent="0.3"/>
  <cols>
    <col min="1" max="1" width="20.88671875" customWidth="1"/>
    <col min="2" max="2" width="15" customWidth="1"/>
    <col min="12" max="12" width="14.77734375" customWidth="1"/>
  </cols>
  <sheetData>
    <row r="1" spans="1:13" x14ac:dyDescent="0.3">
      <c r="A1" t="s">
        <v>0</v>
      </c>
      <c r="L1" t="s">
        <v>31</v>
      </c>
    </row>
    <row r="2" spans="1:13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L2" t="s">
        <v>22</v>
      </c>
      <c r="M2">
        <v>1</v>
      </c>
    </row>
    <row r="3" spans="1:13" x14ac:dyDescent="0.3">
      <c r="A3" t="s">
        <v>11</v>
      </c>
      <c r="B3" t="s">
        <v>22</v>
      </c>
      <c r="C3" s="1">
        <f>E3*3+F3</f>
        <v>28</v>
      </c>
      <c r="D3">
        <v>18</v>
      </c>
      <c r="E3">
        <v>8</v>
      </c>
      <c r="F3">
        <v>4</v>
      </c>
      <c r="G3">
        <f t="shared" ref="G3:G12" si="0">D3-E3-F3</f>
        <v>6</v>
      </c>
      <c r="H3">
        <v>23</v>
      </c>
      <c r="I3">
        <v>22</v>
      </c>
      <c r="J3">
        <f>H3-I3</f>
        <v>1</v>
      </c>
    </row>
    <row r="4" spans="1:13" x14ac:dyDescent="0.3">
      <c r="A4" t="s">
        <v>13</v>
      </c>
      <c r="B4" t="s">
        <v>14</v>
      </c>
      <c r="C4" s="1">
        <f t="shared" ref="C4:C12" si="1">E4*3+F4</f>
        <v>28</v>
      </c>
      <c r="D4">
        <v>18</v>
      </c>
      <c r="E4">
        <v>8</v>
      </c>
      <c r="F4">
        <v>4</v>
      </c>
      <c r="G4">
        <f t="shared" si="0"/>
        <v>6</v>
      </c>
      <c r="H4">
        <v>26</v>
      </c>
      <c r="I4">
        <v>26</v>
      </c>
      <c r="J4">
        <f t="shared" ref="J4:J12" si="2">H4-I4</f>
        <v>0</v>
      </c>
    </row>
    <row r="5" spans="1:13" x14ac:dyDescent="0.3">
      <c r="A5" t="s">
        <v>15</v>
      </c>
      <c r="B5" t="s">
        <v>26</v>
      </c>
      <c r="C5" s="1">
        <f t="shared" si="1"/>
        <v>28</v>
      </c>
      <c r="D5">
        <v>18</v>
      </c>
      <c r="E5">
        <v>9</v>
      </c>
      <c r="F5">
        <v>1</v>
      </c>
      <c r="G5">
        <f t="shared" si="0"/>
        <v>8</v>
      </c>
      <c r="H5">
        <v>20</v>
      </c>
      <c r="I5">
        <v>23</v>
      </c>
      <c r="J5">
        <f t="shared" si="2"/>
        <v>-3</v>
      </c>
    </row>
    <row r="6" spans="1:13" x14ac:dyDescent="0.3">
      <c r="A6" t="s">
        <v>17</v>
      </c>
      <c r="B6" t="s">
        <v>30</v>
      </c>
      <c r="C6" s="1">
        <f t="shared" si="1"/>
        <v>27</v>
      </c>
      <c r="D6">
        <v>18</v>
      </c>
      <c r="E6">
        <v>8</v>
      </c>
      <c r="F6">
        <v>3</v>
      </c>
      <c r="G6">
        <f t="shared" si="0"/>
        <v>7</v>
      </c>
      <c r="H6">
        <v>32</v>
      </c>
      <c r="I6">
        <v>26</v>
      </c>
      <c r="J6">
        <f t="shared" si="2"/>
        <v>6</v>
      </c>
    </row>
    <row r="7" spans="1:13" x14ac:dyDescent="0.3">
      <c r="A7" t="s">
        <v>19</v>
      </c>
      <c r="B7" t="s">
        <v>12</v>
      </c>
      <c r="C7" s="1">
        <f t="shared" si="1"/>
        <v>27</v>
      </c>
      <c r="D7">
        <v>18</v>
      </c>
      <c r="E7">
        <v>8</v>
      </c>
      <c r="F7">
        <v>3</v>
      </c>
      <c r="G7">
        <f t="shared" si="0"/>
        <v>7</v>
      </c>
      <c r="H7">
        <v>27</v>
      </c>
      <c r="I7">
        <v>27</v>
      </c>
      <c r="J7">
        <f t="shared" si="2"/>
        <v>0</v>
      </c>
    </row>
    <row r="8" spans="1:13" x14ac:dyDescent="0.3">
      <c r="A8" t="s">
        <v>21</v>
      </c>
      <c r="B8" t="s">
        <v>20</v>
      </c>
      <c r="C8" s="1">
        <f t="shared" si="1"/>
        <v>26</v>
      </c>
      <c r="D8">
        <v>18</v>
      </c>
      <c r="E8">
        <v>8</v>
      </c>
      <c r="F8">
        <v>2</v>
      </c>
      <c r="G8">
        <f t="shared" si="0"/>
        <v>8</v>
      </c>
      <c r="H8">
        <v>24</v>
      </c>
      <c r="I8">
        <v>26</v>
      </c>
      <c r="J8">
        <f t="shared" si="2"/>
        <v>-2</v>
      </c>
    </row>
    <row r="9" spans="1:13" x14ac:dyDescent="0.3">
      <c r="A9" t="s">
        <v>23</v>
      </c>
      <c r="B9" t="s">
        <v>24</v>
      </c>
      <c r="C9" s="1">
        <f t="shared" si="1"/>
        <v>25</v>
      </c>
      <c r="D9">
        <v>18</v>
      </c>
      <c r="E9">
        <v>7</v>
      </c>
      <c r="F9">
        <v>4</v>
      </c>
      <c r="G9">
        <f t="shared" si="0"/>
        <v>7</v>
      </c>
      <c r="H9">
        <v>33</v>
      </c>
      <c r="I9">
        <v>29</v>
      </c>
      <c r="J9">
        <f t="shared" si="2"/>
        <v>4</v>
      </c>
    </row>
    <row r="10" spans="1:13" x14ac:dyDescent="0.3">
      <c r="A10" t="s">
        <v>25</v>
      </c>
      <c r="B10" t="s">
        <v>16</v>
      </c>
      <c r="C10" s="1">
        <f t="shared" si="1"/>
        <v>24</v>
      </c>
      <c r="D10">
        <v>18</v>
      </c>
      <c r="E10">
        <v>6</v>
      </c>
      <c r="F10">
        <v>6</v>
      </c>
      <c r="G10">
        <f t="shared" si="0"/>
        <v>6</v>
      </c>
      <c r="H10">
        <v>20</v>
      </c>
      <c r="I10">
        <v>20</v>
      </c>
      <c r="J10">
        <f t="shared" si="2"/>
        <v>0</v>
      </c>
    </row>
    <row r="11" spans="1:13" x14ac:dyDescent="0.3">
      <c r="A11" t="s">
        <v>27</v>
      </c>
      <c r="B11" t="s">
        <v>18</v>
      </c>
      <c r="C11" s="1">
        <f t="shared" si="1"/>
        <v>24</v>
      </c>
      <c r="D11">
        <v>18</v>
      </c>
      <c r="E11">
        <v>7</v>
      </c>
      <c r="F11">
        <v>3</v>
      </c>
      <c r="G11">
        <f t="shared" si="0"/>
        <v>8</v>
      </c>
      <c r="H11">
        <v>24</v>
      </c>
      <c r="I11">
        <v>25</v>
      </c>
      <c r="J11">
        <f t="shared" si="2"/>
        <v>-1</v>
      </c>
    </row>
    <row r="12" spans="1:13" x14ac:dyDescent="0.3">
      <c r="A12" t="s">
        <v>29</v>
      </c>
      <c r="B12" t="s">
        <v>28</v>
      </c>
      <c r="C12" s="1">
        <f t="shared" si="1"/>
        <v>17</v>
      </c>
      <c r="D12">
        <v>18</v>
      </c>
      <c r="E12">
        <v>5</v>
      </c>
      <c r="F12">
        <v>2</v>
      </c>
      <c r="G12">
        <f t="shared" si="0"/>
        <v>11</v>
      </c>
      <c r="H12">
        <v>24</v>
      </c>
      <c r="I12">
        <v>29</v>
      </c>
      <c r="J12">
        <f t="shared" si="2"/>
        <v>-5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D67DE-CF30-401A-BB29-B6AE9DD81285}">
  <dimension ref="A1:M14"/>
  <sheetViews>
    <sheetView workbookViewId="0">
      <selection activeCell="C13" sqref="C3:C13"/>
    </sheetView>
  </sheetViews>
  <sheetFormatPr defaultRowHeight="14.4" x14ac:dyDescent="0.3"/>
  <cols>
    <col min="1" max="1" width="17.21875" customWidth="1"/>
    <col min="2" max="2" width="15.21875" customWidth="1"/>
    <col min="12" max="12" width="12" customWidth="1"/>
  </cols>
  <sheetData>
    <row r="1" spans="1:13" x14ac:dyDescent="0.3">
      <c r="A1" t="s">
        <v>32</v>
      </c>
      <c r="L1" t="s">
        <v>31</v>
      </c>
    </row>
    <row r="2" spans="1:13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L2" t="s">
        <v>39</v>
      </c>
      <c r="M2">
        <v>1</v>
      </c>
    </row>
    <row r="3" spans="1:13" x14ac:dyDescent="0.3">
      <c r="A3" t="s">
        <v>11</v>
      </c>
      <c r="B3" t="s">
        <v>39</v>
      </c>
      <c r="C3" s="1">
        <f>E3*3+F3</f>
        <v>36</v>
      </c>
      <c r="D3">
        <v>22</v>
      </c>
      <c r="E3">
        <v>11</v>
      </c>
      <c r="F3">
        <v>3</v>
      </c>
      <c r="G3">
        <f t="shared" ref="G3:G14" si="0">D3-E3-F3</f>
        <v>8</v>
      </c>
      <c r="H3">
        <v>37</v>
      </c>
      <c r="I3">
        <v>31</v>
      </c>
      <c r="J3">
        <f>H3-I3</f>
        <v>6</v>
      </c>
    </row>
    <row r="4" spans="1:13" x14ac:dyDescent="0.3">
      <c r="A4" t="s">
        <v>13</v>
      </c>
      <c r="B4" t="s">
        <v>41</v>
      </c>
      <c r="C4" s="1">
        <f t="shared" ref="C4:C14" si="1">E4*3+F4</f>
        <v>34</v>
      </c>
      <c r="D4">
        <v>22</v>
      </c>
      <c r="E4">
        <v>10</v>
      </c>
      <c r="F4">
        <v>4</v>
      </c>
      <c r="G4">
        <f t="shared" si="0"/>
        <v>8</v>
      </c>
      <c r="H4">
        <v>41</v>
      </c>
      <c r="I4">
        <v>28</v>
      </c>
      <c r="J4">
        <f t="shared" ref="J4:J14" si="2">H4-I4</f>
        <v>13</v>
      </c>
    </row>
    <row r="5" spans="1:13" x14ac:dyDescent="0.3">
      <c r="A5" t="s">
        <v>15</v>
      </c>
      <c r="B5" t="s">
        <v>44</v>
      </c>
      <c r="C5" s="1">
        <f t="shared" si="1"/>
        <v>34</v>
      </c>
      <c r="D5">
        <v>22</v>
      </c>
      <c r="E5">
        <v>9</v>
      </c>
      <c r="F5">
        <v>7</v>
      </c>
      <c r="G5">
        <f t="shared" si="0"/>
        <v>6</v>
      </c>
      <c r="H5">
        <v>32</v>
      </c>
      <c r="I5">
        <v>29</v>
      </c>
      <c r="J5">
        <f t="shared" si="2"/>
        <v>3</v>
      </c>
    </row>
    <row r="6" spans="1:13" x14ac:dyDescent="0.3">
      <c r="A6" t="s">
        <v>17</v>
      </c>
      <c r="B6" t="s">
        <v>35</v>
      </c>
      <c r="C6" s="1">
        <f t="shared" si="1"/>
        <v>34</v>
      </c>
      <c r="D6">
        <v>22</v>
      </c>
      <c r="E6">
        <v>8</v>
      </c>
      <c r="F6">
        <v>10</v>
      </c>
      <c r="G6">
        <f t="shared" si="0"/>
        <v>4</v>
      </c>
      <c r="H6">
        <v>31</v>
      </c>
      <c r="I6">
        <v>28</v>
      </c>
      <c r="J6">
        <f t="shared" si="2"/>
        <v>3</v>
      </c>
    </row>
    <row r="7" spans="1:13" x14ac:dyDescent="0.3">
      <c r="A7" t="s">
        <v>19</v>
      </c>
      <c r="B7" t="s">
        <v>38</v>
      </c>
      <c r="C7" s="1">
        <f t="shared" si="1"/>
        <v>34</v>
      </c>
      <c r="D7">
        <v>22</v>
      </c>
      <c r="E7">
        <v>9</v>
      </c>
      <c r="F7">
        <v>7</v>
      </c>
      <c r="G7">
        <f t="shared" si="0"/>
        <v>6</v>
      </c>
      <c r="H7">
        <v>24</v>
      </c>
      <c r="I7">
        <v>22</v>
      </c>
      <c r="J7">
        <f t="shared" si="2"/>
        <v>2</v>
      </c>
    </row>
    <row r="8" spans="1:13" x14ac:dyDescent="0.3">
      <c r="A8" t="s">
        <v>21</v>
      </c>
      <c r="B8" t="s">
        <v>42</v>
      </c>
      <c r="C8" s="1">
        <f t="shared" si="1"/>
        <v>32</v>
      </c>
      <c r="D8">
        <v>22</v>
      </c>
      <c r="E8">
        <v>7</v>
      </c>
      <c r="F8">
        <v>11</v>
      </c>
      <c r="G8">
        <f t="shared" si="0"/>
        <v>4</v>
      </c>
      <c r="H8">
        <v>30</v>
      </c>
      <c r="I8">
        <v>27</v>
      </c>
      <c r="J8">
        <f t="shared" si="2"/>
        <v>3</v>
      </c>
    </row>
    <row r="9" spans="1:13" x14ac:dyDescent="0.3">
      <c r="A9" t="s">
        <v>23</v>
      </c>
      <c r="B9" t="s">
        <v>36</v>
      </c>
      <c r="C9" s="1">
        <f t="shared" si="1"/>
        <v>29</v>
      </c>
      <c r="D9">
        <v>22</v>
      </c>
      <c r="E9">
        <v>8</v>
      </c>
      <c r="F9">
        <v>5</v>
      </c>
      <c r="G9">
        <f t="shared" si="0"/>
        <v>9</v>
      </c>
      <c r="H9">
        <v>32</v>
      </c>
      <c r="I9">
        <v>30</v>
      </c>
      <c r="J9">
        <f t="shared" si="2"/>
        <v>2</v>
      </c>
    </row>
    <row r="10" spans="1:13" x14ac:dyDescent="0.3">
      <c r="A10" t="s">
        <v>25</v>
      </c>
      <c r="B10" t="s">
        <v>33</v>
      </c>
      <c r="C10" s="1">
        <f t="shared" si="1"/>
        <v>28</v>
      </c>
      <c r="D10">
        <v>22</v>
      </c>
      <c r="E10">
        <v>7</v>
      </c>
      <c r="F10">
        <v>7</v>
      </c>
      <c r="G10">
        <f t="shared" si="0"/>
        <v>8</v>
      </c>
      <c r="H10">
        <v>30</v>
      </c>
      <c r="I10">
        <v>32</v>
      </c>
      <c r="J10">
        <f t="shared" si="2"/>
        <v>-2</v>
      </c>
    </row>
    <row r="11" spans="1:13" x14ac:dyDescent="0.3">
      <c r="A11" t="s">
        <v>27</v>
      </c>
      <c r="B11" t="s">
        <v>46</v>
      </c>
      <c r="C11" s="1">
        <f t="shared" si="1"/>
        <v>27</v>
      </c>
      <c r="D11">
        <v>22</v>
      </c>
      <c r="E11">
        <v>7</v>
      </c>
      <c r="F11">
        <v>6</v>
      </c>
      <c r="G11">
        <f t="shared" si="0"/>
        <v>9</v>
      </c>
      <c r="H11">
        <v>28</v>
      </c>
      <c r="I11">
        <v>33</v>
      </c>
      <c r="J11">
        <f t="shared" si="2"/>
        <v>-5</v>
      </c>
    </row>
    <row r="12" spans="1:13" x14ac:dyDescent="0.3">
      <c r="A12" t="s">
        <v>29</v>
      </c>
      <c r="B12" t="s">
        <v>37</v>
      </c>
      <c r="C12" s="1">
        <f t="shared" si="1"/>
        <v>25</v>
      </c>
      <c r="D12">
        <v>22</v>
      </c>
      <c r="E12">
        <v>6</v>
      </c>
      <c r="F12">
        <v>7</v>
      </c>
      <c r="G12">
        <f t="shared" si="0"/>
        <v>9</v>
      </c>
      <c r="H12">
        <v>31</v>
      </c>
      <c r="I12">
        <v>35</v>
      </c>
      <c r="J12">
        <f t="shared" si="2"/>
        <v>-4</v>
      </c>
    </row>
    <row r="13" spans="1:13" x14ac:dyDescent="0.3">
      <c r="A13" t="s">
        <v>43</v>
      </c>
      <c r="B13" t="s">
        <v>34</v>
      </c>
      <c r="C13" s="1">
        <f>E13*3+F13</f>
        <v>23</v>
      </c>
      <c r="D13">
        <v>22</v>
      </c>
      <c r="E13">
        <v>6</v>
      </c>
      <c r="F13">
        <v>5</v>
      </c>
      <c r="G13">
        <f t="shared" si="0"/>
        <v>11</v>
      </c>
      <c r="H13">
        <v>24</v>
      </c>
      <c r="I13">
        <v>30</v>
      </c>
      <c r="J13">
        <f t="shared" si="2"/>
        <v>-6</v>
      </c>
    </row>
    <row r="14" spans="1:13" x14ac:dyDescent="0.3">
      <c r="A14" t="s">
        <v>45</v>
      </c>
      <c r="B14" t="s">
        <v>40</v>
      </c>
      <c r="C14" s="1">
        <f t="shared" si="1"/>
        <v>21</v>
      </c>
      <c r="D14">
        <v>22</v>
      </c>
      <c r="E14">
        <v>5</v>
      </c>
      <c r="F14">
        <v>6</v>
      </c>
      <c r="G14">
        <f t="shared" si="0"/>
        <v>11</v>
      </c>
      <c r="H14">
        <v>20</v>
      </c>
      <c r="I14">
        <v>35</v>
      </c>
      <c r="J14">
        <f t="shared" si="2"/>
        <v>-15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A19DE-491B-482D-8DCF-5A80A5F80F9A}">
  <dimension ref="A1:Q18"/>
  <sheetViews>
    <sheetView topLeftCell="H1" workbookViewId="0">
      <selection activeCell="Q4" sqref="Q4"/>
    </sheetView>
  </sheetViews>
  <sheetFormatPr defaultRowHeight="14.4" x14ac:dyDescent="0.3"/>
  <cols>
    <col min="1" max="1" width="25.21875" customWidth="1"/>
    <col min="2" max="2" width="24.5546875" customWidth="1"/>
    <col min="3" max="3" width="17.109375" customWidth="1"/>
    <col min="12" max="12" width="25" customWidth="1"/>
    <col min="14" max="14" width="25.44140625" customWidth="1"/>
    <col min="16" max="16" width="24.5546875" customWidth="1"/>
  </cols>
  <sheetData>
    <row r="1" spans="1:17" x14ac:dyDescent="0.3">
      <c r="A1" t="s">
        <v>47</v>
      </c>
      <c r="L1" t="s">
        <v>48</v>
      </c>
      <c r="P1" t="s">
        <v>73</v>
      </c>
    </row>
    <row r="2" spans="1:17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L2" t="s">
        <v>49</v>
      </c>
      <c r="P2" t="s">
        <v>51</v>
      </c>
      <c r="Q2">
        <v>1</v>
      </c>
    </row>
    <row r="3" spans="1:17" x14ac:dyDescent="0.3">
      <c r="A3" s="2" t="s">
        <v>11</v>
      </c>
      <c r="B3" t="s">
        <v>62</v>
      </c>
      <c r="C3" s="1">
        <f>E3*3+F3</f>
        <v>20</v>
      </c>
      <c r="D3">
        <v>10</v>
      </c>
      <c r="E3">
        <v>6</v>
      </c>
      <c r="F3">
        <v>2</v>
      </c>
      <c r="G3">
        <f t="shared" ref="G3:G13" si="0">D3-E3-F3</f>
        <v>2</v>
      </c>
      <c r="H3">
        <v>20</v>
      </c>
      <c r="I3">
        <v>10</v>
      </c>
      <c r="J3">
        <f>H3-I3</f>
        <v>10</v>
      </c>
      <c r="L3" t="s">
        <v>51</v>
      </c>
      <c r="M3" t="s">
        <v>65</v>
      </c>
      <c r="N3" t="s">
        <v>57</v>
      </c>
      <c r="P3" t="s">
        <v>54</v>
      </c>
      <c r="Q3">
        <v>1</v>
      </c>
    </row>
    <row r="4" spans="1:17" x14ac:dyDescent="0.3">
      <c r="A4" s="2" t="s">
        <v>13</v>
      </c>
      <c r="B4" t="s">
        <v>51</v>
      </c>
      <c r="C4" s="1">
        <f t="shared" ref="C4:C13" si="1">E4*3+F4</f>
        <v>20</v>
      </c>
      <c r="D4">
        <v>10</v>
      </c>
      <c r="E4">
        <v>6</v>
      </c>
      <c r="F4">
        <v>2</v>
      </c>
      <c r="G4">
        <f t="shared" si="0"/>
        <v>2</v>
      </c>
      <c r="H4">
        <v>18</v>
      </c>
      <c r="I4">
        <v>9</v>
      </c>
      <c r="J4">
        <f t="shared" ref="J4:J13" si="2">H4-I4</f>
        <v>9</v>
      </c>
      <c r="L4" t="s">
        <v>60</v>
      </c>
      <c r="M4" t="s">
        <v>66</v>
      </c>
      <c r="N4" t="s">
        <v>58</v>
      </c>
    </row>
    <row r="5" spans="1:17" x14ac:dyDescent="0.3">
      <c r="A5" t="s">
        <v>15</v>
      </c>
      <c r="B5" t="s">
        <v>53</v>
      </c>
      <c r="C5" s="1">
        <f t="shared" si="1"/>
        <v>16</v>
      </c>
      <c r="D5">
        <v>10</v>
      </c>
      <c r="E5">
        <v>5</v>
      </c>
      <c r="F5">
        <v>1</v>
      </c>
      <c r="G5">
        <f t="shared" si="0"/>
        <v>4</v>
      </c>
      <c r="H5">
        <v>16</v>
      </c>
      <c r="I5">
        <v>14</v>
      </c>
      <c r="J5">
        <f t="shared" si="2"/>
        <v>2</v>
      </c>
      <c r="L5" t="s">
        <v>62</v>
      </c>
      <c r="M5" t="s">
        <v>67</v>
      </c>
      <c r="N5" t="s">
        <v>59</v>
      </c>
    </row>
    <row r="6" spans="1:17" x14ac:dyDescent="0.3">
      <c r="A6" t="s">
        <v>17</v>
      </c>
      <c r="B6" t="s">
        <v>57</v>
      </c>
      <c r="C6" s="1">
        <f t="shared" si="1"/>
        <v>16</v>
      </c>
      <c r="D6">
        <v>10</v>
      </c>
      <c r="E6">
        <v>5</v>
      </c>
      <c r="F6">
        <v>1</v>
      </c>
      <c r="G6">
        <f t="shared" si="0"/>
        <v>4</v>
      </c>
      <c r="H6">
        <v>15</v>
      </c>
      <c r="I6">
        <v>15</v>
      </c>
      <c r="J6">
        <f t="shared" si="2"/>
        <v>0</v>
      </c>
    </row>
    <row r="7" spans="1:17" x14ac:dyDescent="0.3">
      <c r="A7" t="s">
        <v>19</v>
      </c>
      <c r="B7" t="s">
        <v>52</v>
      </c>
      <c r="C7" s="1">
        <f t="shared" si="1"/>
        <v>15</v>
      </c>
      <c r="D7">
        <v>10</v>
      </c>
      <c r="E7">
        <v>4</v>
      </c>
      <c r="F7">
        <v>3</v>
      </c>
      <c r="G7">
        <f t="shared" si="0"/>
        <v>3</v>
      </c>
      <c r="H7">
        <v>19</v>
      </c>
      <c r="I7">
        <v>18</v>
      </c>
      <c r="J7">
        <f t="shared" si="2"/>
        <v>1</v>
      </c>
      <c r="L7" t="s">
        <v>55</v>
      </c>
    </row>
    <row r="8" spans="1:17" x14ac:dyDescent="0.3">
      <c r="A8" t="s">
        <v>21</v>
      </c>
      <c r="B8" t="s">
        <v>56</v>
      </c>
      <c r="C8" s="1">
        <f t="shared" si="1"/>
        <v>14</v>
      </c>
      <c r="D8">
        <v>10</v>
      </c>
      <c r="E8">
        <v>4</v>
      </c>
      <c r="F8">
        <v>2</v>
      </c>
      <c r="G8">
        <f t="shared" si="0"/>
        <v>4</v>
      </c>
      <c r="H8">
        <v>17</v>
      </c>
      <c r="I8">
        <v>20</v>
      </c>
      <c r="J8">
        <f t="shared" si="2"/>
        <v>-3</v>
      </c>
      <c r="L8" t="s">
        <v>54</v>
      </c>
      <c r="M8" t="s">
        <v>65</v>
      </c>
      <c r="N8" t="s">
        <v>51</v>
      </c>
    </row>
    <row r="9" spans="1:17" x14ac:dyDescent="0.3">
      <c r="A9" t="s">
        <v>23</v>
      </c>
      <c r="B9" t="s">
        <v>50</v>
      </c>
      <c r="C9" s="1">
        <f t="shared" si="1"/>
        <v>13</v>
      </c>
      <c r="D9">
        <v>10</v>
      </c>
      <c r="E9">
        <v>3</v>
      </c>
      <c r="F9">
        <v>4</v>
      </c>
      <c r="G9">
        <f t="shared" si="0"/>
        <v>3</v>
      </c>
      <c r="H9">
        <v>18</v>
      </c>
      <c r="I9">
        <v>17</v>
      </c>
      <c r="J9">
        <f t="shared" si="2"/>
        <v>1</v>
      </c>
      <c r="L9" t="s">
        <v>62</v>
      </c>
      <c r="M9" t="s">
        <v>68</v>
      </c>
      <c r="N9" t="s">
        <v>53</v>
      </c>
    </row>
    <row r="10" spans="1:17" x14ac:dyDescent="0.3">
      <c r="A10" t="s">
        <v>25</v>
      </c>
      <c r="B10" t="s">
        <v>59</v>
      </c>
      <c r="C10" s="1">
        <f t="shared" si="1"/>
        <v>12</v>
      </c>
      <c r="D10">
        <v>10</v>
      </c>
      <c r="E10">
        <v>3</v>
      </c>
      <c r="F10">
        <v>3</v>
      </c>
      <c r="G10">
        <f t="shared" si="0"/>
        <v>4</v>
      </c>
      <c r="H10">
        <v>16</v>
      </c>
      <c r="I10">
        <v>16</v>
      </c>
      <c r="J10">
        <f t="shared" si="2"/>
        <v>0</v>
      </c>
      <c r="L10" t="s">
        <v>50</v>
      </c>
      <c r="M10" t="s">
        <v>69</v>
      </c>
      <c r="N10" t="s">
        <v>56</v>
      </c>
    </row>
    <row r="11" spans="1:17" x14ac:dyDescent="0.3">
      <c r="A11" t="s">
        <v>27</v>
      </c>
      <c r="B11" t="s">
        <v>54</v>
      </c>
      <c r="C11" s="1">
        <f t="shared" si="1"/>
        <v>11</v>
      </c>
      <c r="D11">
        <v>10</v>
      </c>
      <c r="E11">
        <v>3</v>
      </c>
      <c r="F11">
        <v>2</v>
      </c>
      <c r="G11">
        <f t="shared" si="0"/>
        <v>5</v>
      </c>
      <c r="H11">
        <v>10</v>
      </c>
      <c r="I11">
        <v>11</v>
      </c>
      <c r="J11">
        <f t="shared" si="2"/>
        <v>-1</v>
      </c>
      <c r="L11" t="s">
        <v>60</v>
      </c>
      <c r="M11" t="s">
        <v>66</v>
      </c>
      <c r="N11" t="s">
        <v>52</v>
      </c>
    </row>
    <row r="12" spans="1:17" x14ac:dyDescent="0.3">
      <c r="A12" t="s">
        <v>29</v>
      </c>
      <c r="B12" t="s">
        <v>58</v>
      </c>
      <c r="C12" s="1">
        <f t="shared" si="1"/>
        <v>9</v>
      </c>
      <c r="D12">
        <v>10</v>
      </c>
      <c r="E12">
        <v>2</v>
      </c>
      <c r="F12">
        <v>3</v>
      </c>
      <c r="G12">
        <f t="shared" si="0"/>
        <v>5</v>
      </c>
      <c r="H12">
        <v>11</v>
      </c>
      <c r="I12">
        <v>17</v>
      </c>
      <c r="J12">
        <f t="shared" si="2"/>
        <v>-6</v>
      </c>
    </row>
    <row r="13" spans="1:17" x14ac:dyDescent="0.3">
      <c r="A13" t="s">
        <v>43</v>
      </c>
      <c r="B13" t="s">
        <v>60</v>
      </c>
      <c r="C13" s="1">
        <f>E13*3+F13</f>
        <v>7</v>
      </c>
      <c r="D13">
        <v>10</v>
      </c>
      <c r="E13">
        <v>2</v>
      </c>
      <c r="F13">
        <v>1</v>
      </c>
      <c r="G13">
        <f t="shared" si="0"/>
        <v>7</v>
      </c>
      <c r="H13">
        <v>7</v>
      </c>
      <c r="I13">
        <v>20</v>
      </c>
      <c r="J13">
        <f t="shared" si="2"/>
        <v>-13</v>
      </c>
      <c r="L13" t="s">
        <v>61</v>
      </c>
    </row>
    <row r="14" spans="1:17" x14ac:dyDescent="0.3">
      <c r="L14" t="s">
        <v>54</v>
      </c>
      <c r="M14" t="s">
        <v>70</v>
      </c>
      <c r="N14" t="s">
        <v>53</v>
      </c>
    </row>
    <row r="15" spans="1:17" x14ac:dyDescent="0.3">
      <c r="A15" t="s">
        <v>63</v>
      </c>
      <c r="L15" t="s">
        <v>60</v>
      </c>
      <c r="M15" t="s">
        <v>71</v>
      </c>
      <c r="N15" t="s">
        <v>50</v>
      </c>
    </row>
    <row r="16" spans="1:17" x14ac:dyDescent="0.3">
      <c r="A16" t="str">
        <f>B3</f>
        <v>Coastal Spirit</v>
      </c>
      <c r="B16" t="s">
        <v>64</v>
      </c>
      <c r="C16" t="str">
        <f>B4</f>
        <v>Birkenhead United</v>
      </c>
    </row>
    <row r="17" spans="12:14" x14ac:dyDescent="0.3">
      <c r="L17" t="s">
        <v>63</v>
      </c>
    </row>
    <row r="18" spans="12:14" x14ac:dyDescent="0.3">
      <c r="L18" t="s">
        <v>60</v>
      </c>
      <c r="M18" t="s">
        <v>72</v>
      </c>
      <c r="N18" t="s">
        <v>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15A73-B10B-4BCE-BFFA-0C27BBAE34B4}">
  <dimension ref="A1:Q20"/>
  <sheetViews>
    <sheetView workbookViewId="0">
      <selection activeCell="Q4" sqref="Q4"/>
    </sheetView>
  </sheetViews>
  <sheetFormatPr defaultRowHeight="14.4" x14ac:dyDescent="0.3"/>
  <cols>
    <col min="1" max="1" width="12" customWidth="1"/>
    <col min="2" max="2" width="15.109375" customWidth="1"/>
    <col min="12" max="12" width="17.44140625" customWidth="1"/>
    <col min="14" max="14" width="12.33203125" customWidth="1"/>
    <col min="16" max="16" width="13.33203125" customWidth="1"/>
  </cols>
  <sheetData>
    <row r="1" spans="1:17" x14ac:dyDescent="0.3">
      <c r="A1" t="s">
        <v>74</v>
      </c>
      <c r="L1" t="s">
        <v>75</v>
      </c>
      <c r="P1" t="s">
        <v>73</v>
      </c>
    </row>
    <row r="2" spans="1:17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L2" t="s">
        <v>49</v>
      </c>
      <c r="P2" t="s">
        <v>82</v>
      </c>
      <c r="Q2">
        <v>22</v>
      </c>
    </row>
    <row r="3" spans="1:17" x14ac:dyDescent="0.3">
      <c r="A3" s="2" t="s">
        <v>11</v>
      </c>
      <c r="B3" t="s">
        <v>79</v>
      </c>
      <c r="C3" s="1">
        <f>E3*4+F3*2+G3</f>
        <v>28</v>
      </c>
      <c r="D3">
        <v>9</v>
      </c>
      <c r="E3">
        <v>6</v>
      </c>
      <c r="F3">
        <v>1</v>
      </c>
      <c r="G3">
        <f t="shared" ref="G3:G12" si="0">D3-E3-F3</f>
        <v>2</v>
      </c>
      <c r="H3">
        <v>15</v>
      </c>
      <c r="I3">
        <v>10</v>
      </c>
      <c r="J3">
        <f>H3-I3</f>
        <v>5</v>
      </c>
      <c r="L3" t="s">
        <v>84</v>
      </c>
      <c r="M3" t="s">
        <v>65</v>
      </c>
      <c r="N3" t="s">
        <v>83</v>
      </c>
      <c r="P3" t="s">
        <v>82</v>
      </c>
      <c r="Q3">
        <v>19</v>
      </c>
    </row>
    <row r="4" spans="1:17" x14ac:dyDescent="0.3">
      <c r="A4" s="2" t="s">
        <v>13</v>
      </c>
      <c r="B4" t="s">
        <v>77</v>
      </c>
      <c r="C4" s="1">
        <f t="shared" ref="C4:C12" si="1">E4*4+F4*2+G4</f>
        <v>27</v>
      </c>
      <c r="D4">
        <v>9</v>
      </c>
      <c r="E4">
        <v>6</v>
      </c>
      <c r="F4">
        <v>0</v>
      </c>
      <c r="G4">
        <f t="shared" si="0"/>
        <v>3</v>
      </c>
      <c r="H4">
        <v>23</v>
      </c>
      <c r="I4">
        <v>18</v>
      </c>
      <c r="J4">
        <f t="shared" ref="J4:J12" si="2">H4-I4</f>
        <v>5</v>
      </c>
      <c r="L4" t="s">
        <v>85</v>
      </c>
      <c r="M4" t="s">
        <v>72</v>
      </c>
      <c r="N4" t="s">
        <v>82</v>
      </c>
    </row>
    <row r="5" spans="1:17" x14ac:dyDescent="0.3">
      <c r="A5" s="2" t="s">
        <v>15</v>
      </c>
      <c r="B5" t="s">
        <v>81</v>
      </c>
      <c r="C5" s="1">
        <f t="shared" si="1"/>
        <v>26</v>
      </c>
      <c r="D5">
        <v>9</v>
      </c>
      <c r="E5">
        <v>5</v>
      </c>
      <c r="F5">
        <v>2</v>
      </c>
      <c r="G5">
        <f t="shared" si="0"/>
        <v>2</v>
      </c>
      <c r="H5">
        <v>15</v>
      </c>
      <c r="I5">
        <v>8</v>
      </c>
      <c r="J5">
        <f t="shared" si="2"/>
        <v>7</v>
      </c>
    </row>
    <row r="6" spans="1:17" x14ac:dyDescent="0.3">
      <c r="A6" s="2" t="s">
        <v>17</v>
      </c>
      <c r="B6" t="s">
        <v>82</v>
      </c>
      <c r="C6" s="1">
        <f t="shared" si="1"/>
        <v>23</v>
      </c>
      <c r="D6">
        <v>9</v>
      </c>
      <c r="E6">
        <v>4</v>
      </c>
      <c r="F6">
        <v>2</v>
      </c>
      <c r="G6">
        <f t="shared" si="0"/>
        <v>3</v>
      </c>
      <c r="H6">
        <v>18</v>
      </c>
      <c r="I6">
        <v>15</v>
      </c>
      <c r="J6">
        <f t="shared" si="2"/>
        <v>3</v>
      </c>
      <c r="L6" t="s">
        <v>55</v>
      </c>
    </row>
    <row r="7" spans="1:17" x14ac:dyDescent="0.3">
      <c r="A7" s="2" t="s">
        <v>19</v>
      </c>
      <c r="B7" t="s">
        <v>80</v>
      </c>
      <c r="C7" s="1">
        <f t="shared" si="1"/>
        <v>22</v>
      </c>
      <c r="D7">
        <v>9</v>
      </c>
      <c r="E7">
        <v>4</v>
      </c>
      <c r="F7">
        <v>1</v>
      </c>
      <c r="G7">
        <f t="shared" si="0"/>
        <v>4</v>
      </c>
      <c r="H7">
        <v>12</v>
      </c>
      <c r="I7">
        <v>12</v>
      </c>
      <c r="J7">
        <f t="shared" si="2"/>
        <v>0</v>
      </c>
      <c r="L7" t="s">
        <v>81</v>
      </c>
      <c r="M7" t="s">
        <v>69</v>
      </c>
      <c r="N7" t="s">
        <v>77</v>
      </c>
    </row>
    <row r="8" spans="1:17" x14ac:dyDescent="0.3">
      <c r="A8" t="s">
        <v>21</v>
      </c>
      <c r="B8" t="s">
        <v>78</v>
      </c>
      <c r="C8" s="1">
        <f t="shared" si="1"/>
        <v>22</v>
      </c>
      <c r="D8">
        <v>9</v>
      </c>
      <c r="E8">
        <v>4</v>
      </c>
      <c r="F8">
        <v>1</v>
      </c>
      <c r="G8">
        <f t="shared" si="0"/>
        <v>4</v>
      </c>
      <c r="H8">
        <v>12</v>
      </c>
      <c r="I8">
        <v>14</v>
      </c>
      <c r="J8">
        <f t="shared" si="2"/>
        <v>-2</v>
      </c>
      <c r="L8" t="s">
        <v>76</v>
      </c>
      <c r="M8" t="s">
        <v>87</v>
      </c>
      <c r="N8" t="s">
        <v>80</v>
      </c>
    </row>
    <row r="9" spans="1:17" x14ac:dyDescent="0.3">
      <c r="A9" t="s">
        <v>23</v>
      </c>
      <c r="B9" t="s">
        <v>84</v>
      </c>
      <c r="C9" s="1">
        <f t="shared" si="1"/>
        <v>19</v>
      </c>
      <c r="D9">
        <v>9</v>
      </c>
      <c r="E9">
        <v>3</v>
      </c>
      <c r="F9">
        <v>1</v>
      </c>
      <c r="G9">
        <f t="shared" si="0"/>
        <v>5</v>
      </c>
      <c r="H9">
        <v>13</v>
      </c>
      <c r="I9">
        <v>16</v>
      </c>
      <c r="J9">
        <f t="shared" si="2"/>
        <v>-3</v>
      </c>
      <c r="L9" t="s">
        <v>84</v>
      </c>
      <c r="M9" t="s">
        <v>88</v>
      </c>
      <c r="N9" t="s">
        <v>79</v>
      </c>
    </row>
    <row r="10" spans="1:17" x14ac:dyDescent="0.3">
      <c r="A10" t="s">
        <v>25</v>
      </c>
      <c r="B10" t="s">
        <v>83</v>
      </c>
      <c r="C10" s="1">
        <f t="shared" si="1"/>
        <v>18</v>
      </c>
      <c r="D10">
        <v>9</v>
      </c>
      <c r="E10">
        <v>2</v>
      </c>
      <c r="F10">
        <v>3</v>
      </c>
      <c r="G10">
        <f t="shared" si="0"/>
        <v>4</v>
      </c>
      <c r="H10">
        <v>13</v>
      </c>
      <c r="I10">
        <v>15</v>
      </c>
      <c r="J10">
        <f t="shared" si="2"/>
        <v>-2</v>
      </c>
      <c r="L10" t="s">
        <v>82</v>
      </c>
      <c r="M10" t="s">
        <v>66</v>
      </c>
      <c r="N10" t="s">
        <v>78</v>
      </c>
    </row>
    <row r="11" spans="1:17" x14ac:dyDescent="0.3">
      <c r="A11" t="s">
        <v>27</v>
      </c>
      <c r="B11" t="s">
        <v>76</v>
      </c>
      <c r="C11" s="1">
        <f t="shared" si="1"/>
        <v>17</v>
      </c>
      <c r="D11">
        <v>9</v>
      </c>
      <c r="E11">
        <v>2</v>
      </c>
      <c r="F11">
        <v>2</v>
      </c>
      <c r="G11">
        <f t="shared" si="0"/>
        <v>5</v>
      </c>
      <c r="H11">
        <v>8</v>
      </c>
      <c r="I11">
        <v>13</v>
      </c>
      <c r="J11">
        <f t="shared" si="2"/>
        <v>-5</v>
      </c>
    </row>
    <row r="12" spans="1:17" x14ac:dyDescent="0.3">
      <c r="A12" t="s">
        <v>29</v>
      </c>
      <c r="B12" t="s">
        <v>85</v>
      </c>
      <c r="C12" s="1">
        <f t="shared" si="1"/>
        <v>16</v>
      </c>
      <c r="D12">
        <v>9</v>
      </c>
      <c r="E12">
        <v>2</v>
      </c>
      <c r="F12">
        <v>1</v>
      </c>
      <c r="G12">
        <f t="shared" si="0"/>
        <v>6</v>
      </c>
      <c r="H12">
        <v>13</v>
      </c>
      <c r="I12">
        <v>21</v>
      </c>
      <c r="J12">
        <f t="shared" si="2"/>
        <v>-8</v>
      </c>
      <c r="L12" t="s">
        <v>61</v>
      </c>
    </row>
    <row r="13" spans="1:17" x14ac:dyDescent="0.3">
      <c r="L13" t="s">
        <v>81</v>
      </c>
      <c r="M13" t="s">
        <v>65</v>
      </c>
      <c r="N13" t="s">
        <v>80</v>
      </c>
    </row>
    <row r="14" spans="1:17" x14ac:dyDescent="0.3">
      <c r="A14" t="s">
        <v>86</v>
      </c>
      <c r="L14" t="s">
        <v>84</v>
      </c>
      <c r="M14" t="s">
        <v>87</v>
      </c>
      <c r="N14" t="s">
        <v>82</v>
      </c>
    </row>
    <row r="15" spans="1:17" x14ac:dyDescent="0.3">
      <c r="A15" t="s">
        <v>1</v>
      </c>
      <c r="B15" t="s">
        <v>2</v>
      </c>
      <c r="C15" t="s">
        <v>3</v>
      </c>
      <c r="D15" t="s">
        <v>4</v>
      </c>
      <c r="E15" t="s">
        <v>5</v>
      </c>
      <c r="F15" t="s">
        <v>6</v>
      </c>
      <c r="G15" t="s">
        <v>7</v>
      </c>
      <c r="H15" t="s">
        <v>8</v>
      </c>
      <c r="I15" t="s">
        <v>9</v>
      </c>
      <c r="J15" t="s">
        <v>10</v>
      </c>
    </row>
    <row r="16" spans="1:17" x14ac:dyDescent="0.3">
      <c r="A16" t="s">
        <v>11</v>
      </c>
      <c r="B16" t="s">
        <v>82</v>
      </c>
      <c r="C16" s="1">
        <f>E16*4+F16*2+G16</f>
        <v>42</v>
      </c>
      <c r="D16">
        <v>12</v>
      </c>
      <c r="E16">
        <v>9</v>
      </c>
      <c r="F16">
        <v>3</v>
      </c>
      <c r="G16">
        <f>D16-E16-F16</f>
        <v>0</v>
      </c>
      <c r="H16">
        <v>29</v>
      </c>
      <c r="I16">
        <v>11</v>
      </c>
      <c r="J16">
        <f>H16-I16</f>
        <v>18</v>
      </c>
      <c r="L16" t="s">
        <v>63</v>
      </c>
    </row>
    <row r="17" spans="1:14" x14ac:dyDescent="0.3">
      <c r="A17" t="s">
        <v>13</v>
      </c>
      <c r="B17" t="s">
        <v>80</v>
      </c>
      <c r="C17" s="1">
        <f>E17*4+F17*2+G17</f>
        <v>28</v>
      </c>
      <c r="D17">
        <v>12</v>
      </c>
      <c r="E17">
        <v>4</v>
      </c>
      <c r="F17">
        <v>4</v>
      </c>
      <c r="G17">
        <f>D17-E17-F17</f>
        <v>4</v>
      </c>
      <c r="H17">
        <v>16</v>
      </c>
      <c r="I17">
        <v>19</v>
      </c>
      <c r="J17">
        <f>H17-I17</f>
        <v>-3</v>
      </c>
      <c r="L17" t="s">
        <v>81</v>
      </c>
      <c r="M17" t="s">
        <v>72</v>
      </c>
      <c r="N17" t="s">
        <v>82</v>
      </c>
    </row>
    <row r="18" spans="1:14" x14ac:dyDescent="0.3">
      <c r="A18" t="s">
        <v>15</v>
      </c>
      <c r="B18" t="s">
        <v>81</v>
      </c>
      <c r="C18" s="1">
        <f>E18*4+F18*2+G18</f>
        <v>25</v>
      </c>
      <c r="D18">
        <v>12</v>
      </c>
      <c r="E18">
        <v>4</v>
      </c>
      <c r="F18">
        <v>1</v>
      </c>
      <c r="G18">
        <f>D18-E18-F18</f>
        <v>7</v>
      </c>
      <c r="H18">
        <v>17</v>
      </c>
      <c r="I18">
        <v>18</v>
      </c>
      <c r="J18">
        <f>H18-I18</f>
        <v>-1</v>
      </c>
    </row>
    <row r="19" spans="1:14" x14ac:dyDescent="0.3">
      <c r="A19" t="s">
        <v>17</v>
      </c>
      <c r="B19" t="s">
        <v>79</v>
      </c>
      <c r="C19" s="1">
        <f>E19*4+F19*2+G19</f>
        <v>25</v>
      </c>
      <c r="D19">
        <v>12</v>
      </c>
      <c r="E19">
        <v>4</v>
      </c>
      <c r="F19">
        <v>1</v>
      </c>
      <c r="G19">
        <f>D19-E19-F19</f>
        <v>7</v>
      </c>
      <c r="H19">
        <v>16</v>
      </c>
      <c r="I19">
        <v>22</v>
      </c>
      <c r="J19">
        <f>H19-I19</f>
        <v>-6</v>
      </c>
    </row>
    <row r="20" spans="1:14" x14ac:dyDescent="0.3">
      <c r="A20" t="s">
        <v>19</v>
      </c>
      <c r="B20" t="s">
        <v>77</v>
      </c>
      <c r="C20" s="1">
        <f>E20*4+F20*2+G20</f>
        <v>23</v>
      </c>
      <c r="D20">
        <v>12</v>
      </c>
      <c r="E20">
        <v>2</v>
      </c>
      <c r="F20">
        <v>5</v>
      </c>
      <c r="G20">
        <f>D20-E20-F20</f>
        <v>5</v>
      </c>
      <c r="H20">
        <v>9</v>
      </c>
      <c r="I20">
        <v>17</v>
      </c>
      <c r="J20">
        <f>H20-I20</f>
        <v>-8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C694F-D44A-4901-A0F7-97CE202FCF61}">
  <dimension ref="A1:M8"/>
  <sheetViews>
    <sheetView workbookViewId="0">
      <selection activeCell="M3" sqref="M3"/>
    </sheetView>
  </sheetViews>
  <sheetFormatPr defaultRowHeight="14.4" x14ac:dyDescent="0.3"/>
  <cols>
    <col min="1" max="1" width="17.21875" customWidth="1"/>
    <col min="2" max="2" width="17.6640625" customWidth="1"/>
    <col min="12" max="12" width="13.6640625" customWidth="1"/>
  </cols>
  <sheetData>
    <row r="1" spans="1:13" x14ac:dyDescent="0.3">
      <c r="A1" t="s">
        <v>89</v>
      </c>
      <c r="L1" t="s">
        <v>31</v>
      </c>
    </row>
    <row r="2" spans="1:13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L2" t="s">
        <v>92</v>
      </c>
      <c r="M2">
        <v>4</v>
      </c>
    </row>
    <row r="3" spans="1:13" x14ac:dyDescent="0.3">
      <c r="A3" t="s">
        <v>11</v>
      </c>
      <c r="B3" t="s">
        <v>92</v>
      </c>
      <c r="C3" s="1">
        <f>E3*3+F3</f>
        <v>19</v>
      </c>
      <c r="D3">
        <v>10</v>
      </c>
      <c r="E3">
        <v>6</v>
      </c>
      <c r="F3">
        <v>1</v>
      </c>
      <c r="G3">
        <f t="shared" ref="G3:G8" si="0">D3-E3-F3</f>
        <v>3</v>
      </c>
      <c r="H3">
        <v>17</v>
      </c>
      <c r="I3">
        <v>13</v>
      </c>
      <c r="J3">
        <f>H3-I3</f>
        <v>4</v>
      </c>
    </row>
    <row r="4" spans="1:13" x14ac:dyDescent="0.3">
      <c r="A4" t="s">
        <v>13</v>
      </c>
      <c r="B4" t="s">
        <v>91</v>
      </c>
      <c r="C4" s="1">
        <f t="shared" ref="C4:C8" si="1">E4*3+F4</f>
        <v>16</v>
      </c>
      <c r="D4">
        <v>10</v>
      </c>
      <c r="E4">
        <v>5</v>
      </c>
      <c r="F4">
        <v>1</v>
      </c>
      <c r="G4">
        <f t="shared" si="0"/>
        <v>4</v>
      </c>
      <c r="H4">
        <v>15</v>
      </c>
      <c r="I4">
        <v>14</v>
      </c>
      <c r="J4">
        <f t="shared" ref="J4:J8" si="2">H4-I4</f>
        <v>1</v>
      </c>
    </row>
    <row r="5" spans="1:13" x14ac:dyDescent="0.3">
      <c r="A5" t="s">
        <v>15</v>
      </c>
      <c r="B5" t="s">
        <v>90</v>
      </c>
      <c r="C5" s="1">
        <f t="shared" si="1"/>
        <v>14</v>
      </c>
      <c r="D5">
        <v>10</v>
      </c>
      <c r="E5">
        <v>4</v>
      </c>
      <c r="F5">
        <v>2</v>
      </c>
      <c r="G5">
        <f t="shared" si="0"/>
        <v>4</v>
      </c>
      <c r="H5">
        <v>16</v>
      </c>
      <c r="I5">
        <v>15</v>
      </c>
      <c r="J5">
        <f t="shared" si="2"/>
        <v>1</v>
      </c>
    </row>
    <row r="6" spans="1:13" x14ac:dyDescent="0.3">
      <c r="A6" t="s">
        <v>17</v>
      </c>
      <c r="B6" t="s">
        <v>94</v>
      </c>
      <c r="C6" s="1">
        <f t="shared" si="1"/>
        <v>14</v>
      </c>
      <c r="D6">
        <v>10</v>
      </c>
      <c r="E6">
        <v>4</v>
      </c>
      <c r="F6">
        <v>2</v>
      </c>
      <c r="G6">
        <f t="shared" si="0"/>
        <v>4</v>
      </c>
      <c r="H6">
        <v>17</v>
      </c>
      <c r="I6">
        <v>15</v>
      </c>
      <c r="J6">
        <f t="shared" si="2"/>
        <v>2</v>
      </c>
    </row>
    <row r="7" spans="1:13" x14ac:dyDescent="0.3">
      <c r="A7" t="s">
        <v>19</v>
      </c>
      <c r="B7" t="s">
        <v>93</v>
      </c>
      <c r="C7" s="1">
        <f t="shared" si="1"/>
        <v>12</v>
      </c>
      <c r="D7">
        <v>10</v>
      </c>
      <c r="E7">
        <v>3</v>
      </c>
      <c r="F7">
        <v>3</v>
      </c>
      <c r="G7">
        <f t="shared" si="0"/>
        <v>4</v>
      </c>
      <c r="H7">
        <v>13</v>
      </c>
      <c r="I7">
        <v>14</v>
      </c>
      <c r="J7">
        <f t="shared" si="2"/>
        <v>-1</v>
      </c>
    </row>
    <row r="8" spans="1:13" x14ac:dyDescent="0.3">
      <c r="A8" t="s">
        <v>21</v>
      </c>
      <c r="B8" t="s">
        <v>95</v>
      </c>
      <c r="C8" s="1">
        <f t="shared" si="1"/>
        <v>10</v>
      </c>
      <c r="D8">
        <v>10</v>
      </c>
      <c r="E8">
        <v>3</v>
      </c>
      <c r="F8">
        <v>1</v>
      </c>
      <c r="G8">
        <f t="shared" si="0"/>
        <v>6</v>
      </c>
      <c r="H8">
        <v>14</v>
      </c>
      <c r="I8">
        <v>21</v>
      </c>
      <c r="J8">
        <f t="shared" si="2"/>
        <v>-7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Fiji</vt:lpstr>
      <vt:lpstr>Ilhas Salomão</vt:lpstr>
      <vt:lpstr>Nova Zelândia</vt:lpstr>
      <vt:lpstr>Taiti</vt:lpstr>
      <vt:lpstr>Vanuatu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Estima</dc:creator>
  <cp:lastModifiedBy>Rafael Estima</cp:lastModifiedBy>
  <dcterms:created xsi:type="dcterms:W3CDTF">2026-08-03T03:57:00Z</dcterms:created>
  <dcterms:modified xsi:type="dcterms:W3CDTF">2026-08-03T04:55:43Z</dcterms:modified>
</cp:coreProperties>
</file>