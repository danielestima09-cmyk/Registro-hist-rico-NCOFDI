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D726751A-6EBE-4B5C-A2C7-CA5596153387}" xr6:coauthVersionLast="47" xr6:coauthVersionMax="47" xr10:uidLastSave="{00000000-0000-0000-0000-000000000000}"/>
  <bookViews>
    <workbookView xWindow="-108" yWindow="-108" windowWidth="23256" windowHeight="13176" firstSheet="9" activeTab="25" xr2:uid="{0D72D8E0-8349-40F0-B507-B02B38012F92}"/>
  </bookViews>
  <sheets>
    <sheet name="AC" sheetId="24" r:id="rId1"/>
    <sheet name="AL" sheetId="14" r:id="rId2"/>
    <sheet name="AM" sheetId="16" r:id="rId3"/>
    <sheet name="AP" sheetId="1" r:id="rId4"/>
    <sheet name="BA" sheetId="12" r:id="rId5"/>
    <sheet name="CE" sheetId="9" r:id="rId6"/>
    <sheet name="DF" sheetId="20" r:id="rId7"/>
    <sheet name="ES" sheetId="22" r:id="rId8"/>
    <sheet name="GO" sheetId="10" r:id="rId9"/>
    <sheet name="MA" sheetId="19" r:id="rId10"/>
    <sheet name="MG" sheetId="6" r:id="rId11"/>
    <sheet name="MS" sheetId="27" r:id="rId12"/>
    <sheet name="MT" sheetId="15" r:id="rId13"/>
    <sheet name="PA" sheetId="2" r:id="rId14"/>
    <sheet name="PB" sheetId="18" r:id="rId15"/>
    <sheet name="PE" sheetId="13" r:id="rId16"/>
    <sheet name="PI" sheetId="21" r:id="rId17"/>
    <sheet name="PR" sheetId="8" r:id="rId18"/>
    <sheet name="RJ" sheetId="5" r:id="rId19"/>
    <sheet name="RN" sheetId="17" r:id="rId20"/>
    <sheet name="RO" sheetId="25" r:id="rId21"/>
    <sheet name="RR" sheetId="26" r:id="rId22"/>
    <sheet name="RS" sheetId="7" r:id="rId23"/>
    <sheet name="SC" sheetId="11" r:id="rId24"/>
    <sheet name="SE" sheetId="3" r:id="rId25"/>
    <sheet name="SP" sheetId="4" r:id="rId26"/>
    <sheet name="TO" sheetId="23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27" l="1"/>
  <c r="U7" i="27"/>
  <c r="U6" i="27"/>
  <c r="U5" i="27"/>
  <c r="U4" i="27"/>
  <c r="U3" i="27"/>
  <c r="R8" i="27"/>
  <c r="R7" i="27"/>
  <c r="R6" i="27"/>
  <c r="R5" i="27"/>
  <c r="R4" i="27"/>
  <c r="R3" i="27"/>
  <c r="A16" i="27"/>
  <c r="C16" i="27"/>
  <c r="E16" i="27"/>
  <c r="G16" i="27"/>
  <c r="G15" i="27"/>
  <c r="E15" i="27"/>
  <c r="C15" i="27"/>
  <c r="A15" i="27"/>
  <c r="E20" i="27"/>
  <c r="C20" i="27"/>
  <c r="E19" i="27"/>
  <c r="C19" i="27"/>
  <c r="J12" i="27"/>
  <c r="G12" i="27"/>
  <c r="J11" i="27"/>
  <c r="G11" i="27"/>
  <c r="J10" i="27"/>
  <c r="G10" i="27"/>
  <c r="J9" i="27"/>
  <c r="G9" i="27"/>
  <c r="J8" i="27"/>
  <c r="G8" i="27"/>
  <c r="J7" i="27"/>
  <c r="G7" i="27"/>
  <c r="J6" i="27"/>
  <c r="G6" i="27"/>
  <c r="J5" i="27"/>
  <c r="G5" i="27"/>
  <c r="J4" i="27"/>
  <c r="G4" i="27"/>
  <c r="J3" i="27"/>
  <c r="G3" i="27"/>
  <c r="C43" i="26"/>
  <c r="A43" i="26"/>
  <c r="C42" i="26"/>
  <c r="A42" i="26"/>
  <c r="J36" i="26"/>
  <c r="G36" i="26"/>
  <c r="J38" i="26"/>
  <c r="G38" i="26"/>
  <c r="J39" i="26"/>
  <c r="G39" i="26"/>
  <c r="J37" i="26"/>
  <c r="G37" i="26"/>
  <c r="J32" i="26"/>
  <c r="G32" i="26"/>
  <c r="J29" i="26"/>
  <c r="G29" i="26"/>
  <c r="J31" i="26"/>
  <c r="G31" i="26"/>
  <c r="J30" i="26"/>
  <c r="G30" i="26"/>
  <c r="C21" i="26"/>
  <c r="C20" i="26"/>
  <c r="A21" i="26"/>
  <c r="A20" i="26"/>
  <c r="J17" i="26"/>
  <c r="G17" i="26"/>
  <c r="J16" i="26"/>
  <c r="G16" i="26"/>
  <c r="J15" i="26"/>
  <c r="G15" i="26"/>
  <c r="J14" i="26"/>
  <c r="G14" i="26"/>
  <c r="J13" i="26"/>
  <c r="G13" i="26"/>
  <c r="J9" i="26"/>
  <c r="G9" i="26"/>
  <c r="J8" i="26"/>
  <c r="G8" i="26"/>
  <c r="J7" i="26"/>
  <c r="G7" i="26"/>
  <c r="J6" i="26"/>
  <c r="G6" i="26"/>
  <c r="J5" i="26"/>
  <c r="G5" i="26"/>
  <c r="G13" i="25"/>
  <c r="E13" i="25"/>
  <c r="C13" i="25"/>
  <c r="A13" i="25"/>
  <c r="G12" i="25"/>
  <c r="E12" i="25"/>
  <c r="C12" i="25"/>
  <c r="A12" i="25"/>
  <c r="J8" i="25"/>
  <c r="G8" i="25"/>
  <c r="J9" i="25"/>
  <c r="G9" i="25"/>
  <c r="J5" i="25"/>
  <c r="G5" i="25"/>
  <c r="J6" i="25"/>
  <c r="G6" i="25"/>
  <c r="J7" i="25"/>
  <c r="G7" i="25"/>
  <c r="J4" i="25"/>
  <c r="G4" i="25"/>
  <c r="J3" i="25"/>
  <c r="G3" i="25"/>
  <c r="R9" i="24"/>
  <c r="P9" i="24"/>
  <c r="N9" i="24"/>
  <c r="L9" i="24"/>
  <c r="U6" i="24"/>
  <c r="R6" i="24"/>
  <c r="U5" i="24"/>
  <c r="R5" i="24"/>
  <c r="U4" i="24"/>
  <c r="R4" i="24"/>
  <c r="U3" i="24"/>
  <c r="R3" i="24"/>
  <c r="G14" i="24"/>
  <c r="E14" i="24"/>
  <c r="C14" i="24"/>
  <c r="A14" i="24"/>
  <c r="G13" i="24"/>
  <c r="E13" i="24"/>
  <c r="C13" i="24"/>
  <c r="A13" i="24"/>
  <c r="J10" i="24"/>
  <c r="G10" i="24"/>
  <c r="J9" i="24"/>
  <c r="G9" i="24"/>
  <c r="J8" i="24"/>
  <c r="G8" i="24"/>
  <c r="J7" i="24"/>
  <c r="G7" i="24"/>
  <c r="J6" i="24"/>
  <c r="G6" i="24"/>
  <c r="J5" i="24"/>
  <c r="G5" i="24"/>
  <c r="J4" i="24"/>
  <c r="G4" i="24"/>
  <c r="J3" i="24"/>
  <c r="G3" i="24"/>
  <c r="R23" i="23"/>
  <c r="P23" i="23"/>
  <c r="N23" i="23"/>
  <c r="L23" i="23"/>
  <c r="R22" i="23"/>
  <c r="P22" i="23"/>
  <c r="N22" i="23"/>
  <c r="L22" i="23"/>
  <c r="R21" i="23"/>
  <c r="P21" i="23"/>
  <c r="N21" i="23"/>
  <c r="L21" i="23"/>
  <c r="R20" i="23"/>
  <c r="P20" i="23"/>
  <c r="N20" i="23"/>
  <c r="L20" i="23"/>
  <c r="R17" i="23"/>
  <c r="U17" i="23"/>
  <c r="U16" i="23"/>
  <c r="R16" i="23"/>
  <c r="U15" i="23"/>
  <c r="R15" i="23"/>
  <c r="U14" i="23"/>
  <c r="R14" i="23"/>
  <c r="U13" i="23"/>
  <c r="R13" i="23"/>
  <c r="U12" i="23"/>
  <c r="R12" i="23"/>
  <c r="U8" i="23"/>
  <c r="U7" i="23"/>
  <c r="U6" i="23"/>
  <c r="U5" i="23"/>
  <c r="U4" i="23"/>
  <c r="R8" i="23"/>
  <c r="R7" i="23"/>
  <c r="R6" i="23"/>
  <c r="R5" i="23"/>
  <c r="R4" i="23"/>
  <c r="G14" i="23"/>
  <c r="E14" i="23"/>
  <c r="C14" i="23"/>
  <c r="A14" i="23"/>
  <c r="G13" i="23"/>
  <c r="E13" i="23"/>
  <c r="C13" i="23"/>
  <c r="A13" i="23"/>
  <c r="J10" i="23"/>
  <c r="G10" i="23"/>
  <c r="J9" i="23"/>
  <c r="G9" i="23"/>
  <c r="J8" i="23"/>
  <c r="G8" i="23"/>
  <c r="J7" i="23"/>
  <c r="G7" i="23"/>
  <c r="J6" i="23"/>
  <c r="G6" i="23"/>
  <c r="J5" i="23"/>
  <c r="G5" i="23"/>
  <c r="J4" i="23"/>
  <c r="G4" i="23"/>
  <c r="J3" i="23"/>
  <c r="G3" i="23"/>
  <c r="AC20" i="22"/>
  <c r="AA20" i="22"/>
  <c r="Y20" i="22"/>
  <c r="W20" i="22"/>
  <c r="AC19" i="22"/>
  <c r="AA19" i="22"/>
  <c r="Y19" i="22"/>
  <c r="W19" i="22"/>
  <c r="AC18" i="22"/>
  <c r="AA18" i="22"/>
  <c r="Y18" i="22"/>
  <c r="W18" i="22"/>
  <c r="AC17" i="22"/>
  <c r="AA17" i="22"/>
  <c r="Y17" i="22"/>
  <c r="W17" i="22"/>
  <c r="AF11" i="22"/>
  <c r="AF12" i="22"/>
  <c r="AF13" i="22"/>
  <c r="AF14" i="22"/>
  <c r="AF10" i="22"/>
  <c r="AF9" i="22"/>
  <c r="AF8" i="22"/>
  <c r="AF7" i="22"/>
  <c r="AF6" i="22"/>
  <c r="AF5" i="22"/>
  <c r="AF4" i="22"/>
  <c r="AF3" i="22"/>
  <c r="AC11" i="22"/>
  <c r="AC12" i="22"/>
  <c r="AC13" i="22"/>
  <c r="AC14" i="22"/>
  <c r="AC10" i="22"/>
  <c r="AC9" i="22"/>
  <c r="AC8" i="22"/>
  <c r="AC7" i="22"/>
  <c r="AC6" i="22"/>
  <c r="AC5" i="22"/>
  <c r="AC4" i="22"/>
  <c r="AC3" i="22"/>
  <c r="R14" i="22"/>
  <c r="P14" i="22"/>
  <c r="N14" i="22"/>
  <c r="L14" i="22"/>
  <c r="R13" i="22"/>
  <c r="P13" i="22"/>
  <c r="N13" i="22"/>
  <c r="L13" i="22"/>
  <c r="U10" i="22"/>
  <c r="R10" i="22"/>
  <c r="U9" i="22"/>
  <c r="R9" i="22"/>
  <c r="U8" i="22"/>
  <c r="R8" i="22"/>
  <c r="U7" i="22"/>
  <c r="R7" i="22"/>
  <c r="U6" i="22"/>
  <c r="R6" i="22"/>
  <c r="U5" i="22"/>
  <c r="R5" i="22"/>
  <c r="U4" i="22"/>
  <c r="R4" i="22"/>
  <c r="U3" i="22"/>
  <c r="R3" i="22"/>
  <c r="G18" i="22"/>
  <c r="E18" i="22"/>
  <c r="C18" i="22"/>
  <c r="A18" i="22"/>
  <c r="G17" i="22"/>
  <c r="E17" i="22"/>
  <c r="C17" i="22"/>
  <c r="A17" i="22"/>
  <c r="G16" i="22"/>
  <c r="E16" i="22"/>
  <c r="C16" i="22"/>
  <c r="A16" i="22"/>
  <c r="G15" i="22"/>
  <c r="E15" i="22"/>
  <c r="C15" i="22"/>
  <c r="A15" i="22"/>
  <c r="J12" i="22"/>
  <c r="J11" i="22"/>
  <c r="J10" i="22"/>
  <c r="J9" i="22"/>
  <c r="J8" i="22"/>
  <c r="J7" i="22"/>
  <c r="J6" i="22"/>
  <c r="J5" i="22"/>
  <c r="J4" i="22"/>
  <c r="J3" i="22"/>
  <c r="G7" i="22"/>
  <c r="G8" i="22"/>
  <c r="G9" i="22"/>
  <c r="G10" i="22"/>
  <c r="G11" i="22"/>
  <c r="G12" i="22"/>
  <c r="G6" i="22"/>
  <c r="G5" i="22"/>
  <c r="G4" i="22"/>
  <c r="G3" i="22"/>
  <c r="R12" i="21"/>
  <c r="P12" i="21"/>
  <c r="N12" i="21"/>
  <c r="L12" i="21"/>
  <c r="R11" i="21"/>
  <c r="P11" i="21"/>
  <c r="N11" i="21"/>
  <c r="L11" i="21"/>
  <c r="U8" i="21"/>
  <c r="R8" i="21"/>
  <c r="U7" i="21"/>
  <c r="R7" i="21"/>
  <c r="U6" i="21"/>
  <c r="R6" i="21"/>
  <c r="U5" i="21"/>
  <c r="R5" i="21"/>
  <c r="U4" i="21"/>
  <c r="R4" i="21"/>
  <c r="U3" i="21"/>
  <c r="R3" i="21"/>
  <c r="G14" i="21"/>
  <c r="E14" i="21"/>
  <c r="C14" i="21"/>
  <c r="A14" i="21"/>
  <c r="G13" i="21"/>
  <c r="E13" i="21"/>
  <c r="C13" i="21"/>
  <c r="A13" i="21"/>
  <c r="J10" i="21"/>
  <c r="G10" i="21"/>
  <c r="J9" i="21"/>
  <c r="G9" i="21"/>
  <c r="J8" i="21"/>
  <c r="G8" i="21"/>
  <c r="J7" i="21"/>
  <c r="G7" i="21"/>
  <c r="J6" i="21"/>
  <c r="G6" i="21"/>
  <c r="J5" i="21"/>
  <c r="G5" i="21"/>
  <c r="J4" i="21"/>
  <c r="G4" i="21"/>
  <c r="J3" i="21"/>
  <c r="G3" i="21"/>
  <c r="U10" i="20"/>
  <c r="R10" i="20"/>
  <c r="U9" i="20"/>
  <c r="R9" i="20"/>
  <c r="U8" i="20"/>
  <c r="R8" i="20"/>
  <c r="U7" i="20"/>
  <c r="R7" i="20"/>
  <c r="U6" i="20"/>
  <c r="R6" i="20"/>
  <c r="U5" i="20"/>
  <c r="R5" i="20"/>
  <c r="U4" i="20"/>
  <c r="R4" i="20"/>
  <c r="U3" i="20"/>
  <c r="R3" i="20"/>
  <c r="G16" i="20"/>
  <c r="E16" i="20"/>
  <c r="C16" i="20"/>
  <c r="A16" i="20"/>
  <c r="G15" i="20"/>
  <c r="E15" i="20"/>
  <c r="C15" i="20"/>
  <c r="A15" i="20"/>
  <c r="J12" i="20"/>
  <c r="G12" i="20"/>
  <c r="J11" i="20"/>
  <c r="G11" i="20"/>
  <c r="J10" i="20"/>
  <c r="G10" i="20"/>
  <c r="J9" i="20"/>
  <c r="G9" i="20"/>
  <c r="J8" i="20"/>
  <c r="G8" i="20"/>
  <c r="J7" i="20"/>
  <c r="G7" i="20"/>
  <c r="J6" i="20"/>
  <c r="G6" i="20"/>
  <c r="J5" i="20"/>
  <c r="G5" i="20"/>
  <c r="J4" i="20"/>
  <c r="G4" i="20"/>
  <c r="J3" i="20"/>
  <c r="G3" i="20"/>
  <c r="AJ18" i="3"/>
  <c r="AH18" i="3"/>
  <c r="AJ17" i="3"/>
  <c r="AH17" i="3"/>
  <c r="AQ14" i="3"/>
  <c r="AN14" i="3"/>
  <c r="AQ13" i="3"/>
  <c r="AN13" i="3"/>
  <c r="AQ12" i="3"/>
  <c r="AN12" i="3"/>
  <c r="AQ11" i="3"/>
  <c r="AN11" i="3"/>
  <c r="AQ7" i="3"/>
  <c r="AQ6" i="3"/>
  <c r="AQ5" i="3"/>
  <c r="AQ4" i="3"/>
  <c r="AN7" i="3"/>
  <c r="AN6" i="3"/>
  <c r="AN5" i="3"/>
  <c r="AN4" i="3"/>
  <c r="AF14" i="3"/>
  <c r="AF13" i="3"/>
  <c r="AF12" i="3"/>
  <c r="AF11" i="3"/>
  <c r="AF10" i="3"/>
  <c r="AF9" i="3"/>
  <c r="AF8" i="3"/>
  <c r="AF7" i="3"/>
  <c r="AF6" i="3"/>
  <c r="AF5" i="3"/>
  <c r="AF4" i="3"/>
  <c r="AF3" i="3"/>
  <c r="AC14" i="3"/>
  <c r="AC13" i="3"/>
  <c r="AC12" i="3"/>
  <c r="AC11" i="3"/>
  <c r="AC10" i="3"/>
  <c r="AC9" i="3"/>
  <c r="AC8" i="3"/>
  <c r="AC7" i="3"/>
  <c r="AC6" i="3"/>
  <c r="AC5" i="3"/>
  <c r="AC4" i="3"/>
  <c r="AC3" i="3"/>
  <c r="U20" i="19"/>
  <c r="R20" i="19"/>
  <c r="U19" i="19"/>
  <c r="R19" i="19"/>
  <c r="U18" i="19"/>
  <c r="R18" i="19"/>
  <c r="U14" i="19"/>
  <c r="R14" i="19"/>
  <c r="U13" i="19"/>
  <c r="R13" i="19"/>
  <c r="U12" i="19"/>
  <c r="R12" i="19"/>
  <c r="U11" i="19"/>
  <c r="R11" i="19"/>
  <c r="U7" i="19"/>
  <c r="R7" i="19"/>
  <c r="U6" i="19"/>
  <c r="R6" i="19"/>
  <c r="U5" i="19"/>
  <c r="R5" i="19"/>
  <c r="U4" i="19"/>
  <c r="R4" i="19"/>
  <c r="G20" i="19"/>
  <c r="E20" i="19"/>
  <c r="C20" i="19"/>
  <c r="A20" i="19"/>
  <c r="G14" i="19"/>
  <c r="E14" i="19"/>
  <c r="C14" i="19"/>
  <c r="A14" i="19"/>
  <c r="G13" i="19"/>
  <c r="E13" i="19"/>
  <c r="C13" i="19"/>
  <c r="A13" i="19"/>
  <c r="J10" i="19"/>
  <c r="G10" i="19"/>
  <c r="J9" i="19"/>
  <c r="G9" i="19"/>
  <c r="J8" i="19"/>
  <c r="G8" i="19"/>
  <c r="J7" i="19"/>
  <c r="G7" i="19"/>
  <c r="J6" i="19"/>
  <c r="G6" i="19"/>
  <c r="J5" i="19"/>
  <c r="G5" i="19"/>
  <c r="J4" i="19"/>
  <c r="G4" i="19"/>
  <c r="J3" i="19"/>
  <c r="G3" i="19"/>
  <c r="Y10" i="18"/>
  <c r="W10" i="18"/>
  <c r="AF7" i="18"/>
  <c r="AF6" i="18"/>
  <c r="AF5" i="18"/>
  <c r="AF4" i="18"/>
  <c r="AF3" i="18"/>
  <c r="AC7" i="18"/>
  <c r="AC6" i="18"/>
  <c r="AC5" i="18"/>
  <c r="AC4" i="18"/>
  <c r="AC3" i="18"/>
  <c r="U13" i="18"/>
  <c r="U14" i="18"/>
  <c r="U12" i="18"/>
  <c r="U11" i="18"/>
  <c r="U10" i="18"/>
  <c r="U9" i="18"/>
  <c r="U8" i="18"/>
  <c r="U7" i="18"/>
  <c r="U6" i="18"/>
  <c r="U5" i="18"/>
  <c r="U4" i="18"/>
  <c r="U3" i="18"/>
  <c r="R13" i="18"/>
  <c r="R14" i="18"/>
  <c r="R12" i="18"/>
  <c r="R11" i="18"/>
  <c r="R10" i="18"/>
  <c r="R9" i="18"/>
  <c r="R8" i="18"/>
  <c r="R7" i="18"/>
  <c r="R6" i="18"/>
  <c r="R5" i="18"/>
  <c r="R4" i="18"/>
  <c r="R3" i="18"/>
  <c r="P22" i="18"/>
  <c r="N22" i="18"/>
  <c r="P21" i="18"/>
  <c r="N21" i="18"/>
  <c r="N18" i="18"/>
  <c r="L18" i="18"/>
  <c r="N17" i="18"/>
  <c r="L17" i="18"/>
  <c r="C15" i="18"/>
  <c r="A15" i="18"/>
  <c r="A16" i="18"/>
  <c r="C16" i="18"/>
  <c r="E16" i="18"/>
  <c r="G16" i="18"/>
  <c r="G15" i="18"/>
  <c r="E15" i="18"/>
  <c r="J12" i="18"/>
  <c r="G12" i="18"/>
  <c r="J11" i="18"/>
  <c r="G11" i="18"/>
  <c r="J10" i="18"/>
  <c r="G10" i="18"/>
  <c r="J9" i="18"/>
  <c r="G9" i="18"/>
  <c r="J8" i="18"/>
  <c r="G8" i="18"/>
  <c r="J7" i="18"/>
  <c r="G7" i="18"/>
  <c r="J6" i="18"/>
  <c r="G6" i="18"/>
  <c r="J5" i="18"/>
  <c r="G5" i="18"/>
  <c r="J4" i="18"/>
  <c r="G4" i="18"/>
  <c r="J3" i="18"/>
  <c r="G3" i="18"/>
  <c r="U16" i="17"/>
  <c r="U15" i="17"/>
  <c r="U14" i="17"/>
  <c r="U13" i="17"/>
  <c r="R16" i="17"/>
  <c r="R15" i="17"/>
  <c r="R14" i="17"/>
  <c r="R13" i="17"/>
  <c r="U9" i="17"/>
  <c r="U8" i="17"/>
  <c r="U7" i="17"/>
  <c r="U6" i="17"/>
  <c r="U5" i="17"/>
  <c r="U4" i="17"/>
  <c r="U3" i="17"/>
  <c r="R9" i="17"/>
  <c r="R8" i="17"/>
  <c r="R7" i="17"/>
  <c r="R6" i="17"/>
  <c r="R5" i="17"/>
  <c r="R4" i="17"/>
  <c r="R3" i="17"/>
  <c r="E18" i="17"/>
  <c r="C18" i="17"/>
  <c r="E17" i="17"/>
  <c r="C17" i="17"/>
  <c r="G14" i="17"/>
  <c r="E14" i="17"/>
  <c r="C14" i="17"/>
  <c r="A14" i="17"/>
  <c r="G13" i="17"/>
  <c r="E13" i="17"/>
  <c r="C13" i="17"/>
  <c r="A13" i="17"/>
  <c r="J10" i="17"/>
  <c r="G10" i="17"/>
  <c r="J9" i="17"/>
  <c r="G9" i="17"/>
  <c r="J8" i="17"/>
  <c r="G8" i="17"/>
  <c r="J7" i="17"/>
  <c r="G7" i="17"/>
  <c r="J6" i="17"/>
  <c r="G6" i="17"/>
  <c r="J5" i="17"/>
  <c r="G5" i="17"/>
  <c r="J4" i="17"/>
  <c r="G4" i="17"/>
  <c r="J3" i="17"/>
  <c r="G3" i="17"/>
  <c r="Y17" i="16"/>
  <c r="V17" i="16"/>
  <c r="R21" i="16"/>
  <c r="R20" i="16"/>
  <c r="P21" i="16"/>
  <c r="P20" i="16"/>
  <c r="Y16" i="16"/>
  <c r="V16" i="16"/>
  <c r="Y15" i="16"/>
  <c r="V15" i="16"/>
  <c r="Y14" i="16"/>
  <c r="V14" i="16"/>
  <c r="Y13" i="16"/>
  <c r="V13" i="16"/>
  <c r="Y12" i="16"/>
  <c r="V12" i="16"/>
  <c r="Y8" i="16"/>
  <c r="Y7" i="16"/>
  <c r="Y6" i="16"/>
  <c r="Y5" i="16"/>
  <c r="Y4" i="16"/>
  <c r="V8" i="16"/>
  <c r="V7" i="16"/>
  <c r="V6" i="16"/>
  <c r="V5" i="16"/>
  <c r="V4" i="16"/>
  <c r="A48" i="16"/>
  <c r="A47" i="16"/>
  <c r="C44" i="16"/>
  <c r="A44" i="16"/>
  <c r="C43" i="16"/>
  <c r="A43" i="16"/>
  <c r="A23" i="16"/>
  <c r="A22" i="16"/>
  <c r="C19" i="16"/>
  <c r="A19" i="16"/>
  <c r="C18" i="16"/>
  <c r="A18" i="16"/>
  <c r="J39" i="16"/>
  <c r="G39" i="16"/>
  <c r="J40" i="16"/>
  <c r="G40" i="16"/>
  <c r="J38" i="16"/>
  <c r="G38" i="16"/>
  <c r="J37" i="16"/>
  <c r="G37" i="16"/>
  <c r="J32" i="16"/>
  <c r="G32" i="16"/>
  <c r="J31" i="16"/>
  <c r="G31" i="16"/>
  <c r="J30" i="16"/>
  <c r="G30" i="16"/>
  <c r="J33" i="16"/>
  <c r="G33" i="16"/>
  <c r="J12" i="16"/>
  <c r="G12" i="16"/>
  <c r="J15" i="16"/>
  <c r="G15" i="16"/>
  <c r="J13" i="16"/>
  <c r="G13" i="16"/>
  <c r="J14" i="16"/>
  <c r="G14" i="16"/>
  <c r="J7" i="16"/>
  <c r="J5" i="16"/>
  <c r="J6" i="16"/>
  <c r="J8" i="16"/>
  <c r="G7" i="16"/>
  <c r="G5" i="16"/>
  <c r="G6" i="16"/>
  <c r="G8" i="16"/>
  <c r="R20" i="15"/>
  <c r="P20" i="15"/>
  <c r="N20" i="15"/>
  <c r="L20" i="15"/>
  <c r="R19" i="15"/>
  <c r="P19" i="15"/>
  <c r="N19" i="15"/>
  <c r="L19" i="15"/>
  <c r="U16" i="15"/>
  <c r="R16" i="15"/>
  <c r="U15" i="15"/>
  <c r="R15" i="15"/>
  <c r="U14" i="15"/>
  <c r="R14" i="15"/>
  <c r="U13" i="15"/>
  <c r="R13" i="15"/>
  <c r="U12" i="15"/>
  <c r="R12" i="15"/>
  <c r="U8" i="15"/>
  <c r="U7" i="15"/>
  <c r="U6" i="15"/>
  <c r="U5" i="15"/>
  <c r="U4" i="15"/>
  <c r="R8" i="15"/>
  <c r="R7" i="15"/>
  <c r="R6" i="15"/>
  <c r="R5" i="15"/>
  <c r="R4" i="15"/>
  <c r="E20" i="15"/>
  <c r="C20" i="15"/>
  <c r="E19" i="15"/>
  <c r="C19" i="15"/>
  <c r="C16" i="15"/>
  <c r="A16" i="15"/>
  <c r="C15" i="15"/>
  <c r="A15" i="15"/>
  <c r="J11" i="15"/>
  <c r="J12" i="15"/>
  <c r="G11" i="15"/>
  <c r="G12" i="15"/>
  <c r="J10" i="15"/>
  <c r="G10" i="15"/>
  <c r="J9" i="15"/>
  <c r="G9" i="15"/>
  <c r="J8" i="15"/>
  <c r="G8" i="15"/>
  <c r="J7" i="15"/>
  <c r="G7" i="15"/>
  <c r="J6" i="15"/>
  <c r="G6" i="15"/>
  <c r="J5" i="15"/>
  <c r="G5" i="15"/>
  <c r="J4" i="15"/>
  <c r="G4" i="15"/>
  <c r="J3" i="15"/>
  <c r="G3" i="15"/>
  <c r="AG30" i="2"/>
  <c r="AE30" i="2"/>
  <c r="AC30" i="2"/>
  <c r="AA30" i="2"/>
  <c r="AG29" i="2"/>
  <c r="AE29" i="2"/>
  <c r="AC29" i="2"/>
  <c r="AA29" i="2"/>
  <c r="AG28" i="2"/>
  <c r="AE28" i="2"/>
  <c r="AC28" i="2"/>
  <c r="AA28" i="2"/>
  <c r="AG27" i="2"/>
  <c r="AE27" i="2"/>
  <c r="AC27" i="2"/>
  <c r="AA27" i="2"/>
  <c r="AJ24" i="2"/>
  <c r="AG24" i="2"/>
  <c r="AJ23" i="2"/>
  <c r="AG23" i="2"/>
  <c r="AJ22" i="2"/>
  <c r="AG22" i="2"/>
  <c r="AJ18" i="2"/>
  <c r="AG18" i="2"/>
  <c r="AJ17" i="2"/>
  <c r="AG17" i="2"/>
  <c r="AJ16" i="2"/>
  <c r="AG16" i="2"/>
  <c r="AJ12" i="2"/>
  <c r="AG12" i="2"/>
  <c r="AJ11" i="2"/>
  <c r="AG11" i="2"/>
  <c r="AJ10" i="2"/>
  <c r="AG10" i="2"/>
  <c r="AJ6" i="2"/>
  <c r="AJ5" i="2"/>
  <c r="AJ4" i="2"/>
  <c r="AG6" i="2"/>
  <c r="AG5" i="2"/>
  <c r="AG4" i="2"/>
  <c r="A21" i="2"/>
  <c r="J16" i="2"/>
  <c r="J15" i="2"/>
  <c r="G16" i="2"/>
  <c r="G15" i="2"/>
  <c r="J7" i="2"/>
  <c r="J8" i="2"/>
  <c r="G7" i="2"/>
  <c r="G8" i="2"/>
  <c r="W22" i="14"/>
  <c r="Y21" i="14"/>
  <c r="Y22" i="14"/>
  <c r="W21" i="14"/>
  <c r="AF18" i="14"/>
  <c r="AC18" i="14"/>
  <c r="AF17" i="14"/>
  <c r="AC17" i="14"/>
  <c r="AF16" i="14"/>
  <c r="AC16" i="14"/>
  <c r="AF15" i="14"/>
  <c r="AC15" i="14"/>
  <c r="AF14" i="14"/>
  <c r="AC14" i="14"/>
  <c r="AF13" i="14"/>
  <c r="AC13" i="14"/>
  <c r="AF9" i="14"/>
  <c r="AF8" i="14"/>
  <c r="AF7" i="14"/>
  <c r="AF6" i="14"/>
  <c r="AF5" i="14"/>
  <c r="AF4" i="14"/>
  <c r="AC9" i="14"/>
  <c r="AC8" i="14"/>
  <c r="AC7" i="14"/>
  <c r="AC6" i="14"/>
  <c r="AC5" i="14"/>
  <c r="AC4" i="14"/>
  <c r="R13" i="14"/>
  <c r="P13" i="14"/>
  <c r="N13" i="14"/>
  <c r="L13" i="14"/>
  <c r="R12" i="14"/>
  <c r="P12" i="14"/>
  <c r="N12" i="14"/>
  <c r="L12" i="14"/>
  <c r="U9" i="14"/>
  <c r="U8" i="14"/>
  <c r="U7" i="14"/>
  <c r="U6" i="14"/>
  <c r="U5" i="14"/>
  <c r="U4" i="14"/>
  <c r="U3" i="14"/>
  <c r="R9" i="14"/>
  <c r="R8" i="14"/>
  <c r="R7" i="14"/>
  <c r="R6" i="14"/>
  <c r="R5" i="14"/>
  <c r="R4" i="14"/>
  <c r="R3" i="14"/>
  <c r="G14" i="14"/>
  <c r="E14" i="14"/>
  <c r="C14" i="14"/>
  <c r="A14" i="14"/>
  <c r="G13" i="14"/>
  <c r="E13" i="14"/>
  <c r="C13" i="14"/>
  <c r="A13" i="14"/>
  <c r="J4" i="14"/>
  <c r="J5" i="14"/>
  <c r="J6" i="14"/>
  <c r="J7" i="14"/>
  <c r="J8" i="14"/>
  <c r="J9" i="14"/>
  <c r="J10" i="14"/>
  <c r="J3" i="14"/>
  <c r="G4" i="14"/>
  <c r="G5" i="14"/>
  <c r="G6" i="14"/>
  <c r="G7" i="14"/>
  <c r="G8" i="14"/>
  <c r="G9" i="14"/>
  <c r="G10" i="14"/>
  <c r="G3" i="14"/>
  <c r="U11" i="13"/>
  <c r="U12" i="13"/>
  <c r="U13" i="13"/>
  <c r="U14" i="13"/>
  <c r="U15" i="13"/>
  <c r="U16" i="13"/>
  <c r="U17" i="13"/>
  <c r="U18" i="13"/>
  <c r="U19" i="13"/>
  <c r="U20" i="13"/>
  <c r="U10" i="13"/>
  <c r="U9" i="13"/>
  <c r="U8" i="13"/>
  <c r="U7" i="13"/>
  <c r="U6" i="13"/>
  <c r="U5" i="13"/>
  <c r="U4" i="13"/>
  <c r="U3" i="13"/>
  <c r="R11" i="13"/>
  <c r="R12" i="13"/>
  <c r="R13" i="13"/>
  <c r="R14" i="13"/>
  <c r="R15" i="13"/>
  <c r="R16" i="13"/>
  <c r="R17" i="13"/>
  <c r="R18" i="13"/>
  <c r="R19" i="13"/>
  <c r="R20" i="13"/>
  <c r="R10" i="13"/>
  <c r="R9" i="13"/>
  <c r="R8" i="13"/>
  <c r="R7" i="13"/>
  <c r="R6" i="13"/>
  <c r="R5" i="13"/>
  <c r="R4" i="13"/>
  <c r="R3" i="13"/>
  <c r="E18" i="13"/>
  <c r="E17" i="13"/>
  <c r="C18" i="13"/>
  <c r="C17" i="13"/>
  <c r="G14" i="13"/>
  <c r="E14" i="13"/>
  <c r="C14" i="13"/>
  <c r="A14" i="13"/>
  <c r="G13" i="13"/>
  <c r="E13" i="13"/>
  <c r="C13" i="13"/>
  <c r="A13" i="13"/>
  <c r="J7" i="13"/>
  <c r="J8" i="13"/>
  <c r="J9" i="13"/>
  <c r="J10" i="13"/>
  <c r="G7" i="13"/>
  <c r="G8" i="13"/>
  <c r="G9" i="13"/>
  <c r="G10" i="13"/>
  <c r="J6" i="13"/>
  <c r="G6" i="13"/>
  <c r="J5" i="13"/>
  <c r="G5" i="13"/>
  <c r="J4" i="13"/>
  <c r="G4" i="13"/>
  <c r="J3" i="13"/>
  <c r="G3" i="13"/>
  <c r="U10" i="12"/>
  <c r="U9" i="12"/>
  <c r="U8" i="12"/>
  <c r="U7" i="12"/>
  <c r="U6" i="12"/>
  <c r="U5" i="12"/>
  <c r="U4" i="12"/>
  <c r="U3" i="12"/>
  <c r="R10" i="12"/>
  <c r="R9" i="12"/>
  <c r="R8" i="12"/>
  <c r="R7" i="12"/>
  <c r="R6" i="12"/>
  <c r="R5" i="12"/>
  <c r="R4" i="12"/>
  <c r="R3" i="12"/>
  <c r="R14" i="12"/>
  <c r="P14" i="12"/>
  <c r="R13" i="12"/>
  <c r="P13" i="12"/>
  <c r="N14" i="12"/>
  <c r="L14" i="12"/>
  <c r="N13" i="12"/>
  <c r="L13" i="12"/>
  <c r="C16" i="12"/>
  <c r="A16" i="12"/>
  <c r="C15" i="12"/>
  <c r="A15" i="12"/>
  <c r="J7" i="12"/>
  <c r="J8" i="12"/>
  <c r="J9" i="12"/>
  <c r="J10" i="12"/>
  <c r="J11" i="12"/>
  <c r="J12" i="12"/>
  <c r="J6" i="12"/>
  <c r="J5" i="12"/>
  <c r="J4" i="12"/>
  <c r="J3" i="12"/>
  <c r="G9" i="12"/>
  <c r="G10" i="12"/>
  <c r="G11" i="12"/>
  <c r="G12" i="12"/>
  <c r="G8" i="12"/>
  <c r="G7" i="12"/>
  <c r="G6" i="12"/>
  <c r="G5" i="12"/>
  <c r="G4" i="12"/>
  <c r="G3" i="12"/>
  <c r="AN26" i="11"/>
  <c r="AL26" i="11"/>
  <c r="AJ26" i="11"/>
  <c r="AH26" i="11"/>
  <c r="AN25" i="11"/>
  <c r="AL25" i="11"/>
  <c r="AJ25" i="11"/>
  <c r="AH25" i="11"/>
  <c r="AN24" i="11"/>
  <c r="AL24" i="11"/>
  <c r="AJ24" i="11"/>
  <c r="AH24" i="11"/>
  <c r="AN23" i="11"/>
  <c r="AL23" i="11"/>
  <c r="AJ23" i="11"/>
  <c r="AH23" i="11"/>
  <c r="AQ20" i="11"/>
  <c r="AN20" i="11"/>
  <c r="AQ19" i="11"/>
  <c r="AN19" i="11"/>
  <c r="AQ18" i="11"/>
  <c r="AN18" i="11"/>
  <c r="AQ17" i="11"/>
  <c r="AN17" i="11"/>
  <c r="AQ16" i="11"/>
  <c r="AN16" i="11"/>
  <c r="AQ15" i="11"/>
  <c r="AN15" i="11"/>
  <c r="AQ14" i="11"/>
  <c r="AN14" i="11"/>
  <c r="AQ7" i="11"/>
  <c r="AQ8" i="11"/>
  <c r="AQ9" i="11"/>
  <c r="AQ10" i="11"/>
  <c r="AQ6" i="11"/>
  <c r="AQ5" i="11"/>
  <c r="AQ4" i="11"/>
  <c r="AN7" i="11"/>
  <c r="AN8" i="11"/>
  <c r="AN9" i="11"/>
  <c r="AN10" i="11"/>
  <c r="AN6" i="11"/>
  <c r="AN5" i="11"/>
  <c r="AN4" i="11"/>
  <c r="AF5" i="11"/>
  <c r="AF4" i="11"/>
  <c r="AF3" i="11"/>
  <c r="AC5" i="11"/>
  <c r="AC4" i="11"/>
  <c r="AC3" i="11"/>
  <c r="U9" i="11"/>
  <c r="U10" i="11"/>
  <c r="U11" i="11"/>
  <c r="U12" i="11"/>
  <c r="U8" i="11"/>
  <c r="U7" i="11"/>
  <c r="U6" i="11"/>
  <c r="U5" i="11"/>
  <c r="U4" i="11"/>
  <c r="U3" i="11"/>
  <c r="R9" i="11"/>
  <c r="R10" i="11"/>
  <c r="R11" i="11"/>
  <c r="R12" i="11"/>
  <c r="R8" i="11"/>
  <c r="R7" i="11"/>
  <c r="R6" i="11"/>
  <c r="R5" i="11"/>
  <c r="R4" i="11"/>
  <c r="R3" i="11"/>
  <c r="G48" i="11"/>
  <c r="J50" i="11"/>
  <c r="G50" i="11"/>
  <c r="J49" i="11"/>
  <c r="G49" i="11"/>
  <c r="J48" i="11"/>
  <c r="J47" i="11"/>
  <c r="G47" i="11"/>
  <c r="C24" i="11"/>
  <c r="A24" i="11"/>
  <c r="C23" i="11"/>
  <c r="A23" i="11"/>
  <c r="A22" i="11"/>
  <c r="C22" i="11"/>
  <c r="C21" i="11"/>
  <c r="A21" i="11"/>
  <c r="G24" i="11"/>
  <c r="E24" i="11"/>
  <c r="G23" i="11"/>
  <c r="E23" i="11"/>
  <c r="G22" i="11"/>
  <c r="E22" i="11"/>
  <c r="G21" i="11"/>
  <c r="E21" i="11"/>
  <c r="J18" i="11"/>
  <c r="G18" i="11"/>
  <c r="J17" i="11"/>
  <c r="G17" i="11"/>
  <c r="J16" i="11"/>
  <c r="G16" i="11"/>
  <c r="J15" i="11"/>
  <c r="G15" i="11"/>
  <c r="J14" i="11"/>
  <c r="G14" i="11"/>
  <c r="J13" i="11"/>
  <c r="G13" i="11"/>
  <c r="J9" i="11"/>
  <c r="G9" i="11"/>
  <c r="J8" i="11"/>
  <c r="G8" i="11"/>
  <c r="J7" i="11"/>
  <c r="G7" i="11"/>
  <c r="J6" i="11"/>
  <c r="G6" i="11"/>
  <c r="J5" i="11"/>
  <c r="G5" i="11"/>
  <c r="J4" i="11"/>
  <c r="G4" i="11"/>
  <c r="AJ12" i="10"/>
  <c r="AJ11" i="10"/>
  <c r="AJ10" i="10"/>
  <c r="AJ9" i="10"/>
  <c r="AJ8" i="10"/>
  <c r="AJ7" i="10"/>
  <c r="AJ6" i="10"/>
  <c r="AJ5" i="10"/>
  <c r="AJ4" i="10"/>
  <c r="AJ3" i="10"/>
  <c r="AM12" i="10"/>
  <c r="AM11" i="10"/>
  <c r="AM10" i="10"/>
  <c r="AM9" i="10"/>
  <c r="AM8" i="10"/>
  <c r="AM7" i="10"/>
  <c r="AM6" i="10"/>
  <c r="AM5" i="10"/>
  <c r="AM4" i="10"/>
  <c r="AM3" i="10"/>
  <c r="AB7" i="10"/>
  <c r="AB8" i="10"/>
  <c r="AB9" i="10"/>
  <c r="AB10" i="10"/>
  <c r="AB11" i="10"/>
  <c r="AB12" i="10"/>
  <c r="AB6" i="10"/>
  <c r="AB5" i="10"/>
  <c r="AB4" i="10"/>
  <c r="AB3" i="10"/>
  <c r="Y7" i="10"/>
  <c r="Y8" i="10"/>
  <c r="Y9" i="10"/>
  <c r="Y10" i="10"/>
  <c r="Y11" i="10"/>
  <c r="Y12" i="10"/>
  <c r="Y6" i="10"/>
  <c r="Y5" i="10"/>
  <c r="Y4" i="10"/>
  <c r="Y3" i="10"/>
  <c r="C27" i="10"/>
  <c r="A27" i="10"/>
  <c r="C26" i="10"/>
  <c r="A26" i="10"/>
  <c r="C25" i="10"/>
  <c r="A25" i="10"/>
  <c r="C24" i="10"/>
  <c r="A24" i="10"/>
  <c r="G27" i="10"/>
  <c r="G26" i="10"/>
  <c r="G25" i="10"/>
  <c r="G24" i="10"/>
  <c r="E27" i="10"/>
  <c r="E26" i="10"/>
  <c r="E25" i="10"/>
  <c r="E24" i="10"/>
  <c r="J21" i="10"/>
  <c r="G21" i="10"/>
  <c r="J20" i="10"/>
  <c r="G20" i="10"/>
  <c r="J19" i="10"/>
  <c r="G19" i="10"/>
  <c r="J18" i="10"/>
  <c r="G18" i="10"/>
  <c r="J14" i="10"/>
  <c r="G14" i="10"/>
  <c r="J13" i="10"/>
  <c r="G13" i="10"/>
  <c r="J12" i="10"/>
  <c r="G12" i="10"/>
  <c r="J11" i="10"/>
  <c r="G11" i="10"/>
  <c r="J7" i="10"/>
  <c r="G7" i="10"/>
  <c r="J6" i="10"/>
  <c r="G6" i="10"/>
  <c r="J5" i="10"/>
  <c r="G5" i="10"/>
  <c r="J4" i="10"/>
  <c r="G4" i="10"/>
  <c r="AH26" i="9"/>
  <c r="AH25" i="9"/>
  <c r="AJ22" i="9"/>
  <c r="AH22" i="9"/>
  <c r="AJ21" i="9"/>
  <c r="AH21" i="9"/>
  <c r="AQ18" i="9"/>
  <c r="AN18" i="9"/>
  <c r="AQ17" i="9"/>
  <c r="AN17" i="9"/>
  <c r="AQ16" i="9"/>
  <c r="AN16" i="9"/>
  <c r="AQ15" i="9"/>
  <c r="AN15" i="9"/>
  <c r="AQ14" i="9"/>
  <c r="AN14" i="9"/>
  <c r="AQ13" i="9"/>
  <c r="AN13" i="9"/>
  <c r="AQ8" i="9"/>
  <c r="AQ9" i="9"/>
  <c r="AQ7" i="9"/>
  <c r="AQ6" i="9"/>
  <c r="AQ5" i="9"/>
  <c r="AQ4" i="9"/>
  <c r="AN8" i="9"/>
  <c r="AN9" i="9"/>
  <c r="AN7" i="9"/>
  <c r="AN6" i="9"/>
  <c r="AN5" i="9"/>
  <c r="AN4" i="9"/>
  <c r="AC9" i="9"/>
  <c r="AA9" i="9"/>
  <c r="Y9" i="9"/>
  <c r="W9" i="9"/>
  <c r="AF6" i="9"/>
  <c r="AF5" i="9"/>
  <c r="AF4" i="9"/>
  <c r="AF3" i="9"/>
  <c r="AC6" i="9"/>
  <c r="AC5" i="9"/>
  <c r="AC4" i="9"/>
  <c r="AC3" i="9"/>
  <c r="N31" i="9"/>
  <c r="L31" i="9"/>
  <c r="N30" i="9"/>
  <c r="L30" i="9"/>
  <c r="P24" i="9"/>
  <c r="N24" i="9"/>
  <c r="P23" i="9"/>
  <c r="N23" i="9"/>
  <c r="N20" i="9"/>
  <c r="L20" i="9"/>
  <c r="N19" i="9"/>
  <c r="L19" i="9"/>
  <c r="U16" i="9"/>
  <c r="R16" i="9"/>
  <c r="U15" i="9"/>
  <c r="R15" i="9"/>
  <c r="U14" i="9"/>
  <c r="R14" i="9"/>
  <c r="U13" i="9"/>
  <c r="R13" i="9"/>
  <c r="U12" i="9"/>
  <c r="R12" i="9"/>
  <c r="U8" i="9"/>
  <c r="R8" i="9"/>
  <c r="U7" i="9"/>
  <c r="R7" i="9"/>
  <c r="U6" i="9"/>
  <c r="R6" i="9"/>
  <c r="U5" i="9"/>
  <c r="R5" i="9"/>
  <c r="U4" i="9"/>
  <c r="R4" i="9"/>
  <c r="J49" i="9"/>
  <c r="G49" i="9"/>
  <c r="J48" i="9"/>
  <c r="G48" i="9"/>
  <c r="J47" i="9"/>
  <c r="G47" i="9"/>
  <c r="J46" i="9"/>
  <c r="G46" i="9"/>
  <c r="G36" i="9"/>
  <c r="E36" i="9"/>
  <c r="C36" i="9"/>
  <c r="A36" i="9"/>
  <c r="G35" i="9"/>
  <c r="E35" i="9"/>
  <c r="C35" i="9"/>
  <c r="A35" i="9"/>
  <c r="J29" i="9"/>
  <c r="G29" i="9"/>
  <c r="J28" i="9"/>
  <c r="G28" i="9"/>
  <c r="J27" i="9"/>
  <c r="G27" i="9"/>
  <c r="J22" i="9"/>
  <c r="G22" i="9"/>
  <c r="J23" i="9"/>
  <c r="G23" i="9"/>
  <c r="J21" i="9"/>
  <c r="G21" i="9"/>
  <c r="J16" i="9"/>
  <c r="G16" i="9"/>
  <c r="J15" i="9"/>
  <c r="G15" i="9"/>
  <c r="J14" i="9"/>
  <c r="G14" i="9"/>
  <c r="J13" i="9"/>
  <c r="G13" i="9"/>
  <c r="J12" i="9"/>
  <c r="G12" i="9"/>
  <c r="J8" i="9"/>
  <c r="G8" i="9"/>
  <c r="J7" i="9"/>
  <c r="G7" i="9"/>
  <c r="J6" i="9"/>
  <c r="G6" i="9"/>
  <c r="J5" i="9"/>
  <c r="G5" i="9"/>
  <c r="J4" i="9"/>
  <c r="G4" i="9"/>
  <c r="AJ24" i="8"/>
  <c r="AL24" i="8"/>
  <c r="AL23" i="8"/>
  <c r="AJ23" i="8"/>
  <c r="AL22" i="8"/>
  <c r="AJ22" i="8"/>
  <c r="AH22" i="8"/>
  <c r="AL21" i="8"/>
  <c r="AJ21" i="8"/>
  <c r="AH21" i="8"/>
  <c r="AN24" i="8"/>
  <c r="AH24" i="8"/>
  <c r="AN23" i="8"/>
  <c r="AH23" i="8"/>
  <c r="AN22" i="8"/>
  <c r="AN21" i="8"/>
  <c r="AQ18" i="8"/>
  <c r="AN18" i="8"/>
  <c r="AQ17" i="8"/>
  <c r="AN17" i="8"/>
  <c r="AQ16" i="8"/>
  <c r="AN16" i="8"/>
  <c r="AQ15" i="8"/>
  <c r="AN15" i="8"/>
  <c r="AQ14" i="8"/>
  <c r="AN14" i="8"/>
  <c r="AQ13" i="8"/>
  <c r="AN13" i="8"/>
  <c r="AQ8" i="8"/>
  <c r="AQ9" i="8"/>
  <c r="AQ7" i="8"/>
  <c r="AQ6" i="8"/>
  <c r="AQ5" i="8"/>
  <c r="AQ4" i="8"/>
  <c r="AN8" i="8"/>
  <c r="AN9" i="8"/>
  <c r="AN7" i="8"/>
  <c r="AN6" i="8"/>
  <c r="AN5" i="8"/>
  <c r="AN4" i="8"/>
  <c r="AF21" i="8"/>
  <c r="AC21" i="8"/>
  <c r="AF20" i="8"/>
  <c r="AC20" i="8"/>
  <c r="AF19" i="8"/>
  <c r="AC19" i="8"/>
  <c r="AF18" i="8"/>
  <c r="AC18" i="8"/>
  <c r="AF14" i="8"/>
  <c r="AC14" i="8"/>
  <c r="AF13" i="8"/>
  <c r="AC13" i="8"/>
  <c r="AF12" i="8"/>
  <c r="AC12" i="8"/>
  <c r="AF11" i="8"/>
  <c r="AC11" i="8"/>
  <c r="AC7" i="8"/>
  <c r="AC6" i="8"/>
  <c r="AC5" i="8"/>
  <c r="AC4" i="8"/>
  <c r="AF7" i="8"/>
  <c r="AF6" i="8"/>
  <c r="AF5" i="8"/>
  <c r="AF4" i="8"/>
  <c r="R18" i="8"/>
  <c r="P18" i="8"/>
  <c r="N18" i="8"/>
  <c r="L18" i="8"/>
  <c r="R17" i="8"/>
  <c r="P17" i="8"/>
  <c r="N17" i="8"/>
  <c r="L17" i="8"/>
  <c r="R16" i="8"/>
  <c r="P16" i="8"/>
  <c r="N16" i="8"/>
  <c r="L16" i="8"/>
  <c r="R15" i="8"/>
  <c r="P15" i="8"/>
  <c r="N15" i="8"/>
  <c r="L15" i="8"/>
  <c r="U9" i="8"/>
  <c r="U10" i="8"/>
  <c r="U11" i="8"/>
  <c r="U12" i="8"/>
  <c r="U8" i="8"/>
  <c r="U7" i="8"/>
  <c r="U6" i="8"/>
  <c r="U5" i="8"/>
  <c r="U4" i="8"/>
  <c r="U3" i="8"/>
  <c r="R9" i="8"/>
  <c r="R10" i="8"/>
  <c r="R11" i="8"/>
  <c r="R12" i="8"/>
  <c r="R8" i="8"/>
  <c r="R7" i="8"/>
  <c r="R6" i="8"/>
  <c r="R5" i="8"/>
  <c r="R4" i="8"/>
  <c r="R3" i="8"/>
  <c r="J38" i="8"/>
  <c r="G38" i="8"/>
  <c r="J37" i="8"/>
  <c r="G37" i="8"/>
  <c r="J36" i="8"/>
  <c r="G36" i="8"/>
  <c r="J35" i="8"/>
  <c r="G35" i="8"/>
  <c r="C24" i="8"/>
  <c r="A24" i="8"/>
  <c r="C23" i="8"/>
  <c r="A23" i="8"/>
  <c r="C22" i="8"/>
  <c r="A22" i="8"/>
  <c r="C21" i="8"/>
  <c r="A21" i="8"/>
  <c r="G24" i="8"/>
  <c r="G23" i="8"/>
  <c r="G22" i="8"/>
  <c r="G21" i="8"/>
  <c r="E24" i="8"/>
  <c r="E23" i="8"/>
  <c r="E22" i="8"/>
  <c r="E21" i="8"/>
  <c r="J18" i="8"/>
  <c r="G18" i="8"/>
  <c r="J17" i="8"/>
  <c r="G17" i="8"/>
  <c r="J16" i="8"/>
  <c r="G16" i="8"/>
  <c r="J15" i="8"/>
  <c r="G15" i="8"/>
  <c r="J14" i="8"/>
  <c r="G14" i="8"/>
  <c r="J13" i="8"/>
  <c r="G13" i="8"/>
  <c r="J9" i="8"/>
  <c r="G9" i="8"/>
  <c r="J8" i="8"/>
  <c r="G8" i="8"/>
  <c r="J7" i="8"/>
  <c r="G7" i="8"/>
  <c r="J6" i="8"/>
  <c r="G6" i="8"/>
  <c r="J5" i="8"/>
  <c r="G5" i="8"/>
  <c r="J4" i="8"/>
  <c r="G4" i="8"/>
  <c r="AL22" i="7"/>
  <c r="AJ22" i="7"/>
  <c r="AL21" i="7"/>
  <c r="AJ21" i="7"/>
  <c r="AN18" i="7"/>
  <c r="AL18" i="7"/>
  <c r="AJ18" i="7"/>
  <c r="AH18" i="7"/>
  <c r="AN17" i="7"/>
  <c r="AL17" i="7"/>
  <c r="AJ17" i="7"/>
  <c r="AH17" i="7"/>
  <c r="AQ8" i="7"/>
  <c r="AQ9" i="7"/>
  <c r="AQ10" i="7"/>
  <c r="AQ11" i="7"/>
  <c r="AQ12" i="7"/>
  <c r="AQ13" i="7"/>
  <c r="AQ14" i="7"/>
  <c r="AQ7" i="7"/>
  <c r="AQ6" i="7"/>
  <c r="AQ5" i="7"/>
  <c r="AQ4" i="7"/>
  <c r="AQ3" i="7"/>
  <c r="AN8" i="7"/>
  <c r="AN9" i="7"/>
  <c r="AN10" i="7"/>
  <c r="AN11" i="7"/>
  <c r="AN12" i="7"/>
  <c r="AN13" i="7"/>
  <c r="AN14" i="7"/>
  <c r="AN7" i="7"/>
  <c r="AN6" i="7"/>
  <c r="AN5" i="7"/>
  <c r="AN4" i="7"/>
  <c r="AN3" i="7"/>
  <c r="AC19" i="7"/>
  <c r="AA19" i="7"/>
  <c r="Y19" i="7"/>
  <c r="W19" i="7"/>
  <c r="AC18" i="7"/>
  <c r="AA18" i="7"/>
  <c r="Y18" i="7"/>
  <c r="W18" i="7"/>
  <c r="AF4" i="7"/>
  <c r="AF15" i="7"/>
  <c r="AC15" i="7"/>
  <c r="AF14" i="7"/>
  <c r="AC14" i="7"/>
  <c r="AF13" i="7"/>
  <c r="AC13" i="7"/>
  <c r="AF12" i="7"/>
  <c r="AC12" i="7"/>
  <c r="AF8" i="7"/>
  <c r="AC8" i="7"/>
  <c r="AF7" i="7"/>
  <c r="AC7" i="7"/>
  <c r="AF6" i="7"/>
  <c r="AC6" i="7"/>
  <c r="AF5" i="7"/>
  <c r="AC5" i="7"/>
  <c r="AC4" i="7"/>
  <c r="R24" i="7"/>
  <c r="P24" i="7"/>
  <c r="N24" i="7"/>
  <c r="L24" i="7"/>
  <c r="R23" i="7"/>
  <c r="P23" i="7"/>
  <c r="N23" i="7"/>
  <c r="L23" i="7"/>
  <c r="R22" i="7"/>
  <c r="P22" i="7"/>
  <c r="N22" i="7"/>
  <c r="L22" i="7"/>
  <c r="R21" i="7"/>
  <c r="P21" i="7"/>
  <c r="N21" i="7"/>
  <c r="L21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3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J46" i="7"/>
  <c r="G46" i="7"/>
  <c r="J45" i="7"/>
  <c r="G45" i="7"/>
  <c r="J44" i="7"/>
  <c r="G44" i="7"/>
  <c r="J43" i="7"/>
  <c r="G43" i="7"/>
  <c r="C24" i="7"/>
  <c r="A24" i="7"/>
  <c r="C23" i="7"/>
  <c r="A23" i="7"/>
  <c r="C22" i="7"/>
  <c r="A22" i="7"/>
  <c r="C21" i="7"/>
  <c r="A21" i="7"/>
  <c r="J18" i="7"/>
  <c r="G18" i="7"/>
  <c r="J17" i="7"/>
  <c r="G17" i="7"/>
  <c r="J16" i="7"/>
  <c r="G16" i="7"/>
  <c r="J15" i="7"/>
  <c r="G15" i="7"/>
  <c r="J14" i="7"/>
  <c r="G14" i="7"/>
  <c r="J13" i="7"/>
  <c r="G13" i="7"/>
  <c r="J9" i="7"/>
  <c r="J8" i="7"/>
  <c r="J7" i="7"/>
  <c r="J6" i="7"/>
  <c r="J5" i="7"/>
  <c r="J4" i="7"/>
  <c r="G9" i="7"/>
  <c r="G8" i="7"/>
  <c r="G7" i="7"/>
  <c r="G6" i="7"/>
  <c r="G5" i="7"/>
  <c r="G4" i="7"/>
  <c r="AK28" i="6"/>
  <c r="AK27" i="6"/>
  <c r="AK26" i="6"/>
  <c r="AK25" i="6"/>
  <c r="AK24" i="6"/>
  <c r="AK23" i="6"/>
  <c r="AH28" i="6"/>
  <c r="AH27" i="6"/>
  <c r="AH26" i="6"/>
  <c r="AH25" i="6"/>
  <c r="AH24" i="6"/>
  <c r="AH23" i="6"/>
  <c r="AK19" i="6"/>
  <c r="AK18" i="6"/>
  <c r="AK17" i="6"/>
  <c r="AK16" i="6"/>
  <c r="AK15" i="6"/>
  <c r="AK14" i="6"/>
  <c r="AH19" i="6"/>
  <c r="AH18" i="6"/>
  <c r="AH17" i="6"/>
  <c r="AH16" i="6"/>
  <c r="AH15" i="6"/>
  <c r="AH14" i="6"/>
  <c r="AK10" i="6"/>
  <c r="AK9" i="6"/>
  <c r="AK8" i="6"/>
  <c r="AK7" i="6"/>
  <c r="AK6" i="6"/>
  <c r="AK5" i="6"/>
  <c r="AK4" i="6"/>
  <c r="AH10" i="6"/>
  <c r="AH9" i="6"/>
  <c r="AH8" i="6"/>
  <c r="AH7" i="6"/>
  <c r="AH6" i="6"/>
  <c r="AH5" i="6"/>
  <c r="AH4" i="6"/>
  <c r="U24" i="6"/>
  <c r="S24" i="6"/>
  <c r="W24" i="6"/>
  <c r="Q24" i="6"/>
  <c r="U23" i="6"/>
  <c r="Q23" i="6"/>
  <c r="S23" i="6"/>
  <c r="W23" i="6"/>
  <c r="W22" i="6"/>
  <c r="Q22" i="6"/>
  <c r="U22" i="6"/>
  <c r="S22" i="6"/>
  <c r="W21" i="6"/>
  <c r="U21" i="6"/>
  <c r="S21" i="6"/>
  <c r="Q21" i="6"/>
  <c r="W13" i="6"/>
  <c r="Z13" i="6"/>
  <c r="W14" i="6"/>
  <c r="Z14" i="6"/>
  <c r="W15" i="6"/>
  <c r="Z15" i="6"/>
  <c r="W16" i="6"/>
  <c r="Z16" i="6"/>
  <c r="W17" i="6"/>
  <c r="Z17" i="6"/>
  <c r="W18" i="6"/>
  <c r="Z18" i="6"/>
  <c r="Z8" i="6"/>
  <c r="Z9" i="6"/>
  <c r="W8" i="6"/>
  <c r="W9" i="6"/>
  <c r="Z7" i="6"/>
  <c r="W7" i="6"/>
  <c r="Z6" i="6"/>
  <c r="W6" i="6"/>
  <c r="Z5" i="6"/>
  <c r="W5" i="6"/>
  <c r="Z4" i="6"/>
  <c r="W4" i="6"/>
  <c r="J21" i="6"/>
  <c r="G21" i="6"/>
  <c r="J19" i="6"/>
  <c r="G19" i="6"/>
  <c r="J20" i="6"/>
  <c r="G20" i="6"/>
  <c r="J18" i="6"/>
  <c r="G18" i="6"/>
  <c r="J14" i="6"/>
  <c r="G14" i="6"/>
  <c r="J13" i="6"/>
  <c r="G13" i="6"/>
  <c r="J11" i="6"/>
  <c r="G11" i="6"/>
  <c r="J12" i="6"/>
  <c r="G12" i="6"/>
  <c r="J4" i="6"/>
  <c r="G4" i="6"/>
  <c r="J6" i="6"/>
  <c r="G6" i="6"/>
  <c r="J5" i="6"/>
  <c r="G5" i="6"/>
  <c r="J7" i="6"/>
  <c r="G7" i="6"/>
  <c r="AY18" i="5"/>
  <c r="AW18" i="5"/>
  <c r="AU18" i="5"/>
  <c r="AS18" i="5"/>
  <c r="AY17" i="5"/>
  <c r="AW17" i="5"/>
  <c r="AU17" i="5"/>
  <c r="AS17" i="5"/>
  <c r="BB12" i="5"/>
  <c r="BB13" i="5"/>
  <c r="BB14" i="5"/>
  <c r="BB11" i="5"/>
  <c r="BB10" i="5"/>
  <c r="BB9" i="5"/>
  <c r="BB8" i="5"/>
  <c r="BB7" i="5"/>
  <c r="BB6" i="5"/>
  <c r="BB5" i="5"/>
  <c r="BB4" i="5"/>
  <c r="BB3" i="5"/>
  <c r="AY13" i="5"/>
  <c r="AY14" i="5"/>
  <c r="AY12" i="5"/>
  <c r="AY11" i="5"/>
  <c r="AY10" i="5"/>
  <c r="AY9" i="5"/>
  <c r="AY8" i="5"/>
  <c r="AY7" i="5"/>
  <c r="AY6" i="5"/>
  <c r="AY5" i="5"/>
  <c r="AY4" i="5"/>
  <c r="AY3" i="5"/>
  <c r="AN15" i="5"/>
  <c r="AL15" i="5"/>
  <c r="AN16" i="5"/>
  <c r="AL16" i="5"/>
  <c r="AJ16" i="5"/>
  <c r="AJ15" i="5"/>
  <c r="AH16" i="5"/>
  <c r="AH15" i="5"/>
  <c r="AQ12" i="5"/>
  <c r="AQ11" i="5"/>
  <c r="AQ10" i="5"/>
  <c r="AQ9" i="5"/>
  <c r="AQ8" i="5"/>
  <c r="AQ7" i="5"/>
  <c r="AQ6" i="5"/>
  <c r="AQ5" i="5"/>
  <c r="AQ4" i="5"/>
  <c r="AQ3" i="5"/>
  <c r="AN12" i="5"/>
  <c r="AN11" i="5"/>
  <c r="AN10" i="5"/>
  <c r="AN9" i="5"/>
  <c r="AN8" i="5"/>
  <c r="AN7" i="5"/>
  <c r="AN6" i="5"/>
  <c r="AN5" i="5"/>
  <c r="AN4" i="5"/>
  <c r="AN3" i="5"/>
  <c r="AC18" i="5"/>
  <c r="AA18" i="5"/>
  <c r="Y18" i="5"/>
  <c r="W18" i="5"/>
  <c r="AC17" i="5"/>
  <c r="AA17" i="5"/>
  <c r="Y17" i="5"/>
  <c r="W17" i="5"/>
  <c r="AF14" i="5"/>
  <c r="AF13" i="5"/>
  <c r="AF12" i="5"/>
  <c r="AF11" i="5"/>
  <c r="AF10" i="5"/>
  <c r="AF9" i="5"/>
  <c r="AF8" i="5"/>
  <c r="AF7" i="5"/>
  <c r="AF6" i="5"/>
  <c r="AF5" i="5"/>
  <c r="AF4" i="5"/>
  <c r="AF3" i="5"/>
  <c r="AC14" i="5"/>
  <c r="AC13" i="5"/>
  <c r="AC12" i="5"/>
  <c r="AC11" i="5"/>
  <c r="AC10" i="5"/>
  <c r="AC9" i="5"/>
  <c r="AC8" i="5"/>
  <c r="AC7" i="5"/>
  <c r="AC6" i="5"/>
  <c r="AC5" i="5"/>
  <c r="AC4" i="5"/>
  <c r="AC3" i="5"/>
  <c r="R18" i="5"/>
  <c r="P18" i="5"/>
  <c r="N18" i="5"/>
  <c r="L18" i="5"/>
  <c r="R17" i="5"/>
  <c r="P17" i="5"/>
  <c r="N17" i="5"/>
  <c r="L17" i="5"/>
  <c r="U9" i="5"/>
  <c r="U10" i="5"/>
  <c r="U11" i="5"/>
  <c r="U12" i="5"/>
  <c r="U13" i="5"/>
  <c r="U14" i="5"/>
  <c r="U8" i="5"/>
  <c r="U7" i="5"/>
  <c r="U6" i="5"/>
  <c r="U5" i="5"/>
  <c r="U4" i="5"/>
  <c r="U3" i="5"/>
  <c r="R9" i="5"/>
  <c r="R10" i="5"/>
  <c r="R11" i="5"/>
  <c r="R12" i="5"/>
  <c r="R13" i="5"/>
  <c r="R14" i="5"/>
  <c r="R8" i="5"/>
  <c r="R7" i="5"/>
  <c r="R6" i="5"/>
  <c r="R5" i="5"/>
  <c r="R4" i="5"/>
  <c r="R3" i="5"/>
  <c r="J46" i="5"/>
  <c r="J45" i="5"/>
  <c r="J44" i="5"/>
  <c r="J43" i="5"/>
  <c r="G46" i="5"/>
  <c r="G45" i="5"/>
  <c r="G44" i="5"/>
  <c r="G43" i="5"/>
  <c r="C24" i="5"/>
  <c r="A24" i="5"/>
  <c r="C23" i="5"/>
  <c r="A23" i="5"/>
  <c r="C22" i="5"/>
  <c r="A22" i="5"/>
  <c r="C21" i="5"/>
  <c r="A21" i="5"/>
  <c r="J18" i="5"/>
  <c r="G18" i="5"/>
  <c r="J17" i="5"/>
  <c r="G17" i="5"/>
  <c r="J16" i="5"/>
  <c r="G16" i="5"/>
  <c r="J15" i="5"/>
  <c r="G15" i="5"/>
  <c r="J14" i="5"/>
  <c r="G14" i="5"/>
  <c r="J13" i="5"/>
  <c r="G13" i="5"/>
  <c r="J9" i="5"/>
  <c r="J8" i="5"/>
  <c r="J7" i="5"/>
  <c r="J6" i="5"/>
  <c r="J5" i="5"/>
  <c r="J4" i="5"/>
  <c r="G9" i="5"/>
  <c r="G8" i="5"/>
  <c r="G7" i="5"/>
  <c r="G6" i="5"/>
  <c r="G5" i="5"/>
  <c r="G4" i="5"/>
  <c r="BM36" i="4"/>
  <c r="BJ36" i="4"/>
  <c r="BM35" i="4"/>
  <c r="BJ35" i="4"/>
  <c r="BM34" i="4"/>
  <c r="BJ34" i="4"/>
  <c r="BM33" i="4"/>
  <c r="BJ33" i="4"/>
  <c r="BM32" i="4"/>
  <c r="BJ32" i="4"/>
  <c r="BM31" i="4"/>
  <c r="BJ31" i="4"/>
  <c r="BM27" i="4"/>
  <c r="BJ27" i="4"/>
  <c r="BM26" i="4"/>
  <c r="BJ26" i="4"/>
  <c r="BM25" i="4"/>
  <c r="BJ25" i="4"/>
  <c r="BM24" i="4"/>
  <c r="BJ24" i="4"/>
  <c r="BM23" i="4"/>
  <c r="BJ23" i="4"/>
  <c r="BM22" i="4"/>
  <c r="BJ22" i="4"/>
  <c r="BM18" i="4"/>
  <c r="BJ18" i="4"/>
  <c r="BM17" i="4"/>
  <c r="BJ17" i="4"/>
  <c r="BM16" i="4"/>
  <c r="BJ16" i="4"/>
  <c r="BM15" i="4"/>
  <c r="BJ15" i="4"/>
  <c r="BM14" i="4"/>
  <c r="BJ14" i="4"/>
  <c r="BM13" i="4"/>
  <c r="BJ13" i="4"/>
  <c r="BM8" i="4"/>
  <c r="BM9" i="4"/>
  <c r="BM7" i="4"/>
  <c r="BM6" i="4"/>
  <c r="BM5" i="4"/>
  <c r="BM4" i="4"/>
  <c r="BJ9" i="4"/>
  <c r="BJ8" i="4"/>
  <c r="BJ7" i="4"/>
  <c r="BJ6" i="4"/>
  <c r="BJ5" i="4"/>
  <c r="BJ4" i="4"/>
  <c r="BB43" i="4"/>
  <c r="AY43" i="4"/>
  <c r="BB42" i="4"/>
  <c r="AY42" i="4"/>
  <c r="BB41" i="4"/>
  <c r="AY41" i="4"/>
  <c r="BB40" i="4"/>
  <c r="AY40" i="4"/>
  <c r="BB36" i="4"/>
  <c r="AY36" i="4"/>
  <c r="BB35" i="4"/>
  <c r="AY35" i="4"/>
  <c r="BB34" i="4"/>
  <c r="AY34" i="4"/>
  <c r="BB33" i="4"/>
  <c r="AY33" i="4"/>
  <c r="BB28" i="4"/>
  <c r="AY28" i="4"/>
  <c r="BB27" i="4"/>
  <c r="AY27" i="4"/>
  <c r="BB26" i="4"/>
  <c r="AY26" i="4"/>
  <c r="BB25" i="4"/>
  <c r="AY25" i="4"/>
  <c r="BB21" i="4"/>
  <c r="AY21" i="4"/>
  <c r="BB20" i="4"/>
  <c r="AY20" i="4"/>
  <c r="BB19" i="4"/>
  <c r="AY19" i="4"/>
  <c r="BB18" i="4"/>
  <c r="AY18" i="4"/>
  <c r="BB14" i="4"/>
  <c r="AY14" i="4"/>
  <c r="BB13" i="4"/>
  <c r="AY13" i="4"/>
  <c r="BB12" i="4"/>
  <c r="AY12" i="4"/>
  <c r="BB11" i="4"/>
  <c r="AY11" i="4"/>
  <c r="BB7" i="4"/>
  <c r="BB6" i="4"/>
  <c r="BB5" i="4"/>
  <c r="BB4" i="4"/>
  <c r="AY7" i="4"/>
  <c r="AY6" i="4"/>
  <c r="AY5" i="4"/>
  <c r="AY4" i="4"/>
  <c r="AN24" i="4"/>
  <c r="AL24" i="4"/>
  <c r="AJ24" i="4"/>
  <c r="AH24" i="4"/>
  <c r="AN23" i="4"/>
  <c r="AL23" i="4"/>
  <c r="AJ23" i="4"/>
  <c r="AH23" i="4"/>
  <c r="AN22" i="4"/>
  <c r="AL22" i="4"/>
  <c r="AJ22" i="4"/>
  <c r="AH22" i="4"/>
  <c r="AN21" i="4"/>
  <c r="AL21" i="4"/>
  <c r="AJ21" i="4"/>
  <c r="AH21" i="4"/>
  <c r="AQ9" i="4"/>
  <c r="AQ6" i="4"/>
  <c r="AQ17" i="4"/>
  <c r="AQ3" i="4"/>
  <c r="AQ8" i="4"/>
  <c r="AQ4" i="4"/>
  <c r="AQ5" i="4"/>
  <c r="AQ13" i="4"/>
  <c r="AQ15" i="4"/>
  <c r="AQ16" i="4"/>
  <c r="AQ11" i="4"/>
  <c r="AQ12" i="4"/>
  <c r="AQ14" i="4"/>
  <c r="AQ10" i="4"/>
  <c r="AQ7" i="4"/>
  <c r="AQ18" i="4"/>
  <c r="AN9" i="4"/>
  <c r="AN6" i="4"/>
  <c r="AN17" i="4"/>
  <c r="AN3" i="4"/>
  <c r="AN8" i="4"/>
  <c r="AN4" i="4"/>
  <c r="AN5" i="4"/>
  <c r="AN13" i="4"/>
  <c r="AN15" i="4"/>
  <c r="AN16" i="4"/>
  <c r="AN11" i="4"/>
  <c r="AN12" i="4"/>
  <c r="AN14" i="4"/>
  <c r="AN10" i="4"/>
  <c r="AN7" i="4"/>
  <c r="AN18" i="4"/>
  <c r="AC24" i="4"/>
  <c r="AA24" i="4"/>
  <c r="Y24" i="4"/>
  <c r="W24" i="4"/>
  <c r="AC23" i="4"/>
  <c r="AA23" i="4"/>
  <c r="Y23" i="4"/>
  <c r="W23" i="4"/>
  <c r="AC22" i="4"/>
  <c r="AA22" i="4"/>
  <c r="Y22" i="4"/>
  <c r="W22" i="4"/>
  <c r="AC21" i="4"/>
  <c r="AA21" i="4"/>
  <c r="Y21" i="4"/>
  <c r="W21" i="4"/>
  <c r="AF17" i="4"/>
  <c r="AF9" i="4"/>
  <c r="AF6" i="4"/>
  <c r="AF5" i="4"/>
  <c r="AF13" i="4"/>
  <c r="AF15" i="4"/>
  <c r="AF11" i="4"/>
  <c r="AF7" i="4"/>
  <c r="AF12" i="4"/>
  <c r="AF10" i="4"/>
  <c r="AF8" i="4"/>
  <c r="AF14" i="4"/>
  <c r="AF16" i="4"/>
  <c r="AF3" i="4"/>
  <c r="AF4" i="4"/>
  <c r="AF18" i="4"/>
  <c r="AC17" i="4"/>
  <c r="AC9" i="4"/>
  <c r="AC6" i="4"/>
  <c r="AC5" i="4"/>
  <c r="AC13" i="4"/>
  <c r="AC15" i="4"/>
  <c r="AC11" i="4"/>
  <c r="AC7" i="4"/>
  <c r="AC12" i="4"/>
  <c r="AC10" i="4"/>
  <c r="AC8" i="4"/>
  <c r="AC14" i="4"/>
  <c r="AC16" i="4"/>
  <c r="AC3" i="4"/>
  <c r="AC4" i="4"/>
  <c r="AC18" i="4"/>
  <c r="U33" i="4"/>
  <c r="R33" i="4"/>
  <c r="U32" i="4"/>
  <c r="R32" i="4"/>
  <c r="U31" i="4"/>
  <c r="R31" i="4"/>
  <c r="U30" i="4"/>
  <c r="R30" i="4"/>
  <c r="U26" i="4"/>
  <c r="U25" i="4"/>
  <c r="U24" i="4"/>
  <c r="U23" i="4"/>
  <c r="R26" i="4"/>
  <c r="R25" i="4"/>
  <c r="R24" i="4"/>
  <c r="R23" i="4"/>
  <c r="U12" i="4"/>
  <c r="U3" i="4"/>
  <c r="U7" i="4"/>
  <c r="U4" i="4"/>
  <c r="U8" i="4"/>
  <c r="U15" i="4"/>
  <c r="U14" i="4"/>
  <c r="U9" i="4"/>
  <c r="U18" i="4"/>
  <c r="U17" i="4"/>
  <c r="U6" i="4"/>
  <c r="U11" i="4"/>
  <c r="U13" i="4"/>
  <c r="U16" i="4"/>
  <c r="U10" i="4"/>
  <c r="U5" i="4"/>
  <c r="R5" i="4"/>
  <c r="R10" i="4"/>
  <c r="R16" i="4"/>
  <c r="R13" i="4"/>
  <c r="R11" i="4"/>
  <c r="R6" i="4"/>
  <c r="R17" i="4"/>
  <c r="R18" i="4"/>
  <c r="R9" i="4"/>
  <c r="R14" i="4"/>
  <c r="R15" i="4"/>
  <c r="R8" i="4"/>
  <c r="R4" i="4"/>
  <c r="R7" i="4"/>
  <c r="R3" i="4"/>
  <c r="R12" i="4"/>
  <c r="C24" i="4"/>
  <c r="A24" i="4"/>
  <c r="C23" i="4"/>
  <c r="A23" i="4"/>
  <c r="C22" i="4"/>
  <c r="A22" i="4"/>
  <c r="C21" i="4"/>
  <c r="A21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3" i="4"/>
  <c r="U13" i="3"/>
  <c r="U14" i="3"/>
  <c r="U12" i="3"/>
  <c r="U11" i="3"/>
  <c r="U10" i="3"/>
  <c r="U9" i="3"/>
  <c r="U8" i="3"/>
  <c r="U7" i="3"/>
  <c r="U6" i="3"/>
  <c r="U5" i="3"/>
  <c r="U4" i="3"/>
  <c r="U3" i="3"/>
  <c r="R13" i="3"/>
  <c r="R14" i="3"/>
  <c r="R12" i="3"/>
  <c r="R11" i="3"/>
  <c r="R10" i="3"/>
  <c r="R9" i="3"/>
  <c r="R8" i="3"/>
  <c r="R7" i="3"/>
  <c r="R6" i="3"/>
  <c r="R5" i="3"/>
  <c r="R4" i="3"/>
  <c r="R3" i="3"/>
  <c r="E20" i="3"/>
  <c r="C20" i="3"/>
  <c r="C17" i="3"/>
  <c r="A17" i="3"/>
  <c r="A16" i="3"/>
  <c r="C16" i="3"/>
  <c r="C15" i="3"/>
  <c r="A15" i="3"/>
  <c r="J4" i="3"/>
  <c r="J9" i="3"/>
  <c r="J10" i="3"/>
  <c r="J8" i="3"/>
  <c r="J11" i="3"/>
  <c r="J6" i="3"/>
  <c r="J3" i="3"/>
  <c r="J7" i="3"/>
  <c r="J12" i="3"/>
  <c r="J5" i="3"/>
  <c r="G4" i="3"/>
  <c r="G9" i="3"/>
  <c r="G10" i="3"/>
  <c r="G8" i="3"/>
  <c r="G11" i="3"/>
  <c r="G6" i="3"/>
  <c r="G3" i="3"/>
  <c r="G7" i="3"/>
  <c r="G12" i="3"/>
  <c r="G5" i="3"/>
  <c r="P30" i="2"/>
  <c r="P29" i="2"/>
  <c r="V30" i="2"/>
  <c r="T30" i="2"/>
  <c r="R30" i="2"/>
  <c r="V29" i="2"/>
  <c r="T29" i="2"/>
  <c r="R29" i="2"/>
  <c r="V28" i="2"/>
  <c r="T28" i="2"/>
  <c r="R28" i="2"/>
  <c r="P28" i="2"/>
  <c r="V27" i="2"/>
  <c r="T27" i="2"/>
  <c r="R27" i="2"/>
  <c r="P27" i="2"/>
  <c r="Y24" i="2"/>
  <c r="V24" i="2"/>
  <c r="Y23" i="2"/>
  <c r="V23" i="2"/>
  <c r="Y22" i="2"/>
  <c r="V22" i="2"/>
  <c r="Y18" i="2"/>
  <c r="V18" i="2"/>
  <c r="Y17" i="2"/>
  <c r="V17" i="2"/>
  <c r="Y16" i="2"/>
  <c r="V16" i="2"/>
  <c r="Y12" i="2"/>
  <c r="V12" i="2"/>
  <c r="Y11" i="2"/>
  <c r="V11" i="2"/>
  <c r="Y10" i="2"/>
  <c r="V10" i="2"/>
  <c r="Y6" i="2"/>
  <c r="V6" i="2"/>
  <c r="Y5" i="2"/>
  <c r="V5" i="2"/>
  <c r="Y4" i="2"/>
  <c r="V4" i="2"/>
  <c r="C24" i="2"/>
  <c r="A24" i="2"/>
  <c r="C23" i="2"/>
  <c r="A23" i="2"/>
  <c r="C22" i="2"/>
  <c r="A22" i="2"/>
  <c r="C21" i="2"/>
  <c r="J13" i="2"/>
  <c r="G13" i="2"/>
  <c r="J17" i="2"/>
  <c r="G17" i="2"/>
  <c r="J14" i="2"/>
  <c r="G14" i="2"/>
  <c r="J18" i="2"/>
  <c r="G18" i="2"/>
  <c r="J5" i="2"/>
  <c r="J9" i="2"/>
  <c r="J4" i="2"/>
  <c r="J6" i="2"/>
  <c r="G5" i="2"/>
  <c r="G9" i="2"/>
  <c r="G4" i="2"/>
  <c r="G6" i="2"/>
  <c r="N21" i="1"/>
  <c r="L21" i="1"/>
  <c r="N20" i="1"/>
  <c r="L20" i="1"/>
  <c r="U17" i="1"/>
  <c r="R17" i="1"/>
  <c r="U13" i="1"/>
  <c r="R13" i="1"/>
  <c r="U14" i="1"/>
  <c r="R14" i="1"/>
  <c r="U16" i="1"/>
  <c r="R16" i="1"/>
  <c r="U12" i="1"/>
  <c r="R12" i="1"/>
  <c r="U15" i="1"/>
  <c r="R15" i="1"/>
  <c r="R8" i="1"/>
  <c r="R5" i="1"/>
  <c r="R4" i="1"/>
  <c r="R7" i="1"/>
  <c r="R6" i="1"/>
  <c r="U8" i="1"/>
  <c r="U5" i="1"/>
  <c r="U4" i="1"/>
  <c r="U7" i="1"/>
  <c r="U6" i="1"/>
  <c r="G14" i="1"/>
  <c r="E14" i="1"/>
  <c r="C14" i="1"/>
  <c r="A14" i="1"/>
  <c r="G13" i="1"/>
  <c r="E13" i="1"/>
  <c r="C13" i="1"/>
  <c r="A13" i="1"/>
  <c r="J4" i="1"/>
  <c r="J5" i="1"/>
  <c r="J6" i="1"/>
  <c r="J7" i="1"/>
  <c r="J8" i="1"/>
  <c r="J9" i="1"/>
  <c r="J10" i="1"/>
  <c r="J3" i="1"/>
  <c r="G4" i="1"/>
  <c r="G5" i="1"/>
  <c r="G6" i="1"/>
  <c r="G7" i="1"/>
  <c r="G8" i="1"/>
  <c r="G9" i="1"/>
  <c r="G10" i="1"/>
  <c r="G3" i="1"/>
</calcChain>
</file>

<file path=xl/sharedStrings.xml><?xml version="1.0" encoding="utf-8"?>
<sst xmlns="http://schemas.openxmlformats.org/spreadsheetml/2006/main" count="5114" uniqueCount="782">
  <si>
    <t>Amapazão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</si>
  <si>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</si>
  <si>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</si>
  <si>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</si>
  <si>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</si>
  <si>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</si>
  <si>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</si>
  <si>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</si>
  <si>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</si>
  <si>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</si>
  <si>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</si>
  <si>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</si>
  <si>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2.</t>
  </si>
  <si>
    <t>3.</t>
  </si>
  <si>
    <t>4.</t>
  </si>
  <si>
    <t>5.</t>
  </si>
  <si>
    <t>6.</t>
  </si>
  <si>
    <t>7.</t>
  </si>
  <si>
    <t>8.</t>
  </si>
  <si>
    <t>Final</t>
  </si>
  <si>
    <t>Oratório</t>
  </si>
  <si>
    <t>Trem</t>
  </si>
  <si>
    <t>Macapá</t>
  </si>
  <si>
    <t>Ypiranga</t>
  </si>
  <si>
    <t>Santos</t>
  </si>
  <si>
    <t>Independente</t>
  </si>
  <si>
    <t>São José</t>
  </si>
  <si>
    <t>Cristal</t>
  </si>
  <si>
    <t>0x0</t>
  </si>
  <si>
    <t>1x2</t>
  </si>
  <si>
    <t>1x0</t>
  </si>
  <si>
    <t>2x0</t>
  </si>
  <si>
    <t>2x1</t>
  </si>
  <si>
    <t>0x2</t>
  </si>
  <si>
    <t>Amapazão Série B</t>
  </si>
  <si>
    <t>Grupo A</t>
  </si>
  <si>
    <t>Grupo B</t>
  </si>
  <si>
    <t>Portuguesa</t>
  </si>
  <si>
    <t>Renovação</t>
  </si>
  <si>
    <t>Lagoa</t>
  </si>
  <si>
    <t>Latitude Zero</t>
  </si>
  <si>
    <t>Baré</t>
  </si>
  <si>
    <t>Santana</t>
  </si>
  <si>
    <t>Canário</t>
  </si>
  <si>
    <t>Cruzeiro</t>
  </si>
  <si>
    <t>São Paulo</t>
  </si>
  <si>
    <t>ADEC</t>
  </si>
  <si>
    <t>Mazagão</t>
  </si>
  <si>
    <t>3x0</t>
  </si>
  <si>
    <t>Semifinal</t>
  </si>
  <si>
    <t>Campeões</t>
  </si>
  <si>
    <t>Paraense</t>
  </si>
  <si>
    <t>Grupo C</t>
  </si>
  <si>
    <t>Grupo D</t>
  </si>
  <si>
    <t>Tabela Geral</t>
  </si>
  <si>
    <t>9.</t>
  </si>
  <si>
    <t>10.</t>
  </si>
  <si>
    <t>11.</t>
  </si>
  <si>
    <t>12.</t>
  </si>
  <si>
    <t>Quartas de final</t>
  </si>
  <si>
    <t>Águia de Marabá</t>
  </si>
  <si>
    <t>Paraense A2</t>
  </si>
  <si>
    <t>Tapajós</t>
  </si>
  <si>
    <t>União Paraense</t>
  </si>
  <si>
    <t>Caeté</t>
  </si>
  <si>
    <t>Carajás</t>
  </si>
  <si>
    <t>Izabelense</t>
  </si>
  <si>
    <t>Atlético Paraense</t>
  </si>
  <si>
    <t>Paragominas</t>
  </si>
  <si>
    <t>Canaã</t>
  </si>
  <si>
    <t>Urumajó</t>
  </si>
  <si>
    <t>Itupiranga</t>
  </si>
  <si>
    <t>0x2 (4x2)</t>
  </si>
  <si>
    <t>0x1</t>
  </si>
  <si>
    <t>1x2 (5x3)</t>
  </si>
  <si>
    <t>1x1</t>
  </si>
  <si>
    <t>Sergipano</t>
  </si>
  <si>
    <t>Segunda fase</t>
  </si>
  <si>
    <t>Fase preliminar</t>
  </si>
  <si>
    <t>Sergipano A2</t>
  </si>
  <si>
    <t>Barra</t>
  </si>
  <si>
    <t>Olímpico</t>
  </si>
  <si>
    <t>Canindé</t>
  </si>
  <si>
    <t>Socorrense</t>
  </si>
  <si>
    <t>Estanciano</t>
  </si>
  <si>
    <t>América de Pedrinhas</t>
  </si>
  <si>
    <t>Carmópolis</t>
  </si>
  <si>
    <t>Maruinense</t>
  </si>
  <si>
    <t>Socorro</t>
  </si>
  <si>
    <t>Flamengo</t>
  </si>
  <si>
    <t>Freipaulistano</t>
  </si>
  <si>
    <t>13.</t>
  </si>
  <si>
    <t>14.</t>
  </si>
  <si>
    <t>15.</t>
  </si>
  <si>
    <t>16.</t>
  </si>
  <si>
    <t>Capivariano</t>
  </si>
  <si>
    <t>Novorizontino</t>
  </si>
  <si>
    <t>Palmeiras</t>
  </si>
  <si>
    <t>Guarani</t>
  </si>
  <si>
    <t>Velo Clube</t>
  </si>
  <si>
    <t>Noroeste</t>
  </si>
  <si>
    <t>RB Bragantino</t>
  </si>
  <si>
    <t>São Bernardo</t>
  </si>
  <si>
    <t>Mirassol</t>
  </si>
  <si>
    <t>Ponte Preta</t>
  </si>
  <si>
    <t>Corinthians</t>
  </si>
  <si>
    <t>Botafogo</t>
  </si>
  <si>
    <t>Primavera</t>
  </si>
  <si>
    <t>0x0 (3x5)</t>
  </si>
  <si>
    <t>3x2</t>
  </si>
  <si>
    <t>2x2 (4x3)</t>
  </si>
  <si>
    <t>0x3</t>
  </si>
  <si>
    <t>1x1 (5x6)</t>
  </si>
  <si>
    <t>Série D:</t>
  </si>
  <si>
    <t>CDB:</t>
  </si>
  <si>
    <t>Copa Paulista</t>
  </si>
  <si>
    <t>Paulista A2</t>
  </si>
  <si>
    <t>Quadrangular</t>
  </si>
  <si>
    <t>Monte Azul</t>
  </si>
  <si>
    <t>Água Santa</t>
  </si>
  <si>
    <t>Ferroviária</t>
  </si>
  <si>
    <t>Grêmio Prudente</t>
  </si>
  <si>
    <t>Inter de Limeira</t>
  </si>
  <si>
    <t>Ituano</t>
  </si>
  <si>
    <t>Juventus</t>
  </si>
  <si>
    <t>Linense</t>
  </si>
  <si>
    <t>Santo André</t>
  </si>
  <si>
    <t>São Bento</t>
  </si>
  <si>
    <t>Sertãozinho</t>
  </si>
  <si>
    <t>Taubaté</t>
  </si>
  <si>
    <t>Votuporanguense</t>
  </si>
  <si>
    <t>XV de Piracicaba</t>
  </si>
  <si>
    <t>3x1</t>
  </si>
  <si>
    <t>2x4</t>
  </si>
  <si>
    <t>4x0</t>
  </si>
  <si>
    <t>1x4</t>
  </si>
  <si>
    <t>1x3</t>
  </si>
  <si>
    <t>4x1</t>
  </si>
  <si>
    <t>2x2</t>
  </si>
  <si>
    <t>1x0 (4x5)</t>
  </si>
  <si>
    <t>2x1 (5x4)</t>
  </si>
  <si>
    <t>Paulista A3</t>
  </si>
  <si>
    <t>Bandeirante</t>
  </si>
  <si>
    <t>Catanduva</t>
  </si>
  <si>
    <t>Desportivo Brasil</t>
  </si>
  <si>
    <t>EC São Bernardo</t>
  </si>
  <si>
    <t>Francana</t>
  </si>
  <si>
    <t>Itapirense</t>
  </si>
  <si>
    <t>Marília</t>
  </si>
  <si>
    <t>Paulista</t>
  </si>
  <si>
    <t>Portuguesa Santista</t>
  </si>
  <si>
    <t>Rio Branco</t>
  </si>
  <si>
    <t>Rio Claro</t>
  </si>
  <si>
    <t>Rio Preto</t>
  </si>
  <si>
    <t>União Barbarense</t>
  </si>
  <si>
    <t>União São João</t>
  </si>
  <si>
    <t>União Suzano</t>
  </si>
  <si>
    <t>XV de Jaú</t>
  </si>
  <si>
    <t>2x3</t>
  </si>
  <si>
    <t>Paulista A4</t>
  </si>
  <si>
    <t>Araçatuba</t>
  </si>
  <si>
    <t>Barretos</t>
  </si>
  <si>
    <t>Colorado Caieiras</t>
  </si>
  <si>
    <t>Comercial</t>
  </si>
  <si>
    <t>ECUS</t>
  </si>
  <si>
    <t>Inter de Bebedouro</t>
  </si>
  <si>
    <t>Jabaquara</t>
  </si>
  <si>
    <t>Joseense</t>
  </si>
  <si>
    <t>Lemense</t>
  </si>
  <si>
    <t>Nacional</t>
  </si>
  <si>
    <t>Penapolense</t>
  </si>
  <si>
    <t>São Caetano</t>
  </si>
  <si>
    <t>São-Carlense</t>
  </si>
  <si>
    <t>Taquaritinga</t>
  </si>
  <si>
    <t>Tanabi</t>
  </si>
  <si>
    <t>Vocem</t>
  </si>
  <si>
    <t>0x4</t>
  </si>
  <si>
    <t>1x1 (4x5)</t>
  </si>
  <si>
    <t>Bezinha</t>
  </si>
  <si>
    <t>2a fase</t>
  </si>
  <si>
    <t>Tupã</t>
  </si>
  <si>
    <t>Assisense</t>
  </si>
  <si>
    <t>América</t>
  </si>
  <si>
    <t>Olímpia</t>
  </si>
  <si>
    <t>Santacruzense</t>
  </si>
  <si>
    <t>São Carlos</t>
  </si>
  <si>
    <t>Matonense</t>
  </si>
  <si>
    <t>Batatais</t>
  </si>
  <si>
    <t>Audax</t>
  </si>
  <si>
    <t>Manthiqueira</t>
  </si>
  <si>
    <t>União Mogi</t>
  </si>
  <si>
    <t>Mauaense</t>
  </si>
  <si>
    <t>Guarulhos</t>
  </si>
  <si>
    <t>Mauá</t>
  </si>
  <si>
    <t>Oitavas de final</t>
  </si>
  <si>
    <t>5x0</t>
  </si>
  <si>
    <t>0x0 (4x3)</t>
  </si>
  <si>
    <t>1x0 (3x1)</t>
  </si>
  <si>
    <t>2x0 (3x4)</t>
  </si>
  <si>
    <t>Carioca</t>
  </si>
  <si>
    <t>Fluminense</t>
  </si>
  <si>
    <t>Sampaio Corrêa</t>
  </si>
  <si>
    <t>Vasco</t>
  </si>
  <si>
    <t>Volta Redonda</t>
  </si>
  <si>
    <t>Bangu</t>
  </si>
  <si>
    <t>Boavista</t>
  </si>
  <si>
    <t>Madureira</t>
  </si>
  <si>
    <t>Maricá</t>
  </si>
  <si>
    <t>Nova Iguaçu</t>
  </si>
  <si>
    <t>2x2 (4x5)</t>
  </si>
  <si>
    <t>0x0 (4x5)</t>
  </si>
  <si>
    <t>Taça Rio</t>
  </si>
  <si>
    <t>Rodada do rebaixamento</t>
  </si>
  <si>
    <t>Copa Rio</t>
  </si>
  <si>
    <t>Carioca A2</t>
  </si>
  <si>
    <t>Resende</t>
  </si>
  <si>
    <t>Americano</t>
  </si>
  <si>
    <t>Bonsucesso</t>
  </si>
  <si>
    <t>São Gonçalo</t>
  </si>
  <si>
    <t>Pérolas Negras</t>
  </si>
  <si>
    <t>América-RJ</t>
  </si>
  <si>
    <t>Araruama</t>
  </si>
  <si>
    <t>Cabofriense</t>
  </si>
  <si>
    <t>Serrano</t>
  </si>
  <si>
    <t>Olaria</t>
  </si>
  <si>
    <t>Carioca B1</t>
  </si>
  <si>
    <t>São Cristóvão</t>
  </si>
  <si>
    <t>Campo Grande</t>
  </si>
  <si>
    <t>Univassouras Artsul</t>
  </si>
  <si>
    <t>Goytacaz</t>
  </si>
  <si>
    <t>Niteroiense</t>
  </si>
  <si>
    <t>Macaé</t>
  </si>
  <si>
    <t>Duque de Caxias</t>
  </si>
  <si>
    <t>Nova Cidade</t>
  </si>
  <si>
    <t>Carapebus</t>
  </si>
  <si>
    <t>Petrópolis</t>
  </si>
  <si>
    <t>Carioca B2</t>
  </si>
  <si>
    <t>Carioca C</t>
  </si>
  <si>
    <t>Mesquita</t>
  </si>
  <si>
    <t>Búzios</t>
  </si>
  <si>
    <t>Barra Mansa</t>
  </si>
  <si>
    <t>Barcelona</t>
  </si>
  <si>
    <t>União Central</t>
  </si>
  <si>
    <t>Angra dos Reis</t>
  </si>
  <si>
    <t>EC Resende</t>
  </si>
  <si>
    <t>CAAC Brasil</t>
  </si>
  <si>
    <t>Vera Cruz</t>
  </si>
  <si>
    <t>Riostrense</t>
  </si>
  <si>
    <t>Duque Caxiense</t>
  </si>
  <si>
    <t>7 de Abril</t>
  </si>
  <si>
    <t>Serra Macaense</t>
  </si>
  <si>
    <t>Rio de Janeiro</t>
  </si>
  <si>
    <t>Paraty</t>
  </si>
  <si>
    <t>Paduano</t>
  </si>
  <si>
    <t>Santa Cruz</t>
  </si>
  <si>
    <t>Belford Roxo</t>
  </si>
  <si>
    <t>Friburguense</t>
  </si>
  <si>
    <t>2x0 (5x4)</t>
  </si>
  <si>
    <t>1x0 (2x4)</t>
  </si>
  <si>
    <t>2x2 (4x2)</t>
  </si>
  <si>
    <t>2x1 (4x2)</t>
  </si>
  <si>
    <t>0x1 (2x4)</t>
  </si>
  <si>
    <t>Mineiro</t>
  </si>
  <si>
    <t>Troféu Inconfidência</t>
  </si>
  <si>
    <t>Mineiro Módulo 2</t>
  </si>
  <si>
    <t>Athletic</t>
  </si>
  <si>
    <t>Atlético</t>
  </si>
  <si>
    <t>Uberlândia</t>
  </si>
  <si>
    <t>Democrata GV</t>
  </si>
  <si>
    <t>URT</t>
  </si>
  <si>
    <t>Itabirito</t>
  </si>
  <si>
    <t>North</t>
  </si>
  <si>
    <t>Tombense</t>
  </si>
  <si>
    <t>Betim</t>
  </si>
  <si>
    <t>Pouso Alegre</t>
  </si>
  <si>
    <t>1x1 (7x8)</t>
  </si>
  <si>
    <t>Boa Esporte</t>
  </si>
  <si>
    <t>Caldense</t>
  </si>
  <si>
    <t>Mamoré</t>
  </si>
  <si>
    <t>Patrocinense</t>
  </si>
  <si>
    <t>Uberaba</t>
  </si>
  <si>
    <t>Coimbra FC Porto</t>
  </si>
  <si>
    <t>Ipatinga</t>
  </si>
  <si>
    <t>Valeriodoce</t>
  </si>
  <si>
    <t>Aymorés</t>
  </si>
  <si>
    <t>Villa Nova</t>
  </si>
  <si>
    <t>Democrata SL</t>
  </si>
  <si>
    <t>Novo Esporte</t>
  </si>
  <si>
    <t>União Luziense</t>
  </si>
  <si>
    <t>Serranense</t>
  </si>
  <si>
    <t>Internacional</t>
  </si>
  <si>
    <t>Boston City</t>
  </si>
  <si>
    <t>Tupi</t>
  </si>
  <si>
    <t>Nacional de Muriaé</t>
  </si>
  <si>
    <t>Varginha</t>
  </si>
  <si>
    <t>Essube</t>
  </si>
  <si>
    <t>Passos</t>
  </si>
  <si>
    <t>Nacional de Uberaba</t>
  </si>
  <si>
    <t>Paracatu</t>
  </si>
  <si>
    <t>Mineiro 2a Divisão</t>
  </si>
  <si>
    <t>Gaúcho</t>
  </si>
  <si>
    <t>Juventude</t>
  </si>
  <si>
    <t>São Luiz</t>
  </si>
  <si>
    <t>Guarany</t>
  </si>
  <si>
    <t>Avenida</t>
  </si>
  <si>
    <t>Caxias</t>
  </si>
  <si>
    <t>Grêmio</t>
  </si>
  <si>
    <t>Inter SM</t>
  </si>
  <si>
    <t>Novo Hamburgo</t>
  </si>
  <si>
    <t>Monsoon</t>
  </si>
  <si>
    <t>1x1 (4x2)</t>
  </si>
  <si>
    <t>2x0 (4x5)</t>
  </si>
  <si>
    <t>Taça Farroupilha</t>
  </si>
  <si>
    <t>Quadrangular do rebaixamento</t>
  </si>
  <si>
    <t>Copa FGF</t>
  </si>
  <si>
    <t>Gaúcho A2</t>
  </si>
  <si>
    <t>Veranópolis</t>
  </si>
  <si>
    <t>Passo Fundo</t>
  </si>
  <si>
    <t>Gramadense</t>
  </si>
  <si>
    <t>Lajeadense</t>
  </si>
  <si>
    <t>Apafut</t>
  </si>
  <si>
    <t>Pelotas</t>
  </si>
  <si>
    <t>Brasil de Pelotas</t>
  </si>
  <si>
    <t>Esportivo</t>
  </si>
  <si>
    <t>União Frederiquense</t>
  </si>
  <si>
    <t>Aimoré</t>
  </si>
  <si>
    <t>Glória</t>
  </si>
  <si>
    <t>Bagé</t>
  </si>
  <si>
    <t>Brasil de Farroupilha</t>
  </si>
  <si>
    <t>2x1 (2x4)</t>
  </si>
  <si>
    <t>Gaúcho B</t>
  </si>
  <si>
    <t>Real</t>
  </si>
  <si>
    <t>Futebol com Vida</t>
  </si>
  <si>
    <t>Nova Prata</t>
  </si>
  <si>
    <t>Novo Horizonte</t>
  </si>
  <si>
    <t>Riograndense</t>
  </si>
  <si>
    <t>Rio Grande</t>
  </si>
  <si>
    <t>São Gabriel</t>
  </si>
  <si>
    <t>Paranaense</t>
  </si>
  <si>
    <t>Cascavel</t>
  </si>
  <si>
    <t>Maringá</t>
  </si>
  <si>
    <t>Athletico</t>
  </si>
  <si>
    <t>Londrina</t>
  </si>
  <si>
    <t>Foz do Iguaçu</t>
  </si>
  <si>
    <t>São Joseense</t>
  </si>
  <si>
    <t>Andraus</t>
  </si>
  <si>
    <t>Cianorte</t>
  </si>
  <si>
    <t>Galo Maringá</t>
  </si>
  <si>
    <t>Azuriz</t>
  </si>
  <si>
    <t>Operário</t>
  </si>
  <si>
    <t>Coritiba</t>
  </si>
  <si>
    <t>1x1 (5x3)</t>
  </si>
  <si>
    <t>Taça FPF</t>
  </si>
  <si>
    <t>Paranaense A2</t>
  </si>
  <si>
    <t>Toledo</t>
  </si>
  <si>
    <t>Laranja Mecânica</t>
  </si>
  <si>
    <t>Batel</t>
  </si>
  <si>
    <t>Araucária</t>
  </si>
  <si>
    <t>Prudentópolis</t>
  </si>
  <si>
    <t>Patriotas</t>
  </si>
  <si>
    <t>Paranavaí</t>
  </si>
  <si>
    <t>Paraná</t>
  </si>
  <si>
    <t>Paranaense 3a Divisão</t>
  </si>
  <si>
    <t>Samas</t>
  </si>
  <si>
    <t>Hope Internacional</t>
  </si>
  <si>
    <t>Iraty</t>
  </si>
  <si>
    <t>Iguaçu</t>
  </si>
  <si>
    <t>City London</t>
  </si>
  <si>
    <t>Cambé</t>
  </si>
  <si>
    <t>PSTC</t>
  </si>
  <si>
    <t>Grêmio Maringá</t>
  </si>
  <si>
    <t>União</t>
  </si>
  <si>
    <t>Oeste Brasil</t>
  </si>
  <si>
    <t>Campo Mourão</t>
  </si>
  <si>
    <t>0x0 (3x4)</t>
  </si>
  <si>
    <t>1x0 (5x3)</t>
  </si>
  <si>
    <t>Cearense</t>
  </si>
  <si>
    <t>Disputa de 5o lugar</t>
  </si>
  <si>
    <t>Disputa de 3o lugar</t>
  </si>
  <si>
    <t>Fortaleza</t>
  </si>
  <si>
    <t>Tirol</t>
  </si>
  <si>
    <t>Floresta</t>
  </si>
  <si>
    <t>Ferroviário</t>
  </si>
  <si>
    <t>Quixadá</t>
  </si>
  <si>
    <t>Horizonte</t>
  </si>
  <si>
    <t>Maracanã</t>
  </si>
  <si>
    <t>Maranguape</t>
  </si>
  <si>
    <t>Ceará</t>
  </si>
  <si>
    <t>Iguatu</t>
  </si>
  <si>
    <t>0x0 (4x1)</t>
  </si>
  <si>
    <t>Copa Fares Lopes</t>
  </si>
  <si>
    <t>Cearense B</t>
  </si>
  <si>
    <t>Crato</t>
  </si>
  <si>
    <t>Cariri</t>
  </si>
  <si>
    <t>Icasa</t>
  </si>
  <si>
    <t>Barbalha</t>
  </si>
  <si>
    <t>Crateús</t>
  </si>
  <si>
    <t>Caucaia</t>
  </si>
  <si>
    <t>Itapipoca</t>
  </si>
  <si>
    <t>2x0 (11x10)</t>
  </si>
  <si>
    <t>Cearense C</t>
  </si>
  <si>
    <t>Esporte Limoeiro</t>
  </si>
  <si>
    <t>Vila Real</t>
  </si>
  <si>
    <t>Tiradentes</t>
  </si>
  <si>
    <t>Pacatuba</t>
  </si>
  <si>
    <t>1x1 (3x4)</t>
  </si>
  <si>
    <t>Goiano</t>
  </si>
  <si>
    <t>Inhumas</t>
  </si>
  <si>
    <t>Goiatuba</t>
  </si>
  <si>
    <t>CRAC</t>
  </si>
  <si>
    <t>Vila Nova</t>
  </si>
  <si>
    <t>Aparecidense</t>
  </si>
  <si>
    <t>Jataiense</t>
  </si>
  <si>
    <t>Goiás</t>
  </si>
  <si>
    <t>Anápolis</t>
  </si>
  <si>
    <t>Ouvidorense</t>
  </si>
  <si>
    <t>Centro-Oeste</t>
  </si>
  <si>
    <t>Anapolina</t>
  </si>
  <si>
    <t>0x0 (4x2)</t>
  </si>
  <si>
    <t>Duelo do rebaixamento</t>
  </si>
  <si>
    <t>Goiano 2</t>
  </si>
  <si>
    <t>Mineiros</t>
  </si>
  <si>
    <t>Goiânia</t>
  </si>
  <si>
    <t>Rio Verde</t>
  </si>
  <si>
    <t>Trindade</t>
  </si>
  <si>
    <t>Morrinhos</t>
  </si>
  <si>
    <t>Tupy</t>
  </si>
  <si>
    <t>Grêmio Anápolis</t>
  </si>
  <si>
    <t>Bom Jesus</t>
  </si>
  <si>
    <t>Crixás</t>
  </si>
  <si>
    <t>Goianésia</t>
  </si>
  <si>
    <t>Goiano 3</t>
  </si>
  <si>
    <t>Aparecida</t>
  </si>
  <si>
    <t>Santa Helena</t>
  </si>
  <si>
    <t>Rioverdense</t>
  </si>
  <si>
    <t>Guanabara City</t>
  </si>
  <si>
    <t>Pires do Rio</t>
  </si>
  <si>
    <t>Itumbiara</t>
  </si>
  <si>
    <t>ABD</t>
  </si>
  <si>
    <t>ASEEV</t>
  </si>
  <si>
    <t>Iporá</t>
  </si>
  <si>
    <t>Brusque</t>
  </si>
  <si>
    <t>Concórdia</t>
  </si>
  <si>
    <t>Marcílio Dias</t>
  </si>
  <si>
    <t>Avaí</t>
  </si>
  <si>
    <t>Joinville</t>
  </si>
  <si>
    <t>Camboriú</t>
  </si>
  <si>
    <t>Chapecoense</t>
  </si>
  <si>
    <t>Figueirense</t>
  </si>
  <si>
    <t>Carlos Renaux</t>
  </si>
  <si>
    <t>Santa Catarina</t>
  </si>
  <si>
    <t>Criciúma</t>
  </si>
  <si>
    <t>2x0 (4x2)</t>
  </si>
  <si>
    <t>5x1</t>
  </si>
  <si>
    <t>1x1 (7x6)</t>
  </si>
  <si>
    <t>Taça Acesc</t>
  </si>
  <si>
    <t>Copa SC</t>
  </si>
  <si>
    <t>Catarinense</t>
  </si>
  <si>
    <t>Catarinense B</t>
  </si>
  <si>
    <t>Blumenau</t>
  </si>
  <si>
    <t>Caravaggio</t>
  </si>
  <si>
    <t>Jaraguá</t>
  </si>
  <si>
    <t>Hercílio Luz</t>
  </si>
  <si>
    <t>Tubarão</t>
  </si>
  <si>
    <t>Metropolitano</t>
  </si>
  <si>
    <t>Nação</t>
  </si>
  <si>
    <t>Catarinense C</t>
  </si>
  <si>
    <t>Imbituba</t>
  </si>
  <si>
    <t>Porto</t>
  </si>
  <si>
    <t>Inter de Lages</t>
  </si>
  <si>
    <t>Baiano</t>
  </si>
  <si>
    <t>Juazeirense</t>
  </si>
  <si>
    <t>Jacuipense</t>
  </si>
  <si>
    <t>Bahia</t>
  </si>
  <si>
    <t>Jequié</t>
  </si>
  <si>
    <t>Bahia de Feira</t>
  </si>
  <si>
    <t>Vitória</t>
  </si>
  <si>
    <t>Galícia</t>
  </si>
  <si>
    <t>2x2 (3x4)</t>
  </si>
  <si>
    <t>Baiano 2</t>
  </si>
  <si>
    <t>SSA</t>
  </si>
  <si>
    <t>Jacobina</t>
  </si>
  <si>
    <t>Colo Colo</t>
  </si>
  <si>
    <t>Leônico</t>
  </si>
  <si>
    <t>Itabuna</t>
  </si>
  <si>
    <t>Vitória da Conquista</t>
  </si>
  <si>
    <t>Pernambucano</t>
  </si>
  <si>
    <t>Retrô</t>
  </si>
  <si>
    <t>Maguary</t>
  </si>
  <si>
    <t>Sport</t>
  </si>
  <si>
    <t>Decisão</t>
  </si>
  <si>
    <t>Náutico</t>
  </si>
  <si>
    <t>Jaguar</t>
  </si>
  <si>
    <t>17.</t>
  </si>
  <si>
    <t>18.</t>
  </si>
  <si>
    <t>Águia</t>
  </si>
  <si>
    <t>Íbis</t>
  </si>
  <si>
    <t>Petrolina</t>
  </si>
  <si>
    <t>Ipojuca</t>
  </si>
  <si>
    <t>Salgueiro</t>
  </si>
  <si>
    <t>Afogados</t>
  </si>
  <si>
    <t>Caruaru City</t>
  </si>
  <si>
    <t>Centro Limoeirense</t>
  </si>
  <si>
    <t>Central</t>
  </si>
  <si>
    <t>Belo Jardim</t>
  </si>
  <si>
    <t>Pesqueira</t>
  </si>
  <si>
    <t>Alagoano</t>
  </si>
  <si>
    <t>CRB</t>
  </si>
  <si>
    <t>Murici</t>
  </si>
  <si>
    <t>ASA</t>
  </si>
  <si>
    <t>Coruripe</t>
  </si>
  <si>
    <t>Penedense</t>
  </si>
  <si>
    <t>CSE</t>
  </si>
  <si>
    <t>CSA</t>
  </si>
  <si>
    <t>Copa Alagoas</t>
  </si>
  <si>
    <t>Desportivo Aliança</t>
  </si>
  <si>
    <t>Miguelense</t>
  </si>
  <si>
    <t>Jaciobá</t>
  </si>
  <si>
    <t>Dimensão Saúde</t>
  </si>
  <si>
    <t>Agrimaq</t>
  </si>
  <si>
    <t>Zumbi</t>
  </si>
  <si>
    <t>Igaci</t>
  </si>
  <si>
    <t>Alagoano B</t>
  </si>
  <si>
    <t>Pernambucano A2</t>
  </si>
  <si>
    <t>Cametá</t>
  </si>
  <si>
    <t>Capitão Poço</t>
  </si>
  <si>
    <t>Remo</t>
  </si>
  <si>
    <t>Santa Rosa</t>
  </si>
  <si>
    <t>São Raimundo</t>
  </si>
  <si>
    <t>Tuna Luso</t>
  </si>
  <si>
    <t>Amazônia</t>
  </si>
  <si>
    <t>Bragantino</t>
  </si>
  <si>
    <t>Castanhal</t>
  </si>
  <si>
    <t>Paysandu</t>
  </si>
  <si>
    <t>São Francisco</t>
  </si>
  <si>
    <t>2x2 (2x3)</t>
  </si>
  <si>
    <t>0x0 (5x6)</t>
  </si>
  <si>
    <t>Paraense A3</t>
  </si>
  <si>
    <t>Altamira</t>
  </si>
  <si>
    <t>Gavião Kyikatejê</t>
  </si>
  <si>
    <t>Vênus</t>
  </si>
  <si>
    <t>Esmac</t>
  </si>
  <si>
    <t>Belenense</t>
  </si>
  <si>
    <t>Pinheirense</t>
  </si>
  <si>
    <t>Sport Belém</t>
  </si>
  <si>
    <t>Pedreira</t>
  </si>
  <si>
    <t>Vila Rica</t>
  </si>
  <si>
    <t>Tesla</t>
  </si>
  <si>
    <t>2x1 (1x3)</t>
  </si>
  <si>
    <t>0x0 (6x7)</t>
  </si>
  <si>
    <t>Mato-Grossense</t>
  </si>
  <si>
    <t>Nova Mutum</t>
  </si>
  <si>
    <t>Mixto</t>
  </si>
  <si>
    <t>Cuiabá</t>
  </si>
  <si>
    <t>CEOV Operário</t>
  </si>
  <si>
    <t>Luverdense</t>
  </si>
  <si>
    <t>Chapada</t>
  </si>
  <si>
    <t>Sport Sinop</t>
  </si>
  <si>
    <t>Várzea Grande</t>
  </si>
  <si>
    <t>União Rondonópolis</t>
  </si>
  <si>
    <t>0x0 (3x2)</t>
  </si>
  <si>
    <t>Mato-Grossense 2</t>
  </si>
  <si>
    <t>Grêmio Sorriso</t>
  </si>
  <si>
    <t>Academia</t>
  </si>
  <si>
    <t>Campo Novo</t>
  </si>
  <si>
    <t>Dom Bosco</t>
  </si>
  <si>
    <t>Uirapuru</t>
  </si>
  <si>
    <t>Cacerense</t>
  </si>
  <si>
    <t>Ação</t>
  </si>
  <si>
    <t>Cáceres</t>
  </si>
  <si>
    <t>Amazonense</t>
  </si>
  <si>
    <t>1o turno</t>
  </si>
  <si>
    <t>2o turno</t>
  </si>
  <si>
    <t>Amazonas</t>
  </si>
  <si>
    <t>Itacoatiara</t>
  </si>
  <si>
    <t>Manauara</t>
  </si>
  <si>
    <t>Parintins</t>
  </si>
  <si>
    <t>Manaus</t>
  </si>
  <si>
    <t>Princesa</t>
  </si>
  <si>
    <t>1x1 (4x3)</t>
  </si>
  <si>
    <t>Final geral</t>
  </si>
  <si>
    <t>Tabela geral</t>
  </si>
  <si>
    <t>Amazonense B</t>
  </si>
  <si>
    <t>Penarol</t>
  </si>
  <si>
    <t>RB do Norte</t>
  </si>
  <si>
    <t>Tarumã</t>
  </si>
  <si>
    <t>Unidos do Alvorada</t>
  </si>
  <si>
    <t>CDC da Amazônia</t>
  </si>
  <si>
    <t>Clipper</t>
  </si>
  <si>
    <t>Fast Clube</t>
  </si>
  <si>
    <t>Sul América</t>
  </si>
  <si>
    <t>Sete</t>
  </si>
  <si>
    <t>Iranduba</t>
  </si>
  <si>
    <t>0x0 (2x4)</t>
  </si>
  <si>
    <t>Potiguar</t>
  </si>
  <si>
    <t>QFC</t>
  </si>
  <si>
    <t>Potyguar</t>
  </si>
  <si>
    <t>ABC</t>
  </si>
  <si>
    <t>Laguna</t>
  </si>
  <si>
    <t>Globo</t>
  </si>
  <si>
    <t>3x0 (3x4)</t>
  </si>
  <si>
    <t>Potiguar 2</t>
  </si>
  <si>
    <t>Alecrim</t>
  </si>
  <si>
    <t>Visão Celeste</t>
  </si>
  <si>
    <t>Mossoró</t>
  </si>
  <si>
    <t>Univap</t>
  </si>
  <si>
    <t>Baraúnas</t>
  </si>
  <si>
    <t>Paraíbano</t>
  </si>
  <si>
    <t>Serra Branca</t>
  </si>
  <si>
    <t>Sousa</t>
  </si>
  <si>
    <t>Pombal</t>
  </si>
  <si>
    <t>Treze</t>
  </si>
  <si>
    <t>Campinense</t>
  </si>
  <si>
    <t>Confiança</t>
  </si>
  <si>
    <t>EC de Patos</t>
  </si>
  <si>
    <t>Paraíbano 2</t>
  </si>
  <si>
    <t>Picuiense</t>
  </si>
  <si>
    <t>São Paulo Crystal</t>
  </si>
  <si>
    <t>Desportiva Guarabira</t>
  </si>
  <si>
    <t>Miramar</t>
  </si>
  <si>
    <t>Spartax</t>
  </si>
  <si>
    <t>Santa Rita</t>
  </si>
  <si>
    <t>CSP</t>
  </si>
  <si>
    <t>Femar</t>
  </si>
  <si>
    <t>Auto Esporte</t>
  </si>
  <si>
    <t>0x0 (0x3)</t>
  </si>
  <si>
    <t>Paraíbano 3</t>
  </si>
  <si>
    <t>Sabugy</t>
  </si>
  <si>
    <t>Queimadense</t>
  </si>
  <si>
    <t>Perilima</t>
  </si>
  <si>
    <t>Maranhense</t>
  </si>
  <si>
    <t>IAPE</t>
  </si>
  <si>
    <t>Maranhão</t>
  </si>
  <si>
    <t>ITZ Sport</t>
  </si>
  <si>
    <t>Tuntum</t>
  </si>
  <si>
    <t>Imperatriz</t>
  </si>
  <si>
    <t>Luminense</t>
  </si>
  <si>
    <t>Moto Club</t>
  </si>
  <si>
    <t>Maranhense 2</t>
  </si>
  <si>
    <t>Viana</t>
  </si>
  <si>
    <t>São Luís</t>
  </si>
  <si>
    <t>Expressinho</t>
  </si>
  <si>
    <t>Pinheiro</t>
  </si>
  <si>
    <t>Tupan</t>
  </si>
  <si>
    <t>Lago Verde</t>
  </si>
  <si>
    <t>Cordino</t>
  </si>
  <si>
    <t>Timon</t>
  </si>
  <si>
    <t>Balsas</t>
  </si>
  <si>
    <t>0x1 (4x5)</t>
  </si>
  <si>
    <t>1x1 (5x4)</t>
  </si>
  <si>
    <t>Desportiva Aracaju</t>
  </si>
  <si>
    <t>América de Propriá</t>
  </si>
  <si>
    <t>Itabaiana</t>
  </si>
  <si>
    <t>Lagarto</t>
  </si>
  <si>
    <t>Falcon</t>
  </si>
  <si>
    <t>Sergipe</t>
  </si>
  <si>
    <t>Dorense</t>
  </si>
  <si>
    <t>Atlético Gloriense</t>
  </si>
  <si>
    <t>1x1 (9x10)</t>
  </si>
  <si>
    <t>Copa Lotese</t>
  </si>
  <si>
    <t>Sergipano A3</t>
  </si>
  <si>
    <t>Sete de Junho</t>
  </si>
  <si>
    <t>Propriá</t>
  </si>
  <si>
    <t>Riachão</t>
  </si>
  <si>
    <t>Aracaju</t>
  </si>
  <si>
    <t>Boca Júnior</t>
  </si>
  <si>
    <t>Boquinhense</t>
  </si>
  <si>
    <t>Atlético Central</t>
  </si>
  <si>
    <t>Amadense</t>
  </si>
  <si>
    <t>Brasiliense</t>
  </si>
  <si>
    <t>Sobradinho</t>
  </si>
  <si>
    <t>Capital</t>
  </si>
  <si>
    <t>Real Brasília</t>
  </si>
  <si>
    <t>Samambaia</t>
  </si>
  <si>
    <t>Paranoá</t>
  </si>
  <si>
    <t>ARUC</t>
  </si>
  <si>
    <t>Brasília</t>
  </si>
  <si>
    <t>Ceilândia</t>
  </si>
  <si>
    <t>Gama</t>
  </si>
  <si>
    <t>Brasiliense B</t>
  </si>
  <si>
    <t>Ceilandense</t>
  </si>
  <si>
    <t>Riacho City</t>
  </si>
  <si>
    <t>Legião</t>
  </si>
  <si>
    <t>Candango</t>
  </si>
  <si>
    <t>Planaltina</t>
  </si>
  <si>
    <t>Grêmio Valparaíso</t>
  </si>
  <si>
    <t>Luziânia</t>
  </si>
  <si>
    <t>Piauiense</t>
  </si>
  <si>
    <t>Teresina</t>
  </si>
  <si>
    <t>Oeirense</t>
  </si>
  <si>
    <t>Piauí</t>
  </si>
  <si>
    <t>Parnahyba</t>
  </si>
  <si>
    <t>Corisabbá</t>
  </si>
  <si>
    <t>Altos</t>
  </si>
  <si>
    <t>Piauiense 2</t>
  </si>
  <si>
    <t>4 de Julho</t>
  </si>
  <si>
    <t>River</t>
  </si>
  <si>
    <t>Caiçara</t>
  </si>
  <si>
    <t>Picos</t>
  </si>
  <si>
    <t>Capixaba</t>
  </si>
  <si>
    <t>Porto Vitória</t>
  </si>
  <si>
    <t>Desportiva Ferroviária</t>
  </si>
  <si>
    <t>Forte</t>
  </si>
  <si>
    <t>Vilavelhense</t>
  </si>
  <si>
    <t>Serra</t>
  </si>
  <si>
    <t>Rio Branco VN</t>
  </si>
  <si>
    <t>Real Noroeste</t>
  </si>
  <si>
    <t>0x0 (5x3)</t>
  </si>
  <si>
    <t>Copa ES</t>
  </si>
  <si>
    <t>Capixaba B</t>
  </si>
  <si>
    <t>Linhares</t>
  </si>
  <si>
    <t>Jaguaré</t>
  </si>
  <si>
    <t>Nova Venécia</t>
  </si>
  <si>
    <t>Grêmio Laranjeiras</t>
  </si>
  <si>
    <t>Pinheiros</t>
  </si>
  <si>
    <t>Gálatas</t>
  </si>
  <si>
    <t>Estrela do Norte</t>
  </si>
  <si>
    <t>2x0 (6x5)</t>
  </si>
  <si>
    <t>1x1 (2x3)</t>
  </si>
  <si>
    <t>Tocantinense</t>
  </si>
  <si>
    <t>Araguaína</t>
  </si>
  <si>
    <t>Bela Vista</t>
  </si>
  <si>
    <t>Tocantinópolis</t>
  </si>
  <si>
    <t>Palmas</t>
  </si>
  <si>
    <t>Gurupi</t>
  </si>
  <si>
    <t>Guaraí</t>
  </si>
  <si>
    <t>Tocantinense 2</t>
  </si>
  <si>
    <t>Taquarussu</t>
  </si>
  <si>
    <t>União de Palmas</t>
  </si>
  <si>
    <t>Interporto</t>
  </si>
  <si>
    <t>Batalhão</t>
  </si>
  <si>
    <t>Alvorada</t>
  </si>
  <si>
    <t>Araguaia</t>
  </si>
  <si>
    <t>Paraíso</t>
  </si>
  <si>
    <t>Tocantins</t>
  </si>
  <si>
    <t>Central Paraíso</t>
  </si>
  <si>
    <t>União de Araguaína</t>
  </si>
  <si>
    <t>Acreano</t>
  </si>
  <si>
    <t>Independência</t>
  </si>
  <si>
    <t>Humaitá</t>
  </si>
  <si>
    <t>Adesg</t>
  </si>
  <si>
    <t>Galvez</t>
  </si>
  <si>
    <t>Acreano 2</t>
  </si>
  <si>
    <t>Plácido de Castro</t>
  </si>
  <si>
    <t>Andirá</t>
  </si>
  <si>
    <t>Náuas</t>
  </si>
  <si>
    <t>2x0 (5x3)</t>
  </si>
  <si>
    <t>Rondoniense</t>
  </si>
  <si>
    <t>Ji-Paraná</t>
  </si>
  <si>
    <t>Genus</t>
  </si>
  <si>
    <t>Porto Velho</t>
  </si>
  <si>
    <t>Guaporé</t>
  </si>
  <si>
    <t>União Cacoalense</t>
  </si>
  <si>
    <t>Rondoniense 2</t>
  </si>
  <si>
    <t>Vilhena</t>
  </si>
  <si>
    <t>Rolim de Moura</t>
  </si>
  <si>
    <t>Roraimense</t>
  </si>
  <si>
    <t>Rio Negro</t>
  </si>
  <si>
    <t>Progresso</t>
  </si>
  <si>
    <t>GAS</t>
  </si>
  <si>
    <t>Monte Roraima</t>
  </si>
  <si>
    <t>Campeão</t>
  </si>
  <si>
    <t>Sul-Mato-Grossense</t>
  </si>
  <si>
    <t>Dourados</t>
  </si>
  <si>
    <t>Aquidauana</t>
  </si>
  <si>
    <t>Corumbaense</t>
  </si>
  <si>
    <t>Ivinhema</t>
  </si>
  <si>
    <t>Águia Negra</t>
  </si>
  <si>
    <t>Bataguassu</t>
  </si>
  <si>
    <t>Naviraiense</t>
  </si>
  <si>
    <t>Pantanal</t>
  </si>
  <si>
    <t>Costa Rica</t>
  </si>
  <si>
    <t>2x2 (5x4)</t>
  </si>
  <si>
    <t>Sul-Mato-Grossense 2</t>
  </si>
  <si>
    <t>Maracaju</t>
  </si>
  <si>
    <t>Taveirópolis</t>
  </si>
  <si>
    <t>Aquidauanense</t>
  </si>
  <si>
    <t>Coxim</t>
  </si>
  <si>
    <t>Osasco Sporting</t>
  </si>
  <si>
    <t>Esportiva Aquidabã</t>
  </si>
  <si>
    <t>Sete de Setembro</t>
  </si>
  <si>
    <t>BARE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</si>
</sst>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0EA9-D54C-4A32-902A-0388C291237E}">
  <dimension ref="A1:X29"/>
  <sheetViews>
    <sheetView workbookViewId="0">
      <selection activeCell="K13" sqref="K13"/>
    </sheetView>
  </sheetViews>
  <sheetFormatPr defaultRowHeight="14.4" x14ac:dyDescent="0.3"/>
  <sheetData>
    <row r="1" spans="1:24" x14ac:dyDescent="0.3">
      <c r="A1" t="s">
        <v>737</v>
      </c>
      <c r="L1" t="s">
        <v>742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254</v>
      </c>
      <c r="X2">
        <v>1</v>
      </c>
    </row>
    <row r="3" spans="1:24" x14ac:dyDescent="0.3">
      <c r="A3" s="1" t="s">
        <v>11</v>
      </c>
      <c r="B3" t="s">
        <v>254</v>
      </c>
      <c r="C3" s="3">
        <v>16</v>
      </c>
      <c r="D3">
        <v>7</v>
      </c>
      <c r="E3">
        <v>5</v>
      </c>
      <c r="F3">
        <v>1</v>
      </c>
      <c r="G3">
        <f>D3-E3-F3</f>
        <v>1</v>
      </c>
      <c r="H3">
        <v>10</v>
      </c>
      <c r="I3">
        <v>4</v>
      </c>
      <c r="J3">
        <f>H3-I3</f>
        <v>6</v>
      </c>
      <c r="L3" s="1" t="s">
        <v>11</v>
      </c>
      <c r="M3" t="s">
        <v>743</v>
      </c>
      <c r="N3" s="3">
        <v>13</v>
      </c>
      <c r="O3">
        <v>6</v>
      </c>
      <c r="P3">
        <v>4</v>
      </c>
      <c r="Q3">
        <v>1</v>
      </c>
      <c r="R3">
        <f>O3-P3-Q3</f>
        <v>1</v>
      </c>
      <c r="S3">
        <v>12</v>
      </c>
      <c r="T3">
        <v>7</v>
      </c>
      <c r="U3">
        <f>S3-T3</f>
        <v>5</v>
      </c>
      <c r="W3" t="s">
        <v>743</v>
      </c>
      <c r="X3">
        <v>1</v>
      </c>
    </row>
    <row r="4" spans="1:24" x14ac:dyDescent="0.3">
      <c r="A4" s="1" t="s">
        <v>12</v>
      </c>
      <c r="B4" t="s">
        <v>151</v>
      </c>
      <c r="C4" s="3">
        <v>13</v>
      </c>
      <c r="D4">
        <v>7</v>
      </c>
      <c r="E4">
        <v>4</v>
      </c>
      <c r="F4">
        <v>1</v>
      </c>
      <c r="G4">
        <f t="shared" ref="G4:G10" si="0">D4-E4-F4</f>
        <v>2</v>
      </c>
      <c r="H4">
        <v>12</v>
      </c>
      <c r="I4">
        <v>6</v>
      </c>
      <c r="J4">
        <f t="shared" ref="J4:J10" si="1">H4-I4</f>
        <v>6</v>
      </c>
      <c r="L4" s="1" t="s">
        <v>12</v>
      </c>
      <c r="M4" t="s">
        <v>744</v>
      </c>
      <c r="N4" s="3">
        <v>10</v>
      </c>
      <c r="O4">
        <v>6</v>
      </c>
      <c r="P4">
        <v>3</v>
      </c>
      <c r="Q4">
        <v>1</v>
      </c>
      <c r="R4">
        <f t="shared" ref="R4:R6" si="2">O4-P4-Q4</f>
        <v>2</v>
      </c>
      <c r="S4">
        <v>9</v>
      </c>
      <c r="T4">
        <v>8</v>
      </c>
      <c r="U4">
        <f t="shared" ref="U4:U6" si="3">S4-T4</f>
        <v>1</v>
      </c>
    </row>
    <row r="5" spans="1:24" x14ac:dyDescent="0.3">
      <c r="A5" s="1" t="s">
        <v>13</v>
      </c>
      <c r="B5" t="s">
        <v>738</v>
      </c>
      <c r="C5" s="3">
        <v>11</v>
      </c>
      <c r="D5">
        <v>7</v>
      </c>
      <c r="E5">
        <v>3</v>
      </c>
      <c r="F5">
        <v>2</v>
      </c>
      <c r="G5">
        <f t="shared" si="0"/>
        <v>2</v>
      </c>
      <c r="H5">
        <v>8</v>
      </c>
      <c r="I5">
        <v>5</v>
      </c>
      <c r="J5">
        <f t="shared" si="1"/>
        <v>3</v>
      </c>
      <c r="L5" t="s">
        <v>13</v>
      </c>
      <c r="M5" t="s">
        <v>745</v>
      </c>
      <c r="N5" s="3">
        <v>7</v>
      </c>
      <c r="O5">
        <v>6</v>
      </c>
      <c r="P5">
        <v>2</v>
      </c>
      <c r="Q5">
        <v>1</v>
      </c>
      <c r="R5">
        <f t="shared" si="2"/>
        <v>3</v>
      </c>
      <c r="S5">
        <v>7</v>
      </c>
      <c r="T5">
        <v>9</v>
      </c>
      <c r="U5">
        <f t="shared" si="3"/>
        <v>-2</v>
      </c>
    </row>
    <row r="6" spans="1:24" x14ac:dyDescent="0.3">
      <c r="A6" s="1" t="s">
        <v>14</v>
      </c>
      <c r="B6" t="s">
        <v>202</v>
      </c>
      <c r="C6" s="3">
        <v>11</v>
      </c>
      <c r="D6">
        <v>7</v>
      </c>
      <c r="E6">
        <v>3</v>
      </c>
      <c r="F6">
        <v>2</v>
      </c>
      <c r="G6">
        <f t="shared" si="0"/>
        <v>2</v>
      </c>
      <c r="H6">
        <v>6</v>
      </c>
      <c r="I6">
        <v>7</v>
      </c>
      <c r="J6">
        <f t="shared" si="1"/>
        <v>-1</v>
      </c>
      <c r="L6" t="s">
        <v>14</v>
      </c>
      <c r="M6" t="s">
        <v>266</v>
      </c>
      <c r="N6" s="3">
        <v>4</v>
      </c>
      <c r="O6">
        <v>6</v>
      </c>
      <c r="P6">
        <v>1</v>
      </c>
      <c r="Q6">
        <v>1</v>
      </c>
      <c r="R6">
        <f t="shared" si="2"/>
        <v>4</v>
      </c>
      <c r="S6">
        <v>4</v>
      </c>
      <c r="T6">
        <v>8</v>
      </c>
      <c r="U6">
        <f t="shared" si="3"/>
        <v>-4</v>
      </c>
    </row>
    <row r="7" spans="1:24" x14ac:dyDescent="0.3">
      <c r="A7" t="s">
        <v>15</v>
      </c>
      <c r="B7" t="s">
        <v>739</v>
      </c>
      <c r="C7" s="3">
        <v>9</v>
      </c>
      <c r="D7">
        <v>7</v>
      </c>
      <c r="E7">
        <v>2</v>
      </c>
      <c r="F7">
        <v>3</v>
      </c>
      <c r="G7">
        <f t="shared" si="0"/>
        <v>2</v>
      </c>
      <c r="H7">
        <v>9</v>
      </c>
      <c r="I7">
        <v>9</v>
      </c>
      <c r="J7">
        <f t="shared" si="1"/>
        <v>0</v>
      </c>
    </row>
    <row r="8" spans="1:24" x14ac:dyDescent="0.3">
      <c r="A8" t="s">
        <v>16</v>
      </c>
      <c r="B8" t="s">
        <v>740</v>
      </c>
      <c r="C8" s="3">
        <v>7</v>
      </c>
      <c r="D8">
        <v>7</v>
      </c>
      <c r="E8">
        <v>2</v>
      </c>
      <c r="F8">
        <v>1</v>
      </c>
      <c r="G8">
        <f t="shared" si="0"/>
        <v>4</v>
      </c>
      <c r="H8">
        <v>3</v>
      </c>
      <c r="I8">
        <v>10</v>
      </c>
      <c r="J8">
        <f t="shared" si="1"/>
        <v>-7</v>
      </c>
      <c r="L8" t="s">
        <v>19</v>
      </c>
    </row>
    <row r="9" spans="1:24" x14ac:dyDescent="0.3">
      <c r="A9" s="2" t="s">
        <v>17</v>
      </c>
      <c r="B9" t="s">
        <v>741</v>
      </c>
      <c r="C9" s="3">
        <v>6</v>
      </c>
      <c r="D9">
        <v>7</v>
      </c>
      <c r="E9">
        <v>1</v>
      </c>
      <c r="F9">
        <v>3</v>
      </c>
      <c r="G9">
        <f t="shared" si="0"/>
        <v>3</v>
      </c>
      <c r="H9">
        <v>5</v>
      </c>
      <c r="I9">
        <v>8</v>
      </c>
      <c r="J9">
        <f t="shared" si="1"/>
        <v>-3</v>
      </c>
      <c r="L9" t="str">
        <f>M4</f>
        <v>Andirá</v>
      </c>
      <c r="M9" t="s">
        <v>31</v>
      </c>
      <c r="N9" t="str">
        <f>M3</f>
        <v>Plácido de Castro</v>
      </c>
      <c r="P9" t="str">
        <f>M3</f>
        <v>Plácido de Castro</v>
      </c>
      <c r="Q9" t="s">
        <v>746</v>
      </c>
      <c r="R9" t="str">
        <f>M4</f>
        <v>Andirá</v>
      </c>
    </row>
    <row r="10" spans="1:24" x14ac:dyDescent="0.3">
      <c r="A10" s="2" t="s">
        <v>18</v>
      </c>
      <c r="B10" t="s">
        <v>534</v>
      </c>
      <c r="C10" s="3">
        <v>4</v>
      </c>
      <c r="D10">
        <v>7</v>
      </c>
      <c r="E10">
        <v>1</v>
      </c>
      <c r="F10">
        <v>1</v>
      </c>
      <c r="G10">
        <f t="shared" si="0"/>
        <v>5</v>
      </c>
      <c r="H10">
        <v>4</v>
      </c>
      <c r="I10">
        <v>8</v>
      </c>
      <c r="J10">
        <f t="shared" si="1"/>
        <v>-4</v>
      </c>
    </row>
    <row r="12" spans="1:24" x14ac:dyDescent="0.3">
      <c r="A12" t="s">
        <v>49</v>
      </c>
    </row>
    <row r="13" spans="1:24" x14ac:dyDescent="0.3">
      <c r="A13" t="str">
        <f>B6</f>
        <v>Vasco</v>
      </c>
      <c r="B13" t="s">
        <v>73</v>
      </c>
      <c r="C13" t="str">
        <f>B3</f>
        <v>Santa Cruz</v>
      </c>
      <c r="E13" t="str">
        <f>B3</f>
        <v>Santa Cruz</v>
      </c>
      <c r="F13" t="s">
        <v>138</v>
      </c>
      <c r="G13" t="str">
        <f>B6</f>
        <v>Vasco</v>
      </c>
    </row>
    <row r="14" spans="1:24" x14ac:dyDescent="0.3">
      <c r="A14" t="str">
        <f>B5</f>
        <v>Independência</v>
      </c>
      <c r="B14" t="s">
        <v>30</v>
      </c>
      <c r="C14" t="str">
        <f>B4</f>
        <v>Rio Branco</v>
      </c>
      <c r="E14" t="str">
        <f>B4</f>
        <v>Rio Branco</v>
      </c>
      <c r="F14" t="s">
        <v>29</v>
      </c>
      <c r="G14" t="str">
        <f>B5</f>
        <v>Independência</v>
      </c>
    </row>
    <row r="16" spans="1:24" x14ac:dyDescent="0.3">
      <c r="A16" t="s">
        <v>378</v>
      </c>
    </row>
    <row r="17" spans="1:3" x14ac:dyDescent="0.3">
      <c r="A17" t="s">
        <v>151</v>
      </c>
      <c r="B17" t="s">
        <v>196</v>
      </c>
      <c r="C17" t="s">
        <v>202</v>
      </c>
    </row>
    <row r="19" spans="1:3" x14ac:dyDescent="0.3">
      <c r="A19" t="s">
        <v>19</v>
      </c>
    </row>
    <row r="20" spans="1:3" x14ac:dyDescent="0.3">
      <c r="A20" t="s">
        <v>254</v>
      </c>
      <c r="B20" t="s">
        <v>32</v>
      </c>
      <c r="C20" t="s">
        <v>738</v>
      </c>
    </row>
    <row r="22" spans="1:3" x14ac:dyDescent="0.3">
      <c r="A22" t="s">
        <v>113</v>
      </c>
    </row>
    <row r="23" spans="1:3" x14ac:dyDescent="0.3">
      <c r="A23" t="s">
        <v>254</v>
      </c>
    </row>
    <row r="24" spans="1:3" x14ac:dyDescent="0.3">
      <c r="A24" t="s">
        <v>738</v>
      </c>
    </row>
    <row r="26" spans="1:3" x14ac:dyDescent="0.3">
      <c r="A26" t="s">
        <v>114</v>
      </c>
    </row>
    <row r="27" spans="1:3" x14ac:dyDescent="0.3">
      <c r="A27" t="s">
        <v>254</v>
      </c>
    </row>
    <row r="28" spans="1:3" x14ac:dyDescent="0.3">
      <c r="A28" t="s">
        <v>738</v>
      </c>
    </row>
    <row r="29" spans="1:3" x14ac:dyDescent="0.3">
      <c r="A29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BA77-4344-4F85-8125-2D1CB3D6A9F1}">
  <dimension ref="A1:AI27"/>
  <sheetViews>
    <sheetView topLeftCell="M1" workbookViewId="0">
      <selection activeCell="W1" sqref="W1:AF24"/>
    </sheetView>
  </sheetViews>
  <sheetFormatPr defaultRowHeight="14.4" x14ac:dyDescent="0.3"/>
  <sheetData>
    <row r="1" spans="1:35" x14ac:dyDescent="0.3">
      <c r="A1" t="s">
        <v>506</v>
      </c>
      <c r="L1" t="s">
        <v>522</v>
      </c>
      <c r="W1" t="s">
        <v>514</v>
      </c>
      <c r="AH1" t="s">
        <v>50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35</v>
      </c>
      <c r="AH2" t="s">
        <v>508</v>
      </c>
      <c r="AI2">
        <v>1</v>
      </c>
    </row>
    <row r="3" spans="1:35" x14ac:dyDescent="0.3">
      <c r="A3" s="1" t="s">
        <v>11</v>
      </c>
      <c r="B3" t="s">
        <v>507</v>
      </c>
      <c r="C3" s="3">
        <v>16</v>
      </c>
      <c r="D3">
        <v>7</v>
      </c>
      <c r="E3">
        <v>5</v>
      </c>
      <c r="F3">
        <v>1</v>
      </c>
      <c r="G3">
        <f>D3-E3-F3</f>
        <v>1</v>
      </c>
      <c r="H3">
        <v>10</v>
      </c>
      <c r="I3">
        <v>1</v>
      </c>
      <c r="J3">
        <f>H3-I3</f>
        <v>9</v>
      </c>
      <c r="L3" s="1" t="s">
        <v>11</v>
      </c>
      <c r="M3" t="s">
        <v>515</v>
      </c>
      <c r="N3" s="3">
        <v>15</v>
      </c>
      <c r="O3">
        <v>6</v>
      </c>
      <c r="P3">
        <v>5</v>
      </c>
      <c r="Q3">
        <v>0</v>
      </c>
      <c r="R3">
        <f>O3-P3-Q3</f>
        <v>1</v>
      </c>
      <c r="S3">
        <v>9</v>
      </c>
      <c r="T3">
        <v>3</v>
      </c>
      <c r="U3">
        <f>S3-T3</f>
        <v>6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t="s">
        <v>517</v>
      </c>
      <c r="AI3">
        <v>2</v>
      </c>
    </row>
    <row r="4" spans="1:35" x14ac:dyDescent="0.3">
      <c r="A4" s="1" t="s">
        <v>12</v>
      </c>
      <c r="B4" t="s">
        <v>508</v>
      </c>
      <c r="C4" s="3">
        <v>13</v>
      </c>
      <c r="D4">
        <v>7</v>
      </c>
      <c r="E4">
        <v>4</v>
      </c>
      <c r="F4">
        <v>1</v>
      </c>
      <c r="G4">
        <f t="shared" ref="G4:G10" si="0">D4-E4-F4</f>
        <v>2</v>
      </c>
      <c r="H4">
        <v>11</v>
      </c>
      <c r="I4">
        <v>12</v>
      </c>
      <c r="J4">
        <f t="shared" ref="J4:J10" si="1">H4-I4</f>
        <v>-1</v>
      </c>
      <c r="L4" s="1" t="s">
        <v>12</v>
      </c>
      <c r="M4" t="s">
        <v>516</v>
      </c>
      <c r="N4" s="3">
        <v>11</v>
      </c>
      <c r="O4">
        <v>6</v>
      </c>
      <c r="P4">
        <v>3</v>
      </c>
      <c r="Q4">
        <v>2</v>
      </c>
      <c r="R4">
        <f t="shared" ref="R4:R9" si="2">O4-P4-Q4</f>
        <v>1</v>
      </c>
      <c r="S4">
        <v>13</v>
      </c>
      <c r="T4">
        <v>8</v>
      </c>
      <c r="U4">
        <f t="shared" ref="U4:U9" si="3">S4-T4</f>
        <v>5</v>
      </c>
      <c r="W4" s="1" t="s">
        <v>11</v>
      </c>
      <c r="X4" t="s">
        <v>44</v>
      </c>
      <c r="Y4" s="3">
        <v>12</v>
      </c>
      <c r="Z4">
        <v>5</v>
      </c>
      <c r="AA4">
        <v>4</v>
      </c>
      <c r="AB4">
        <v>0</v>
      </c>
      <c r="AC4">
        <f>Z4-AA4-AB4</f>
        <v>1</v>
      </c>
      <c r="AD4">
        <v>8</v>
      </c>
      <c r="AE4">
        <v>5</v>
      </c>
      <c r="AF4">
        <f>AD4-AE4</f>
        <v>3</v>
      </c>
      <c r="AH4" t="s">
        <v>507</v>
      </c>
      <c r="AI4">
        <v>1</v>
      </c>
    </row>
    <row r="5" spans="1:35" x14ac:dyDescent="0.3">
      <c r="A5" s="1" t="s">
        <v>13</v>
      </c>
      <c r="B5" t="s">
        <v>509</v>
      </c>
      <c r="C5" s="3">
        <v>12</v>
      </c>
      <c r="D5">
        <v>7</v>
      </c>
      <c r="E5">
        <v>4</v>
      </c>
      <c r="F5">
        <v>0</v>
      </c>
      <c r="G5">
        <f t="shared" si="0"/>
        <v>3</v>
      </c>
      <c r="H5">
        <v>11</v>
      </c>
      <c r="I5">
        <v>5</v>
      </c>
      <c r="J5">
        <f t="shared" si="1"/>
        <v>6</v>
      </c>
      <c r="L5" s="1" t="s">
        <v>13</v>
      </c>
      <c r="M5" t="s">
        <v>517</v>
      </c>
      <c r="N5" s="3">
        <v>10</v>
      </c>
      <c r="O5">
        <v>6</v>
      </c>
      <c r="P5">
        <v>3</v>
      </c>
      <c r="Q5">
        <v>1</v>
      </c>
      <c r="R5">
        <f t="shared" si="2"/>
        <v>2</v>
      </c>
      <c r="S5">
        <v>8</v>
      </c>
      <c r="T5">
        <v>6</v>
      </c>
      <c r="U5">
        <f t="shared" si="3"/>
        <v>2</v>
      </c>
      <c r="W5" s="1" t="s">
        <v>12</v>
      </c>
      <c r="X5" t="s">
        <v>507</v>
      </c>
      <c r="Y5" s="3">
        <v>10</v>
      </c>
      <c r="Z5">
        <v>5</v>
      </c>
      <c r="AA5">
        <v>3</v>
      </c>
      <c r="AB5">
        <v>1</v>
      </c>
      <c r="AC5">
        <f t="shared" ref="AC5:AC9" si="4">Z5-AA5-AB5</f>
        <v>1</v>
      </c>
      <c r="AD5">
        <v>5</v>
      </c>
      <c r="AE5">
        <v>2</v>
      </c>
      <c r="AF5">
        <f t="shared" ref="AF5:AF9" si="5">AD5-AE5</f>
        <v>3</v>
      </c>
    </row>
    <row r="6" spans="1:35" x14ac:dyDescent="0.3">
      <c r="A6" s="1" t="s">
        <v>14</v>
      </c>
      <c r="B6" t="s">
        <v>510</v>
      </c>
      <c r="C6" s="3">
        <v>11</v>
      </c>
      <c r="D6">
        <v>7</v>
      </c>
      <c r="E6">
        <v>3</v>
      </c>
      <c r="F6">
        <v>2</v>
      </c>
      <c r="G6">
        <f t="shared" si="0"/>
        <v>2</v>
      </c>
      <c r="H6">
        <v>7</v>
      </c>
      <c r="I6">
        <v>6</v>
      </c>
      <c r="J6">
        <f t="shared" si="1"/>
        <v>1</v>
      </c>
      <c r="L6" s="1" t="s">
        <v>14</v>
      </c>
      <c r="M6" t="s">
        <v>518</v>
      </c>
      <c r="N6" s="3">
        <v>7</v>
      </c>
      <c r="O6">
        <v>6</v>
      </c>
      <c r="P6">
        <v>2</v>
      </c>
      <c r="Q6">
        <v>1</v>
      </c>
      <c r="R6">
        <f t="shared" si="2"/>
        <v>3</v>
      </c>
      <c r="S6">
        <v>7</v>
      </c>
      <c r="T6">
        <v>6</v>
      </c>
      <c r="U6">
        <f t="shared" si="3"/>
        <v>1</v>
      </c>
      <c r="W6" t="s">
        <v>13</v>
      </c>
      <c r="X6" t="s">
        <v>518</v>
      </c>
      <c r="Y6" s="3">
        <v>9</v>
      </c>
      <c r="Z6">
        <v>5</v>
      </c>
      <c r="AA6">
        <v>3</v>
      </c>
      <c r="AB6">
        <v>0</v>
      </c>
      <c r="AC6">
        <f t="shared" si="4"/>
        <v>2</v>
      </c>
      <c r="AD6">
        <v>6</v>
      </c>
      <c r="AE6">
        <v>5</v>
      </c>
      <c r="AF6">
        <f t="shared" si="5"/>
        <v>1</v>
      </c>
    </row>
    <row r="7" spans="1:35" x14ac:dyDescent="0.3">
      <c r="A7" t="s">
        <v>15</v>
      </c>
      <c r="B7" t="s">
        <v>511</v>
      </c>
      <c r="C7" s="3">
        <v>8</v>
      </c>
      <c r="D7">
        <v>7</v>
      </c>
      <c r="E7">
        <v>2</v>
      </c>
      <c r="F7">
        <v>2</v>
      </c>
      <c r="G7">
        <f t="shared" si="0"/>
        <v>3</v>
      </c>
      <c r="H7">
        <v>7</v>
      </c>
      <c r="I7">
        <v>9</v>
      </c>
      <c r="J7">
        <f t="shared" si="1"/>
        <v>-2</v>
      </c>
      <c r="L7" t="s">
        <v>15</v>
      </c>
      <c r="M7" t="s">
        <v>519</v>
      </c>
      <c r="N7" s="3">
        <v>7</v>
      </c>
      <c r="O7">
        <v>6</v>
      </c>
      <c r="P7">
        <v>2</v>
      </c>
      <c r="Q7">
        <v>1</v>
      </c>
      <c r="R7">
        <f t="shared" si="2"/>
        <v>3</v>
      </c>
      <c r="S7">
        <v>9</v>
      </c>
      <c r="T7">
        <v>13</v>
      </c>
      <c r="U7">
        <f t="shared" si="3"/>
        <v>-4</v>
      </c>
      <c r="W7" t="s">
        <v>14</v>
      </c>
      <c r="X7" t="s">
        <v>513</v>
      </c>
      <c r="Y7" s="3">
        <v>7</v>
      </c>
      <c r="Z7">
        <v>5</v>
      </c>
      <c r="AA7">
        <v>2</v>
      </c>
      <c r="AB7">
        <v>1</v>
      </c>
      <c r="AC7">
        <f t="shared" si="4"/>
        <v>2</v>
      </c>
      <c r="AD7">
        <v>6</v>
      </c>
      <c r="AE7">
        <v>5</v>
      </c>
      <c r="AF7">
        <f t="shared" si="5"/>
        <v>1</v>
      </c>
    </row>
    <row r="8" spans="1:35" x14ac:dyDescent="0.3">
      <c r="A8" t="s">
        <v>16</v>
      </c>
      <c r="B8" t="s">
        <v>44</v>
      </c>
      <c r="C8" s="3">
        <v>7</v>
      </c>
      <c r="D8">
        <v>7</v>
      </c>
      <c r="E8">
        <v>2</v>
      </c>
      <c r="F8">
        <v>1</v>
      </c>
      <c r="G8">
        <f t="shared" si="0"/>
        <v>4</v>
      </c>
      <c r="H8">
        <v>10</v>
      </c>
      <c r="I8">
        <v>14</v>
      </c>
      <c r="J8">
        <f t="shared" si="1"/>
        <v>-4</v>
      </c>
      <c r="L8" t="s">
        <v>16</v>
      </c>
      <c r="M8" t="s">
        <v>520</v>
      </c>
      <c r="N8" s="3">
        <v>6</v>
      </c>
      <c r="O8">
        <v>6</v>
      </c>
      <c r="P8">
        <v>2</v>
      </c>
      <c r="Q8">
        <v>0</v>
      </c>
      <c r="R8">
        <f t="shared" si="2"/>
        <v>4</v>
      </c>
      <c r="S8">
        <v>7</v>
      </c>
      <c r="T8">
        <v>10</v>
      </c>
      <c r="U8">
        <f t="shared" si="3"/>
        <v>-3</v>
      </c>
      <c r="W8" t="s">
        <v>15</v>
      </c>
      <c r="X8" t="s">
        <v>510</v>
      </c>
      <c r="Y8" s="3">
        <v>3</v>
      </c>
      <c r="Z8">
        <v>5</v>
      </c>
      <c r="AA8">
        <v>1</v>
      </c>
      <c r="AB8">
        <v>0</v>
      </c>
      <c r="AC8">
        <f t="shared" si="4"/>
        <v>4</v>
      </c>
      <c r="AD8">
        <v>3</v>
      </c>
      <c r="AE8">
        <v>7</v>
      </c>
      <c r="AF8">
        <f t="shared" si="5"/>
        <v>-4</v>
      </c>
    </row>
    <row r="9" spans="1:35" x14ac:dyDescent="0.3">
      <c r="A9" t="s">
        <v>17</v>
      </c>
      <c r="B9" t="s">
        <v>512</v>
      </c>
      <c r="C9" s="3">
        <v>7</v>
      </c>
      <c r="D9">
        <v>7</v>
      </c>
      <c r="E9">
        <v>2</v>
      </c>
      <c r="F9">
        <v>1</v>
      </c>
      <c r="G9">
        <f t="shared" si="0"/>
        <v>4</v>
      </c>
      <c r="H9">
        <v>3</v>
      </c>
      <c r="I9">
        <v>8</v>
      </c>
      <c r="J9">
        <f t="shared" si="1"/>
        <v>-5</v>
      </c>
      <c r="L9" t="s">
        <v>17</v>
      </c>
      <c r="M9" t="s">
        <v>521</v>
      </c>
      <c r="N9" s="3">
        <v>4</v>
      </c>
      <c r="O9">
        <v>6</v>
      </c>
      <c r="P9">
        <v>1</v>
      </c>
      <c r="Q9">
        <v>1</v>
      </c>
      <c r="R9">
        <f t="shared" si="2"/>
        <v>4</v>
      </c>
      <c r="S9">
        <v>8</v>
      </c>
      <c r="T9">
        <v>15</v>
      </c>
      <c r="U9">
        <f t="shared" si="3"/>
        <v>-7</v>
      </c>
      <c r="W9" t="s">
        <v>16</v>
      </c>
      <c r="X9" t="s">
        <v>515</v>
      </c>
      <c r="Y9" s="3">
        <v>3</v>
      </c>
      <c r="Z9">
        <v>5</v>
      </c>
      <c r="AA9">
        <v>1</v>
      </c>
      <c r="AB9">
        <v>0</v>
      </c>
      <c r="AC9">
        <f t="shared" si="4"/>
        <v>4</v>
      </c>
      <c r="AD9">
        <v>3</v>
      </c>
      <c r="AE9">
        <v>7</v>
      </c>
      <c r="AF9">
        <f t="shared" si="5"/>
        <v>-4</v>
      </c>
    </row>
    <row r="10" spans="1:35" x14ac:dyDescent="0.3">
      <c r="A10" s="2" t="s">
        <v>18</v>
      </c>
      <c r="B10" t="s">
        <v>513</v>
      </c>
      <c r="C10" s="3">
        <v>5</v>
      </c>
      <c r="D10">
        <v>7</v>
      </c>
      <c r="E10">
        <v>1</v>
      </c>
      <c r="F10">
        <v>2</v>
      </c>
      <c r="G10">
        <f t="shared" si="0"/>
        <v>4</v>
      </c>
      <c r="H10">
        <v>5</v>
      </c>
      <c r="I10">
        <v>9</v>
      </c>
      <c r="J10">
        <f t="shared" si="1"/>
        <v>-4</v>
      </c>
      <c r="N10" s="3"/>
    </row>
    <row r="11" spans="1:35" x14ac:dyDescent="0.3">
      <c r="L11" t="s">
        <v>49</v>
      </c>
      <c r="W11" t="s">
        <v>36</v>
      </c>
    </row>
    <row r="12" spans="1:35" x14ac:dyDescent="0.3">
      <c r="A12" t="s">
        <v>49</v>
      </c>
      <c r="L12" t="str">
        <f>M6</f>
        <v>Dimensão Saúde</v>
      </c>
      <c r="M12" t="s">
        <v>132</v>
      </c>
      <c r="N12" t="str">
        <f>M3</f>
        <v>Desportivo Aliança</v>
      </c>
      <c r="P12" t="str">
        <f>M3</f>
        <v>Desportivo Aliança</v>
      </c>
      <c r="Q12" t="s">
        <v>136</v>
      </c>
      <c r="R12" t="str">
        <f>M6</f>
        <v>Dimensão Saúde</v>
      </c>
      <c r="W12" t="s">
        <v>1</v>
      </c>
      <c r="X12" t="s">
        <v>2</v>
      </c>
      <c r="Y12" t="s">
        <v>3</v>
      </c>
      <c r="Z12" t="s">
        <v>4</v>
      </c>
      <c r="AA12" t="s">
        <v>5</v>
      </c>
      <c r="AB12" t="s">
        <v>6</v>
      </c>
      <c r="AC12" t="s">
        <v>7</v>
      </c>
      <c r="AD12" t="s">
        <v>8</v>
      </c>
      <c r="AE12" t="s">
        <v>9</v>
      </c>
      <c r="AF12" t="s">
        <v>10</v>
      </c>
    </row>
    <row r="13" spans="1:35" x14ac:dyDescent="0.3">
      <c r="A13" t="str">
        <f>B6</f>
        <v>Coruripe</v>
      </c>
      <c r="B13" t="s">
        <v>31</v>
      </c>
      <c r="C13" t="str">
        <f>B3</f>
        <v>CRB</v>
      </c>
      <c r="E13" t="str">
        <f>B3</f>
        <v>CRB</v>
      </c>
      <c r="F13" t="s">
        <v>48</v>
      </c>
      <c r="G13" t="str">
        <f>B6</f>
        <v>Coruripe</v>
      </c>
      <c r="L13" t="str">
        <f>M5</f>
        <v>Jaciobá</v>
      </c>
      <c r="M13" t="s">
        <v>28</v>
      </c>
      <c r="N13" t="str">
        <f>M4</f>
        <v>Miguelense</v>
      </c>
      <c r="P13" t="str">
        <f>M4</f>
        <v>Miguelense</v>
      </c>
      <c r="Q13" t="s">
        <v>73</v>
      </c>
      <c r="R13" t="str">
        <f>M5</f>
        <v>Jaciobá</v>
      </c>
      <c r="W13" s="1" t="s">
        <v>11</v>
      </c>
      <c r="X13" t="s">
        <v>512</v>
      </c>
      <c r="Y13" s="3">
        <v>12</v>
      </c>
      <c r="Z13">
        <v>5</v>
      </c>
      <c r="AA13">
        <v>4</v>
      </c>
      <c r="AB13">
        <v>0</v>
      </c>
      <c r="AC13">
        <f>Z13-AA13-AB13</f>
        <v>1</v>
      </c>
      <c r="AD13">
        <v>6</v>
      </c>
      <c r="AE13">
        <v>3</v>
      </c>
      <c r="AF13">
        <f>AD13-AE13</f>
        <v>3</v>
      </c>
    </row>
    <row r="14" spans="1:35" x14ac:dyDescent="0.3">
      <c r="A14" t="str">
        <f>B5</f>
        <v>ASA</v>
      </c>
      <c r="B14" t="s">
        <v>136</v>
      </c>
      <c r="C14" t="str">
        <f>B4</f>
        <v>Murici</v>
      </c>
      <c r="E14" t="str">
        <f>B4</f>
        <v>Murici</v>
      </c>
      <c r="F14" t="s">
        <v>31</v>
      </c>
      <c r="G14" t="str">
        <f>B5</f>
        <v>ASA</v>
      </c>
      <c r="W14" s="1" t="s">
        <v>12</v>
      </c>
      <c r="X14" t="s">
        <v>520</v>
      </c>
      <c r="Y14" s="3">
        <v>10</v>
      </c>
      <c r="Z14">
        <v>5</v>
      </c>
      <c r="AA14">
        <v>3</v>
      </c>
      <c r="AB14">
        <v>1</v>
      </c>
      <c r="AC14">
        <f t="shared" ref="AC14:AC18" si="6">Z14-AA14-AB14</f>
        <v>1</v>
      </c>
      <c r="AD14">
        <v>5</v>
      </c>
      <c r="AE14">
        <v>2</v>
      </c>
      <c r="AF14">
        <f t="shared" ref="AF14:AF18" si="7">AD14-AE14</f>
        <v>3</v>
      </c>
    </row>
    <row r="15" spans="1:35" x14ac:dyDescent="0.3">
      <c r="L15" t="s">
        <v>19</v>
      </c>
      <c r="W15" t="s">
        <v>13</v>
      </c>
      <c r="X15" t="s">
        <v>511</v>
      </c>
      <c r="Y15" s="3">
        <v>7</v>
      </c>
      <c r="Z15">
        <v>5</v>
      </c>
      <c r="AA15">
        <v>2</v>
      </c>
      <c r="AB15">
        <v>1</v>
      </c>
      <c r="AC15">
        <f t="shared" si="6"/>
        <v>2</v>
      </c>
      <c r="AD15">
        <v>2</v>
      </c>
      <c r="AE15">
        <v>2</v>
      </c>
      <c r="AF15">
        <f t="shared" si="7"/>
        <v>0</v>
      </c>
    </row>
    <row r="16" spans="1:35" x14ac:dyDescent="0.3">
      <c r="A16" t="s">
        <v>19</v>
      </c>
      <c r="L16" t="s">
        <v>518</v>
      </c>
      <c r="M16" t="s">
        <v>30</v>
      </c>
      <c r="N16" t="s">
        <v>517</v>
      </c>
      <c r="P16" t="s">
        <v>517</v>
      </c>
      <c r="Q16" t="s">
        <v>30</v>
      </c>
      <c r="R16" t="s">
        <v>518</v>
      </c>
      <c r="W16" t="s">
        <v>14</v>
      </c>
      <c r="X16" t="s">
        <v>509</v>
      </c>
      <c r="Y16" s="3">
        <v>6</v>
      </c>
      <c r="Z16">
        <v>5</v>
      </c>
      <c r="AA16">
        <v>2</v>
      </c>
      <c r="AB16">
        <v>0</v>
      </c>
      <c r="AC16">
        <f t="shared" si="6"/>
        <v>3</v>
      </c>
      <c r="AD16">
        <v>4</v>
      </c>
      <c r="AE16">
        <v>5</v>
      </c>
      <c r="AF16">
        <f t="shared" si="7"/>
        <v>-1</v>
      </c>
    </row>
    <row r="17" spans="1:32" x14ac:dyDescent="0.3">
      <c r="A17" t="s">
        <v>508</v>
      </c>
      <c r="B17" t="s">
        <v>30</v>
      </c>
      <c r="C17" t="s">
        <v>507</v>
      </c>
      <c r="E17" t="s">
        <v>507</v>
      </c>
      <c r="F17" t="s">
        <v>135</v>
      </c>
      <c r="G17" t="s">
        <v>508</v>
      </c>
      <c r="W17" t="s">
        <v>15</v>
      </c>
      <c r="X17" t="s">
        <v>508</v>
      </c>
      <c r="Y17" s="3">
        <v>5</v>
      </c>
      <c r="Z17">
        <v>5</v>
      </c>
      <c r="AA17">
        <v>1</v>
      </c>
      <c r="AB17">
        <v>2</v>
      </c>
      <c r="AC17">
        <f t="shared" si="6"/>
        <v>2</v>
      </c>
      <c r="AD17">
        <v>3</v>
      </c>
      <c r="AE17">
        <v>4</v>
      </c>
      <c r="AF17">
        <f t="shared" si="7"/>
        <v>-1</v>
      </c>
    </row>
    <row r="18" spans="1:32" x14ac:dyDescent="0.3">
      <c r="W18" t="s">
        <v>16</v>
      </c>
      <c r="X18" t="s">
        <v>516</v>
      </c>
      <c r="Y18" s="3">
        <v>3</v>
      </c>
      <c r="Z18">
        <v>5</v>
      </c>
      <c r="AA18">
        <v>1</v>
      </c>
      <c r="AB18">
        <v>0</v>
      </c>
      <c r="AC18">
        <f t="shared" si="6"/>
        <v>4</v>
      </c>
      <c r="AD18">
        <v>2</v>
      </c>
      <c r="AE18">
        <v>6</v>
      </c>
      <c r="AF18">
        <f t="shared" si="7"/>
        <v>-4</v>
      </c>
    </row>
    <row r="19" spans="1:32" x14ac:dyDescent="0.3">
      <c r="A19" t="s">
        <v>113</v>
      </c>
    </row>
    <row r="20" spans="1:32" x14ac:dyDescent="0.3">
      <c r="A20" t="s">
        <v>508</v>
      </c>
      <c r="W20" t="s">
        <v>49</v>
      </c>
    </row>
    <row r="21" spans="1:32" x14ac:dyDescent="0.3">
      <c r="A21" t="s">
        <v>510</v>
      </c>
      <c r="W21" t="str">
        <f>X4</f>
        <v>Cruzeiro</v>
      </c>
      <c r="X21" t="s">
        <v>132</v>
      </c>
      <c r="Y21" t="str">
        <f>X14</f>
        <v>Zumbi</v>
      </c>
    </row>
    <row r="22" spans="1:32" x14ac:dyDescent="0.3">
      <c r="W22" t="str">
        <f>X13</f>
        <v>CSE</v>
      </c>
      <c r="X22" t="s">
        <v>73</v>
      </c>
      <c r="Y22" t="str">
        <f>X5</f>
        <v>CRB</v>
      </c>
    </row>
    <row r="23" spans="1:32" x14ac:dyDescent="0.3">
      <c r="A23" t="s">
        <v>114</v>
      </c>
    </row>
    <row r="24" spans="1:32" x14ac:dyDescent="0.3">
      <c r="A24" t="s">
        <v>508</v>
      </c>
      <c r="W24" t="s">
        <v>19</v>
      </c>
    </row>
    <row r="25" spans="1:32" x14ac:dyDescent="0.3">
      <c r="A25" t="s">
        <v>507</v>
      </c>
      <c r="W25" t="s">
        <v>44</v>
      </c>
      <c r="X25" t="s">
        <v>73</v>
      </c>
      <c r="Y25" t="s">
        <v>507</v>
      </c>
    </row>
    <row r="26" spans="1:32" x14ac:dyDescent="0.3">
      <c r="A26" t="s">
        <v>510</v>
      </c>
    </row>
    <row r="27" spans="1:32" x14ac:dyDescent="0.3">
      <c r="A2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D8F1-CE99-46F7-AD88-03530B032A5A}">
  <dimension ref="A1:AB64"/>
  <sheetViews>
    <sheetView topLeftCell="G1" workbookViewId="0">
      <selection activeCell="N14" sqref="N14"/>
    </sheetView>
  </sheetViews>
  <sheetFormatPr defaultRowHeight="14.4" x14ac:dyDescent="0.3"/>
  <sheetData>
    <row r="1" spans="1:28" x14ac:dyDescent="0.3">
      <c r="A1" t="s">
        <v>570</v>
      </c>
      <c r="L1" t="s">
        <v>581</v>
      </c>
      <c r="P1" t="s">
        <v>582</v>
      </c>
      <c r="AA1" t="s">
        <v>50</v>
      </c>
    </row>
    <row r="2" spans="1:28" x14ac:dyDescent="0.3">
      <c r="A2" t="s">
        <v>571</v>
      </c>
      <c r="L2" s="1" t="s">
        <v>11</v>
      </c>
      <c r="M2" t="s">
        <v>575</v>
      </c>
      <c r="P2" t="s">
        <v>35</v>
      </c>
      <c r="AA2" t="s">
        <v>575</v>
      </c>
      <c r="AB2">
        <v>1</v>
      </c>
    </row>
    <row r="3" spans="1:28" x14ac:dyDescent="0.3">
      <c r="A3" t="s">
        <v>35</v>
      </c>
      <c r="L3" t="s">
        <v>12</v>
      </c>
      <c r="M3" t="s">
        <v>574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AA3" t="s">
        <v>583</v>
      </c>
      <c r="AB3">
        <v>1</v>
      </c>
    </row>
    <row r="4" spans="1:2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L4" t="s">
        <v>13</v>
      </c>
      <c r="M4" t="s">
        <v>528</v>
      </c>
      <c r="P4" s="1" t="s">
        <v>11</v>
      </c>
      <c r="Q4" t="s">
        <v>583</v>
      </c>
      <c r="R4" s="3">
        <v>10</v>
      </c>
      <c r="S4">
        <v>4</v>
      </c>
      <c r="T4">
        <v>3</v>
      </c>
      <c r="U4">
        <v>1</v>
      </c>
      <c r="V4">
        <f>S4-T4-U4</f>
        <v>0</v>
      </c>
      <c r="W4">
        <v>6</v>
      </c>
      <c r="X4">
        <v>1</v>
      </c>
      <c r="Y4">
        <f>W4-X4</f>
        <v>5</v>
      </c>
    </row>
    <row r="5" spans="1:28" x14ac:dyDescent="0.3">
      <c r="A5" s="1" t="s">
        <v>11</v>
      </c>
      <c r="B5" t="s">
        <v>575</v>
      </c>
      <c r="C5" s="3">
        <v>8</v>
      </c>
      <c r="D5">
        <v>4</v>
      </c>
      <c r="E5">
        <v>2</v>
      </c>
      <c r="F5">
        <v>2</v>
      </c>
      <c r="G5">
        <f>D5-E5-F5</f>
        <v>0</v>
      </c>
      <c r="H5">
        <v>5</v>
      </c>
      <c r="I5">
        <v>2</v>
      </c>
      <c r="J5">
        <f>H5-I5</f>
        <v>3</v>
      </c>
      <c r="L5" t="s">
        <v>14</v>
      </c>
      <c r="M5" t="s">
        <v>576</v>
      </c>
      <c r="P5" s="1" t="s">
        <v>12</v>
      </c>
      <c r="Q5" t="s">
        <v>584</v>
      </c>
      <c r="R5" s="3">
        <v>9</v>
      </c>
      <c r="S5">
        <v>4</v>
      </c>
      <c r="T5">
        <v>3</v>
      </c>
      <c r="U5">
        <v>0</v>
      </c>
      <c r="V5">
        <f>S5-T5-U5</f>
        <v>1</v>
      </c>
      <c r="W5">
        <v>5</v>
      </c>
      <c r="X5">
        <v>3</v>
      </c>
      <c r="Y5">
        <f>W5-X5</f>
        <v>2</v>
      </c>
    </row>
    <row r="6" spans="1:28" x14ac:dyDescent="0.3">
      <c r="A6" s="4" t="s">
        <v>12</v>
      </c>
      <c r="B6" t="s">
        <v>574</v>
      </c>
      <c r="C6" s="3">
        <v>7</v>
      </c>
      <c r="D6">
        <v>4</v>
      </c>
      <c r="E6">
        <v>2</v>
      </c>
      <c r="F6">
        <v>1</v>
      </c>
      <c r="G6">
        <f>D6-E6-F6</f>
        <v>1</v>
      </c>
      <c r="H6">
        <v>6</v>
      </c>
      <c r="I6">
        <v>4</v>
      </c>
      <c r="J6">
        <f>H6-I6</f>
        <v>2</v>
      </c>
      <c r="L6" t="s">
        <v>15</v>
      </c>
      <c r="M6" t="s">
        <v>169</v>
      </c>
      <c r="P6" t="s">
        <v>13</v>
      </c>
      <c r="Q6" t="s">
        <v>585</v>
      </c>
      <c r="R6" s="3">
        <v>5</v>
      </c>
      <c r="S6">
        <v>4</v>
      </c>
      <c r="T6">
        <v>1</v>
      </c>
      <c r="U6">
        <v>2</v>
      </c>
      <c r="V6">
        <f>S6-T6-U6</f>
        <v>1</v>
      </c>
      <c r="W6">
        <v>4</v>
      </c>
      <c r="X6">
        <v>3</v>
      </c>
      <c r="Y6">
        <f>W6-X6</f>
        <v>1</v>
      </c>
    </row>
    <row r="7" spans="1:28" x14ac:dyDescent="0.3">
      <c r="A7" s="4" t="s">
        <v>13</v>
      </c>
      <c r="B7" t="s">
        <v>576</v>
      </c>
      <c r="C7" s="3">
        <v>5</v>
      </c>
      <c r="D7">
        <v>4</v>
      </c>
      <c r="E7">
        <v>1</v>
      </c>
      <c r="F7">
        <v>2</v>
      </c>
      <c r="G7">
        <f>D7-E7-F7</f>
        <v>1</v>
      </c>
      <c r="H7">
        <v>7</v>
      </c>
      <c r="I7">
        <v>6</v>
      </c>
      <c r="J7">
        <f>H7-I7</f>
        <v>1</v>
      </c>
      <c r="L7" t="s">
        <v>16</v>
      </c>
      <c r="M7" t="s">
        <v>573</v>
      </c>
      <c r="P7" t="s">
        <v>14</v>
      </c>
      <c r="Q7" t="s">
        <v>586</v>
      </c>
      <c r="R7" s="3">
        <v>3</v>
      </c>
      <c r="S7">
        <v>4</v>
      </c>
      <c r="T7">
        <v>1</v>
      </c>
      <c r="U7">
        <v>0</v>
      </c>
      <c r="V7">
        <f>S7-T7-U7</f>
        <v>3</v>
      </c>
      <c r="W7">
        <v>2</v>
      </c>
      <c r="X7">
        <v>6</v>
      </c>
      <c r="Y7">
        <f>W7-X7</f>
        <v>-4</v>
      </c>
    </row>
    <row r="8" spans="1:28" x14ac:dyDescent="0.3">
      <c r="A8" t="s">
        <v>14</v>
      </c>
      <c r="B8" t="s">
        <v>573</v>
      </c>
      <c r="C8" s="3">
        <v>5</v>
      </c>
      <c r="D8">
        <v>4</v>
      </c>
      <c r="E8">
        <v>1</v>
      </c>
      <c r="F8">
        <v>2</v>
      </c>
      <c r="G8">
        <f>D8-E8-F8</f>
        <v>1</v>
      </c>
      <c r="H8">
        <v>2</v>
      </c>
      <c r="I8">
        <v>3</v>
      </c>
      <c r="J8">
        <f>H8-I8</f>
        <v>-1</v>
      </c>
      <c r="L8" t="s">
        <v>17</v>
      </c>
      <c r="M8" t="s">
        <v>577</v>
      </c>
      <c r="P8" t="s">
        <v>15</v>
      </c>
      <c r="Q8" t="s">
        <v>587</v>
      </c>
      <c r="R8" s="3">
        <v>1</v>
      </c>
      <c r="S8">
        <v>4</v>
      </c>
      <c r="T8">
        <v>0</v>
      </c>
      <c r="U8">
        <v>1</v>
      </c>
      <c r="V8">
        <f>S8-T8-U8</f>
        <v>3</v>
      </c>
      <c r="W8">
        <v>2</v>
      </c>
      <c r="X8">
        <v>6</v>
      </c>
      <c r="Y8">
        <f>W8-X8</f>
        <v>-4</v>
      </c>
    </row>
    <row r="9" spans="1:28" x14ac:dyDescent="0.3">
      <c r="L9" s="2" t="s">
        <v>18</v>
      </c>
      <c r="M9" t="s">
        <v>578</v>
      </c>
    </row>
    <row r="10" spans="1:28" x14ac:dyDescent="0.3">
      <c r="A10" t="s">
        <v>36</v>
      </c>
      <c r="P10" t="s">
        <v>36</v>
      </c>
    </row>
    <row r="11" spans="1:28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P11" t="s">
        <v>1</v>
      </c>
      <c r="Q11" t="s">
        <v>2</v>
      </c>
      <c r="R11" t="s">
        <v>3</v>
      </c>
      <c r="S11" t="s">
        <v>4</v>
      </c>
      <c r="T11" t="s">
        <v>5</v>
      </c>
      <c r="U11" t="s">
        <v>6</v>
      </c>
      <c r="V11" t="s">
        <v>7</v>
      </c>
      <c r="W11" t="s">
        <v>8</v>
      </c>
      <c r="X11" t="s">
        <v>9</v>
      </c>
      <c r="Y11" t="s">
        <v>10</v>
      </c>
    </row>
    <row r="12" spans="1:28" x14ac:dyDescent="0.3">
      <c r="A12" s="1" t="s">
        <v>11</v>
      </c>
      <c r="B12" t="s">
        <v>528</v>
      </c>
      <c r="C12" s="3">
        <v>6</v>
      </c>
      <c r="D12">
        <v>4</v>
      </c>
      <c r="E12">
        <v>2</v>
      </c>
      <c r="F12">
        <v>0</v>
      </c>
      <c r="G12">
        <f>D12-E12-F12</f>
        <v>2</v>
      </c>
      <c r="H12">
        <v>5</v>
      </c>
      <c r="I12">
        <v>4</v>
      </c>
      <c r="J12">
        <f>H12-I12</f>
        <v>1</v>
      </c>
      <c r="P12" s="1" t="s">
        <v>11</v>
      </c>
      <c r="Q12" t="s">
        <v>588</v>
      </c>
      <c r="R12" s="3">
        <v>12</v>
      </c>
      <c r="S12">
        <v>5</v>
      </c>
      <c r="T12">
        <v>4</v>
      </c>
      <c r="U12">
        <v>0</v>
      </c>
      <c r="V12">
        <f>S12-T12-U12</f>
        <v>1</v>
      </c>
      <c r="W12">
        <v>7</v>
      </c>
      <c r="X12">
        <v>3</v>
      </c>
      <c r="Y12">
        <f t="shared" ref="Y12:Y17" si="0">W12-X12</f>
        <v>4</v>
      </c>
    </row>
    <row r="13" spans="1:28" x14ac:dyDescent="0.3">
      <c r="A13" s="4" t="s">
        <v>12</v>
      </c>
      <c r="B13" t="s">
        <v>169</v>
      </c>
      <c r="C13" s="3">
        <v>5</v>
      </c>
      <c r="D13">
        <v>4</v>
      </c>
      <c r="E13">
        <v>1</v>
      </c>
      <c r="F13">
        <v>2</v>
      </c>
      <c r="G13">
        <f>D13-E13-F13</f>
        <v>1</v>
      </c>
      <c r="H13">
        <v>4</v>
      </c>
      <c r="I13">
        <v>5</v>
      </c>
      <c r="J13">
        <f>H13-I13</f>
        <v>-1</v>
      </c>
      <c r="P13" s="1" t="s">
        <v>12</v>
      </c>
      <c r="Q13" t="s">
        <v>589</v>
      </c>
      <c r="R13" s="3">
        <v>9</v>
      </c>
      <c r="S13">
        <v>5</v>
      </c>
      <c r="T13">
        <v>3</v>
      </c>
      <c r="U13">
        <v>0</v>
      </c>
      <c r="V13">
        <f>S13-T13-U13</f>
        <v>2</v>
      </c>
      <c r="W13">
        <v>9</v>
      </c>
      <c r="X13">
        <v>7</v>
      </c>
      <c r="Y13">
        <f t="shared" si="0"/>
        <v>2</v>
      </c>
    </row>
    <row r="14" spans="1:28" x14ac:dyDescent="0.3">
      <c r="A14" s="4" t="s">
        <v>13</v>
      </c>
      <c r="B14" t="s">
        <v>577</v>
      </c>
      <c r="C14" s="3">
        <v>3</v>
      </c>
      <c r="D14">
        <v>4</v>
      </c>
      <c r="E14">
        <v>0</v>
      </c>
      <c r="F14">
        <v>3</v>
      </c>
      <c r="G14">
        <f>D14-E14-F14</f>
        <v>1</v>
      </c>
      <c r="H14">
        <v>4</v>
      </c>
      <c r="I14">
        <v>5</v>
      </c>
      <c r="J14">
        <f>H14-I14</f>
        <v>-1</v>
      </c>
      <c r="P14" t="s">
        <v>13</v>
      </c>
      <c r="Q14" t="s">
        <v>349</v>
      </c>
      <c r="R14" s="3">
        <v>7</v>
      </c>
      <c r="S14">
        <v>5</v>
      </c>
      <c r="T14">
        <v>2</v>
      </c>
      <c r="U14">
        <v>1</v>
      </c>
      <c r="V14">
        <f>S14-T14-U14</f>
        <v>2</v>
      </c>
      <c r="W14">
        <v>7</v>
      </c>
      <c r="X14">
        <v>7</v>
      </c>
      <c r="Y14">
        <f t="shared" si="0"/>
        <v>0</v>
      </c>
    </row>
    <row r="15" spans="1:28" x14ac:dyDescent="0.3">
      <c r="A15" t="s">
        <v>14</v>
      </c>
      <c r="B15" t="s">
        <v>578</v>
      </c>
      <c r="C15" s="3">
        <v>2</v>
      </c>
      <c r="D15">
        <v>4</v>
      </c>
      <c r="E15">
        <v>0</v>
      </c>
      <c r="F15">
        <v>2</v>
      </c>
      <c r="G15">
        <f>D15-E15-F15</f>
        <v>2</v>
      </c>
      <c r="H15">
        <v>2</v>
      </c>
      <c r="I15">
        <v>6</v>
      </c>
      <c r="J15">
        <f>H15-I15</f>
        <v>-4</v>
      </c>
      <c r="P15" t="s">
        <v>14</v>
      </c>
      <c r="Q15" t="s">
        <v>590</v>
      </c>
      <c r="R15" s="3">
        <v>6</v>
      </c>
      <c r="S15">
        <v>5</v>
      </c>
      <c r="T15">
        <v>2</v>
      </c>
      <c r="U15">
        <v>0</v>
      </c>
      <c r="V15">
        <f>S15-T15-U15</f>
        <v>3</v>
      </c>
      <c r="W15">
        <v>5</v>
      </c>
      <c r="X15">
        <v>6</v>
      </c>
      <c r="Y15">
        <f t="shared" si="0"/>
        <v>-1</v>
      </c>
    </row>
    <row r="16" spans="1:28" x14ac:dyDescent="0.3">
      <c r="P16" t="s">
        <v>15</v>
      </c>
      <c r="Q16" t="s">
        <v>591</v>
      </c>
      <c r="R16" s="3">
        <v>5</v>
      </c>
      <c r="S16">
        <v>5</v>
      </c>
      <c r="T16">
        <v>1</v>
      </c>
      <c r="U16">
        <v>2</v>
      </c>
      <c r="V16">
        <f>S16-T16-U16</f>
        <v>2</v>
      </c>
      <c r="W16">
        <v>10</v>
      </c>
      <c r="X16">
        <v>11</v>
      </c>
      <c r="Y16">
        <f t="shared" si="0"/>
        <v>-1</v>
      </c>
    </row>
    <row r="17" spans="1:25" x14ac:dyDescent="0.3">
      <c r="A17" t="s">
        <v>78</v>
      </c>
      <c r="P17" t="s">
        <v>16</v>
      </c>
      <c r="Q17" t="s">
        <v>592</v>
      </c>
      <c r="R17" s="3">
        <v>4</v>
      </c>
      <c r="S17">
        <v>5</v>
      </c>
      <c r="T17">
        <v>1</v>
      </c>
      <c r="U17">
        <v>1</v>
      </c>
      <c r="V17">
        <f t="shared" ref="V17" si="1">S17-T17-U17</f>
        <v>3</v>
      </c>
      <c r="W17">
        <v>7</v>
      </c>
      <c r="X17">
        <v>11</v>
      </c>
      <c r="Y17">
        <f t="shared" si="0"/>
        <v>-4</v>
      </c>
    </row>
    <row r="18" spans="1:25" x14ac:dyDescent="0.3">
      <c r="A18" t="str">
        <f>B6</f>
        <v>Itacoatiara</v>
      </c>
      <c r="B18" t="s">
        <v>75</v>
      </c>
      <c r="C18" t="str">
        <f>B7</f>
        <v>Parintins</v>
      </c>
    </row>
    <row r="19" spans="1:25" x14ac:dyDescent="0.3">
      <c r="A19" t="str">
        <f>B13</f>
        <v>Nacional</v>
      </c>
      <c r="B19" t="s">
        <v>138</v>
      </c>
      <c r="C19" t="str">
        <f>B14</f>
        <v>Manaus</v>
      </c>
      <c r="P19" t="s">
        <v>49</v>
      </c>
    </row>
    <row r="20" spans="1:25" x14ac:dyDescent="0.3">
      <c r="P20" t="str">
        <f>Q4</f>
        <v>Penarol</v>
      </c>
      <c r="Q20" t="s">
        <v>31</v>
      </c>
      <c r="R20" t="str">
        <f>Q13</f>
        <v>Fast Clube</v>
      </c>
    </row>
    <row r="21" spans="1:25" x14ac:dyDescent="0.3">
      <c r="A21" t="s">
        <v>49</v>
      </c>
      <c r="P21" t="str">
        <f>Q12</f>
        <v>Clipper</v>
      </c>
      <c r="Q21" t="s">
        <v>593</v>
      </c>
      <c r="R21" t="str">
        <f>Q5</f>
        <v>RB do Norte</v>
      </c>
    </row>
    <row r="22" spans="1:25" x14ac:dyDescent="0.3">
      <c r="A22" t="str">
        <f>B5</f>
        <v>Manauara</v>
      </c>
      <c r="B22" t="s">
        <v>579</v>
      </c>
      <c r="C22" t="s">
        <v>574</v>
      </c>
    </row>
    <row r="23" spans="1:25" x14ac:dyDescent="0.3">
      <c r="A23" t="str">
        <f>B12</f>
        <v>São Raimundo</v>
      </c>
      <c r="B23" t="s">
        <v>209</v>
      </c>
      <c r="C23" t="s">
        <v>169</v>
      </c>
      <c r="P23" t="s">
        <v>19</v>
      </c>
    </row>
    <row r="24" spans="1:25" x14ac:dyDescent="0.3">
      <c r="P24" t="s">
        <v>583</v>
      </c>
      <c r="Q24" t="s">
        <v>30</v>
      </c>
      <c r="R24" t="s">
        <v>584</v>
      </c>
    </row>
    <row r="25" spans="1:25" x14ac:dyDescent="0.3">
      <c r="A25" t="s">
        <v>19</v>
      </c>
    </row>
    <row r="26" spans="1:25" x14ac:dyDescent="0.3">
      <c r="A26" t="s">
        <v>575</v>
      </c>
      <c r="B26" t="s">
        <v>31</v>
      </c>
      <c r="C26" t="s">
        <v>169</v>
      </c>
    </row>
    <row r="28" spans="1:25" x14ac:dyDescent="0.3">
      <c r="A28" t="s">
        <v>572</v>
      </c>
    </row>
    <row r="29" spans="1:25" x14ac:dyDescent="0.3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</row>
    <row r="30" spans="1:25" x14ac:dyDescent="0.3">
      <c r="A30" s="1" t="s">
        <v>11</v>
      </c>
      <c r="B30" t="s">
        <v>574</v>
      </c>
      <c r="C30" s="3">
        <v>6</v>
      </c>
      <c r="D30">
        <v>3</v>
      </c>
      <c r="E30">
        <v>2</v>
      </c>
      <c r="F30">
        <v>0</v>
      </c>
      <c r="G30">
        <f>D30-E30-F30</f>
        <v>1</v>
      </c>
      <c r="H30">
        <v>4</v>
      </c>
      <c r="I30">
        <v>3</v>
      </c>
      <c r="J30">
        <f>H30-I30</f>
        <v>1</v>
      </c>
    </row>
    <row r="31" spans="1:25" x14ac:dyDescent="0.3">
      <c r="A31" s="4" t="s">
        <v>12</v>
      </c>
      <c r="B31" t="s">
        <v>575</v>
      </c>
      <c r="C31" s="3">
        <v>5</v>
      </c>
      <c r="D31">
        <v>3</v>
      </c>
      <c r="E31">
        <v>1</v>
      </c>
      <c r="F31">
        <v>2</v>
      </c>
      <c r="G31">
        <f>D31-E31-F31</f>
        <v>0</v>
      </c>
      <c r="H31">
        <v>6</v>
      </c>
      <c r="I31">
        <v>4</v>
      </c>
      <c r="J31">
        <f>H31-I31</f>
        <v>2</v>
      </c>
    </row>
    <row r="32" spans="1:25" x14ac:dyDescent="0.3">
      <c r="A32" s="4" t="s">
        <v>13</v>
      </c>
      <c r="B32" t="s">
        <v>576</v>
      </c>
      <c r="C32" s="3">
        <v>4</v>
      </c>
      <c r="D32">
        <v>3</v>
      </c>
      <c r="E32">
        <v>1</v>
      </c>
      <c r="F32">
        <v>1</v>
      </c>
      <c r="G32">
        <f>D32-E32-F32</f>
        <v>1</v>
      </c>
      <c r="H32">
        <v>6</v>
      </c>
      <c r="I32">
        <v>6</v>
      </c>
      <c r="J32">
        <f>H32-I32</f>
        <v>0</v>
      </c>
    </row>
    <row r="33" spans="1:10" x14ac:dyDescent="0.3">
      <c r="A33" t="s">
        <v>14</v>
      </c>
      <c r="B33" t="s">
        <v>573</v>
      </c>
      <c r="C33" s="3">
        <v>1</v>
      </c>
      <c r="D33">
        <v>3</v>
      </c>
      <c r="E33">
        <v>0</v>
      </c>
      <c r="F33">
        <v>1</v>
      </c>
      <c r="G33">
        <f>D33-E33-F33</f>
        <v>2</v>
      </c>
      <c r="H33">
        <v>2</v>
      </c>
      <c r="I33">
        <v>5</v>
      </c>
      <c r="J33">
        <f>H33-I33</f>
        <v>-3</v>
      </c>
    </row>
    <row r="35" spans="1:10" x14ac:dyDescent="0.3">
      <c r="A35" t="s">
        <v>36</v>
      </c>
    </row>
    <row r="36" spans="1:10" x14ac:dyDescent="0.3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  <c r="J36" t="s">
        <v>10</v>
      </c>
    </row>
    <row r="37" spans="1:10" x14ac:dyDescent="0.3">
      <c r="A37" s="1" t="s">
        <v>11</v>
      </c>
      <c r="B37" t="s">
        <v>528</v>
      </c>
      <c r="C37" s="3">
        <v>7</v>
      </c>
      <c r="D37">
        <v>3</v>
      </c>
      <c r="E37">
        <v>2</v>
      </c>
      <c r="F37">
        <v>1</v>
      </c>
      <c r="G37">
        <f>D37-E37-F37</f>
        <v>0</v>
      </c>
      <c r="H37">
        <v>5</v>
      </c>
      <c r="I37">
        <v>3</v>
      </c>
      <c r="J37">
        <f>H37-I37</f>
        <v>2</v>
      </c>
    </row>
    <row r="38" spans="1:10" x14ac:dyDescent="0.3">
      <c r="A38" s="4" t="s">
        <v>12</v>
      </c>
      <c r="B38" t="s">
        <v>169</v>
      </c>
      <c r="C38" s="3">
        <v>4</v>
      </c>
      <c r="D38">
        <v>3</v>
      </c>
      <c r="E38">
        <v>1</v>
      </c>
      <c r="F38">
        <v>1</v>
      </c>
      <c r="G38">
        <f>D38-E38-F38</f>
        <v>1</v>
      </c>
      <c r="H38">
        <v>4</v>
      </c>
      <c r="I38">
        <v>3</v>
      </c>
      <c r="J38">
        <f>H38-I38</f>
        <v>1</v>
      </c>
    </row>
    <row r="39" spans="1:10" x14ac:dyDescent="0.3">
      <c r="A39" s="4" t="s">
        <v>13</v>
      </c>
      <c r="B39" t="s">
        <v>578</v>
      </c>
      <c r="C39" s="3">
        <v>2</v>
      </c>
      <c r="D39">
        <v>3</v>
      </c>
      <c r="E39">
        <v>0</v>
      </c>
      <c r="F39">
        <v>2</v>
      </c>
      <c r="G39">
        <f>D39-E39-F39</f>
        <v>1</v>
      </c>
      <c r="H39">
        <v>5</v>
      </c>
      <c r="I39">
        <v>6</v>
      </c>
      <c r="J39">
        <f>H39-I39</f>
        <v>-1</v>
      </c>
    </row>
    <row r="40" spans="1:10" x14ac:dyDescent="0.3">
      <c r="A40" t="s">
        <v>14</v>
      </c>
      <c r="B40" t="s">
        <v>577</v>
      </c>
      <c r="C40" s="3">
        <v>2</v>
      </c>
      <c r="D40">
        <v>3</v>
      </c>
      <c r="E40">
        <v>0</v>
      </c>
      <c r="F40">
        <v>2</v>
      </c>
      <c r="G40">
        <f>D40-E40-F40</f>
        <v>1</v>
      </c>
      <c r="H40">
        <v>0</v>
      </c>
      <c r="I40">
        <v>2</v>
      </c>
      <c r="J40">
        <f>H40-I40</f>
        <v>-2</v>
      </c>
    </row>
    <row r="42" spans="1:10" x14ac:dyDescent="0.3">
      <c r="A42" t="s">
        <v>78</v>
      </c>
    </row>
    <row r="43" spans="1:10" x14ac:dyDescent="0.3">
      <c r="A43" t="str">
        <f>B31</f>
        <v>Manauara</v>
      </c>
      <c r="B43" t="s">
        <v>30</v>
      </c>
      <c r="C43" t="str">
        <f>B39</f>
        <v>Princesa</v>
      </c>
    </row>
    <row r="44" spans="1:10" x14ac:dyDescent="0.3">
      <c r="A44" t="str">
        <f>B38</f>
        <v>Nacional</v>
      </c>
      <c r="B44" t="s">
        <v>30</v>
      </c>
      <c r="C44" t="str">
        <f>B32</f>
        <v>Parintins</v>
      </c>
    </row>
    <row r="46" spans="1:10" x14ac:dyDescent="0.3">
      <c r="A46" t="s">
        <v>49</v>
      </c>
    </row>
    <row r="47" spans="1:10" x14ac:dyDescent="0.3">
      <c r="A47" t="str">
        <f>B30</f>
        <v>Itacoatiara</v>
      </c>
      <c r="B47" t="s">
        <v>48</v>
      </c>
      <c r="C47" t="s">
        <v>169</v>
      </c>
    </row>
    <row r="48" spans="1:10" x14ac:dyDescent="0.3">
      <c r="A48" t="str">
        <f>B37</f>
        <v>São Raimundo</v>
      </c>
      <c r="B48" t="s">
        <v>31</v>
      </c>
      <c r="C48" t="s">
        <v>575</v>
      </c>
    </row>
    <row r="50" spans="1:3" x14ac:dyDescent="0.3">
      <c r="A50" t="s">
        <v>19</v>
      </c>
    </row>
    <row r="51" spans="1:3" x14ac:dyDescent="0.3">
      <c r="A51" t="s">
        <v>528</v>
      </c>
      <c r="B51" t="s">
        <v>33</v>
      </c>
      <c r="C51" t="s">
        <v>574</v>
      </c>
    </row>
    <row r="53" spans="1:3" x14ac:dyDescent="0.3">
      <c r="A53" t="s">
        <v>580</v>
      </c>
    </row>
    <row r="54" spans="1:3" x14ac:dyDescent="0.3">
      <c r="A54" t="s">
        <v>574</v>
      </c>
      <c r="B54" t="s">
        <v>405</v>
      </c>
      <c r="C54" t="s">
        <v>575</v>
      </c>
    </row>
    <row r="56" spans="1:3" x14ac:dyDescent="0.3">
      <c r="A56" t="s">
        <v>113</v>
      </c>
    </row>
    <row r="57" spans="1:3" x14ac:dyDescent="0.3">
      <c r="A57" t="s">
        <v>575</v>
      </c>
    </row>
    <row r="58" spans="1:3" x14ac:dyDescent="0.3">
      <c r="A58" t="s">
        <v>574</v>
      </c>
    </row>
    <row r="60" spans="1:3" x14ac:dyDescent="0.3">
      <c r="A60" t="s">
        <v>114</v>
      </c>
    </row>
    <row r="61" spans="1:3" x14ac:dyDescent="0.3">
      <c r="A61" t="s">
        <v>575</v>
      </c>
    </row>
    <row r="62" spans="1:3" x14ac:dyDescent="0.3">
      <c r="A62" t="s">
        <v>574</v>
      </c>
    </row>
    <row r="63" spans="1:3" x14ac:dyDescent="0.3">
      <c r="A63" t="s">
        <v>528</v>
      </c>
    </row>
    <row r="64" spans="1:3" x14ac:dyDescent="0.3">
      <c r="A64" t="s">
        <v>576</v>
      </c>
    </row>
  </sheetData>
  <sortState xmlns:xlrd2="http://schemas.microsoft.com/office/spreadsheetml/2017/richdata2" ref="B37:J40">
    <sortCondition descending="1" ref="C37:C40"/>
    <sortCondition descending="1" ref="J37:J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8A6D-9286-43E7-A424-F55FCDCDE10D}">
  <dimension ref="A1:X26"/>
  <sheetViews>
    <sheetView workbookViewId="0">
      <selection activeCell="M8" sqref="M8"/>
    </sheetView>
  </sheetViews>
  <sheetFormatPr defaultRowHeight="14.4" x14ac:dyDescent="0.3"/>
  <sheetData>
    <row r="1" spans="1:24" x14ac:dyDescent="0.3">
      <c r="A1" t="s">
        <v>0</v>
      </c>
      <c r="L1" t="s">
        <v>34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35</v>
      </c>
      <c r="W2" t="s">
        <v>23</v>
      </c>
      <c r="X2">
        <v>11</v>
      </c>
    </row>
    <row r="3" spans="1:24" x14ac:dyDescent="0.3">
      <c r="A3" s="1" t="s">
        <v>11</v>
      </c>
      <c r="B3" t="s">
        <v>20</v>
      </c>
      <c r="C3" s="3">
        <v>18</v>
      </c>
      <c r="D3">
        <v>7</v>
      </c>
      <c r="E3">
        <v>6</v>
      </c>
      <c r="F3">
        <v>0</v>
      </c>
      <c r="G3">
        <f>D3-E3-F3</f>
        <v>1</v>
      </c>
      <c r="H3">
        <v>15</v>
      </c>
      <c r="I3">
        <v>6</v>
      </c>
      <c r="J3">
        <f>H3-I3</f>
        <v>9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47</v>
      </c>
      <c r="X3">
        <v>1</v>
      </c>
    </row>
    <row r="4" spans="1:24" x14ac:dyDescent="0.3">
      <c r="A4" s="1" t="s">
        <v>12</v>
      </c>
      <c r="B4" t="s">
        <v>21</v>
      </c>
      <c r="C4" s="3">
        <v>14</v>
      </c>
      <c r="D4">
        <v>7</v>
      </c>
      <c r="E4">
        <v>4</v>
      </c>
      <c r="F4">
        <v>2</v>
      </c>
      <c r="G4">
        <f t="shared" ref="G4:G10" si="0">D4-E4-F4</f>
        <v>1</v>
      </c>
      <c r="H4">
        <v>11</v>
      </c>
      <c r="I4">
        <v>7</v>
      </c>
      <c r="J4">
        <f t="shared" ref="J4:J10" si="1">H4-I4</f>
        <v>4</v>
      </c>
      <c r="L4" s="1" t="s">
        <v>11</v>
      </c>
      <c r="M4" t="s">
        <v>40</v>
      </c>
      <c r="N4" s="3">
        <v>10</v>
      </c>
      <c r="O4">
        <v>6</v>
      </c>
      <c r="P4">
        <v>3</v>
      </c>
      <c r="Q4">
        <v>1</v>
      </c>
      <c r="R4">
        <f>O4-P4-Q4</f>
        <v>2</v>
      </c>
      <c r="S4">
        <v>7</v>
      </c>
      <c r="T4">
        <v>3</v>
      </c>
      <c r="U4">
        <f>S4-T4</f>
        <v>4</v>
      </c>
    </row>
    <row r="5" spans="1:24" x14ac:dyDescent="0.3">
      <c r="A5" s="1" t="s">
        <v>13</v>
      </c>
      <c r="B5" t="s">
        <v>22</v>
      </c>
      <c r="C5" s="3">
        <v>13</v>
      </c>
      <c r="D5">
        <v>7</v>
      </c>
      <c r="E5">
        <v>4</v>
      </c>
      <c r="F5">
        <v>1</v>
      </c>
      <c r="G5">
        <f t="shared" si="0"/>
        <v>2</v>
      </c>
      <c r="H5">
        <v>14</v>
      </c>
      <c r="I5">
        <v>12</v>
      </c>
      <c r="J5">
        <f t="shared" si="1"/>
        <v>2</v>
      </c>
      <c r="L5" s="1" t="s">
        <v>12</v>
      </c>
      <c r="M5" t="s">
        <v>39</v>
      </c>
      <c r="N5" s="3">
        <v>10</v>
      </c>
      <c r="O5">
        <v>6</v>
      </c>
      <c r="P5">
        <v>3</v>
      </c>
      <c r="Q5">
        <v>1</v>
      </c>
      <c r="R5">
        <f>O5-P5-Q5</f>
        <v>2</v>
      </c>
      <c r="S5">
        <v>6</v>
      </c>
      <c r="T5">
        <v>5</v>
      </c>
      <c r="U5">
        <f>S5-T5</f>
        <v>1</v>
      </c>
    </row>
    <row r="6" spans="1:24" x14ac:dyDescent="0.3">
      <c r="A6" s="1" t="s">
        <v>14</v>
      </c>
      <c r="B6" t="s">
        <v>23</v>
      </c>
      <c r="C6" s="3">
        <v>11</v>
      </c>
      <c r="D6">
        <v>7</v>
      </c>
      <c r="E6">
        <v>3</v>
      </c>
      <c r="F6">
        <v>2</v>
      </c>
      <c r="G6">
        <f t="shared" si="0"/>
        <v>2</v>
      </c>
      <c r="H6">
        <v>8</v>
      </c>
      <c r="I6">
        <v>5</v>
      </c>
      <c r="J6">
        <f t="shared" si="1"/>
        <v>3</v>
      </c>
      <c r="L6" t="s">
        <v>13</v>
      </c>
      <c r="M6" t="s">
        <v>37</v>
      </c>
      <c r="N6" s="3">
        <v>8</v>
      </c>
      <c r="O6">
        <v>6</v>
      </c>
      <c r="P6">
        <v>2</v>
      </c>
      <c r="Q6">
        <v>2</v>
      </c>
      <c r="R6">
        <f>O6-P6-Q6</f>
        <v>2</v>
      </c>
      <c r="S6">
        <v>7</v>
      </c>
      <c r="T6">
        <v>6</v>
      </c>
      <c r="U6">
        <f>S6-T6</f>
        <v>1</v>
      </c>
    </row>
    <row r="7" spans="1:24" x14ac:dyDescent="0.3">
      <c r="A7" t="s">
        <v>15</v>
      </c>
      <c r="B7" t="s">
        <v>24</v>
      </c>
      <c r="C7" s="3">
        <v>9</v>
      </c>
      <c r="D7">
        <v>7</v>
      </c>
      <c r="E7">
        <v>3</v>
      </c>
      <c r="F7">
        <v>0</v>
      </c>
      <c r="G7">
        <f t="shared" si="0"/>
        <v>4</v>
      </c>
      <c r="H7">
        <v>10</v>
      </c>
      <c r="I7">
        <v>13</v>
      </c>
      <c r="J7">
        <f t="shared" si="1"/>
        <v>-3</v>
      </c>
      <c r="L7" t="s">
        <v>14</v>
      </c>
      <c r="M7" t="s">
        <v>781</v>
      </c>
      <c r="N7" s="3">
        <v>7</v>
      </c>
      <c r="O7">
        <v>6</v>
      </c>
      <c r="P7">
        <v>2</v>
      </c>
      <c r="Q7">
        <v>1</v>
      </c>
      <c r="R7">
        <f>O7-P7-Q7</f>
        <v>3</v>
      </c>
      <c r="S7">
        <v>4</v>
      </c>
      <c r="T7">
        <v>5</v>
      </c>
      <c r="U7">
        <f>S7-T7</f>
        <v>-1</v>
      </c>
    </row>
    <row r="8" spans="1:24" x14ac:dyDescent="0.3">
      <c r="A8" t="s">
        <v>16</v>
      </c>
      <c r="B8" t="s">
        <v>25</v>
      </c>
      <c r="C8" s="3">
        <v>6</v>
      </c>
      <c r="D8">
        <v>7</v>
      </c>
      <c r="E8">
        <v>2</v>
      </c>
      <c r="F8">
        <v>0</v>
      </c>
      <c r="G8">
        <f t="shared" si="0"/>
        <v>5</v>
      </c>
      <c r="H8">
        <v>11</v>
      </c>
      <c r="I8">
        <v>15</v>
      </c>
      <c r="J8">
        <f t="shared" si="1"/>
        <v>-4</v>
      </c>
      <c r="L8" t="s">
        <v>15</v>
      </c>
      <c r="M8" t="s">
        <v>38</v>
      </c>
      <c r="N8" s="3">
        <v>3</v>
      </c>
      <c r="O8">
        <v>6</v>
      </c>
      <c r="P8">
        <v>0</v>
      </c>
      <c r="Q8">
        <v>3</v>
      </c>
      <c r="R8">
        <f>O8-P8-Q8</f>
        <v>3</v>
      </c>
      <c r="S8">
        <v>2</v>
      </c>
      <c r="T8">
        <v>6</v>
      </c>
      <c r="U8">
        <f>S8-T8</f>
        <v>-4</v>
      </c>
    </row>
    <row r="9" spans="1:24" x14ac:dyDescent="0.3">
      <c r="A9" s="2" t="s">
        <v>17</v>
      </c>
      <c r="B9" t="s">
        <v>26</v>
      </c>
      <c r="C9" s="3">
        <v>6</v>
      </c>
      <c r="D9">
        <v>7</v>
      </c>
      <c r="E9">
        <v>2</v>
      </c>
      <c r="F9">
        <v>0</v>
      </c>
      <c r="G9">
        <f t="shared" si="0"/>
        <v>5</v>
      </c>
      <c r="H9">
        <v>8</v>
      </c>
      <c r="I9">
        <v>13</v>
      </c>
      <c r="J9">
        <f t="shared" si="1"/>
        <v>-5</v>
      </c>
    </row>
    <row r="10" spans="1:24" x14ac:dyDescent="0.3">
      <c r="A10" s="2" t="s">
        <v>18</v>
      </c>
      <c r="B10" t="s">
        <v>27</v>
      </c>
      <c r="C10" s="3">
        <v>4</v>
      </c>
      <c r="D10">
        <v>7</v>
      </c>
      <c r="E10">
        <v>1</v>
      </c>
      <c r="F10">
        <v>1</v>
      </c>
      <c r="G10">
        <f t="shared" si="0"/>
        <v>5</v>
      </c>
      <c r="H10">
        <v>5</v>
      </c>
      <c r="I10">
        <v>11</v>
      </c>
      <c r="J10">
        <f t="shared" si="1"/>
        <v>-6</v>
      </c>
      <c r="L10" t="s">
        <v>36</v>
      </c>
    </row>
    <row r="11" spans="1:24" x14ac:dyDescent="0.3"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</row>
    <row r="12" spans="1:24" x14ac:dyDescent="0.3">
      <c r="A12" t="s">
        <v>49</v>
      </c>
      <c r="L12" s="1" t="s">
        <v>11</v>
      </c>
      <c r="M12" t="s">
        <v>47</v>
      </c>
      <c r="N12" s="3">
        <v>10</v>
      </c>
      <c r="O12">
        <v>5</v>
      </c>
      <c r="P12">
        <v>3</v>
      </c>
      <c r="Q12">
        <v>1</v>
      </c>
      <c r="R12">
        <f t="shared" ref="R12:R17" si="2">O12-P12-Q12</f>
        <v>1</v>
      </c>
      <c r="S12">
        <v>5</v>
      </c>
      <c r="T12">
        <v>2</v>
      </c>
      <c r="U12">
        <f t="shared" ref="U12:U17" si="3">S12-T12</f>
        <v>3</v>
      </c>
    </row>
    <row r="13" spans="1:24" x14ac:dyDescent="0.3">
      <c r="A13" t="str">
        <f>B6</f>
        <v>Ypiranga</v>
      </c>
      <c r="B13" t="s">
        <v>28</v>
      </c>
      <c r="C13" t="str">
        <f>B3</f>
        <v>Oratório</v>
      </c>
      <c r="E13" t="str">
        <f>B3</f>
        <v>Oratório</v>
      </c>
      <c r="F13" t="s">
        <v>29</v>
      </c>
      <c r="G13" t="str">
        <f>B6</f>
        <v>Ypiranga</v>
      </c>
      <c r="L13" s="1" t="s">
        <v>12</v>
      </c>
      <c r="M13" t="s">
        <v>44</v>
      </c>
      <c r="N13" s="3">
        <v>10</v>
      </c>
      <c r="O13">
        <v>5</v>
      </c>
      <c r="P13">
        <v>3</v>
      </c>
      <c r="Q13">
        <v>1</v>
      </c>
      <c r="R13">
        <f t="shared" si="2"/>
        <v>1</v>
      </c>
      <c r="S13">
        <v>4</v>
      </c>
      <c r="T13">
        <v>2</v>
      </c>
      <c r="U13">
        <f t="shared" si="3"/>
        <v>2</v>
      </c>
    </row>
    <row r="14" spans="1:24" x14ac:dyDescent="0.3">
      <c r="A14" t="str">
        <f>B5</f>
        <v>Macapá</v>
      </c>
      <c r="B14" t="s">
        <v>30</v>
      </c>
      <c r="C14" t="str">
        <f>B4</f>
        <v>Trem</v>
      </c>
      <c r="E14" t="str">
        <f>B4</f>
        <v>Trem</v>
      </c>
      <c r="F14" t="s">
        <v>31</v>
      </c>
      <c r="G14" t="str">
        <f>B5</f>
        <v>Macapá</v>
      </c>
      <c r="L14" t="s">
        <v>13</v>
      </c>
      <c r="M14" t="s">
        <v>43</v>
      </c>
      <c r="N14" s="3">
        <v>8</v>
      </c>
      <c r="O14">
        <v>5</v>
      </c>
      <c r="P14">
        <v>2</v>
      </c>
      <c r="Q14">
        <v>2</v>
      </c>
      <c r="R14">
        <f t="shared" si="2"/>
        <v>1</v>
      </c>
      <c r="S14">
        <v>7</v>
      </c>
      <c r="T14">
        <v>3</v>
      </c>
      <c r="U14">
        <f t="shared" si="3"/>
        <v>4</v>
      </c>
    </row>
    <row r="15" spans="1:24" x14ac:dyDescent="0.3">
      <c r="L15" t="s">
        <v>14</v>
      </c>
      <c r="M15" t="s">
        <v>42</v>
      </c>
      <c r="N15" s="3">
        <v>6</v>
      </c>
      <c r="O15">
        <v>5</v>
      </c>
      <c r="P15">
        <v>2</v>
      </c>
      <c r="Q15">
        <v>0</v>
      </c>
      <c r="R15">
        <f t="shared" si="2"/>
        <v>3</v>
      </c>
      <c r="S15">
        <v>3</v>
      </c>
      <c r="T15">
        <v>5</v>
      </c>
      <c r="U15">
        <f t="shared" si="3"/>
        <v>-2</v>
      </c>
    </row>
    <row r="16" spans="1:24" x14ac:dyDescent="0.3">
      <c r="A16" t="s">
        <v>19</v>
      </c>
      <c r="L16" t="s">
        <v>15</v>
      </c>
      <c r="M16" t="s">
        <v>45</v>
      </c>
      <c r="N16" s="3">
        <v>5</v>
      </c>
      <c r="O16">
        <v>5</v>
      </c>
      <c r="P16">
        <v>1</v>
      </c>
      <c r="Q16">
        <v>2</v>
      </c>
      <c r="R16">
        <f t="shared" si="2"/>
        <v>2</v>
      </c>
      <c r="S16">
        <v>3</v>
      </c>
      <c r="T16">
        <v>7</v>
      </c>
      <c r="U16">
        <f t="shared" si="3"/>
        <v>-4</v>
      </c>
    </row>
    <row r="17" spans="1:21" x14ac:dyDescent="0.3">
      <c r="A17" t="s">
        <v>23</v>
      </c>
      <c r="B17" t="s">
        <v>32</v>
      </c>
      <c r="C17" t="s">
        <v>21</v>
      </c>
      <c r="E17" t="s">
        <v>21</v>
      </c>
      <c r="F17" t="s">
        <v>33</v>
      </c>
      <c r="G17" t="s">
        <v>23</v>
      </c>
      <c r="L17" t="s">
        <v>16</v>
      </c>
      <c r="M17" t="s">
        <v>46</v>
      </c>
      <c r="N17" s="3">
        <v>5</v>
      </c>
      <c r="O17">
        <v>5</v>
      </c>
      <c r="P17">
        <v>1</v>
      </c>
      <c r="Q17">
        <v>2</v>
      </c>
      <c r="R17">
        <f t="shared" si="2"/>
        <v>2</v>
      </c>
      <c r="S17">
        <v>3</v>
      </c>
      <c r="T17">
        <v>7</v>
      </c>
      <c r="U17">
        <f t="shared" si="3"/>
        <v>-4</v>
      </c>
    </row>
    <row r="19" spans="1:21" x14ac:dyDescent="0.3">
      <c r="A19" t="s">
        <v>113</v>
      </c>
      <c r="L19" t="s">
        <v>49</v>
      </c>
    </row>
    <row r="20" spans="1:21" x14ac:dyDescent="0.3">
      <c r="A20" t="s">
        <v>23</v>
      </c>
      <c r="L20" t="str">
        <f>M4</f>
        <v>Latitude Zero</v>
      </c>
      <c r="M20" t="s">
        <v>32</v>
      </c>
      <c r="N20" t="str">
        <f>M5</f>
        <v>Lagoa</v>
      </c>
    </row>
    <row r="21" spans="1:21" x14ac:dyDescent="0.3">
      <c r="A21" t="s">
        <v>21</v>
      </c>
      <c r="L21" t="str">
        <f>M12</f>
        <v>Mazagão</v>
      </c>
      <c r="M21" t="s">
        <v>48</v>
      </c>
      <c r="N21" t="str">
        <f>M13</f>
        <v>Cruzeiro</v>
      </c>
    </row>
    <row r="23" spans="1:21" x14ac:dyDescent="0.3">
      <c r="A23" t="s">
        <v>114</v>
      </c>
      <c r="L23" t="s">
        <v>19</v>
      </c>
    </row>
    <row r="24" spans="1:21" x14ac:dyDescent="0.3">
      <c r="A24" t="s">
        <v>23</v>
      </c>
      <c r="L24" t="s">
        <v>47</v>
      </c>
      <c r="M24" t="s">
        <v>30</v>
      </c>
      <c r="N24" t="s">
        <v>40</v>
      </c>
    </row>
    <row r="25" spans="1:21" x14ac:dyDescent="0.3">
      <c r="A25" t="s">
        <v>21</v>
      </c>
    </row>
    <row r="26" spans="1:21" x14ac:dyDescent="0.3">
      <c r="A26" t="s">
        <v>20</v>
      </c>
    </row>
  </sheetData>
  <sortState xmlns:xlrd2="http://schemas.microsoft.com/office/spreadsheetml/2017/richdata2" ref="M12:U17">
    <sortCondition descending="1" ref="N12:N17"/>
    <sortCondition descending="1" ref="U12:U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71F6-C177-4572-BE84-00D40EC155F7}">
  <dimension ref="A1:X30"/>
  <sheetViews>
    <sheetView workbookViewId="0">
      <selection sqref="A1:J18"/>
    </sheetView>
  </sheetViews>
  <sheetFormatPr defaultRowHeight="14.4" x14ac:dyDescent="0.3"/>
  <sheetData>
    <row r="1" spans="1:24" x14ac:dyDescent="0.3">
      <c r="A1" t="s">
        <v>470</v>
      </c>
      <c r="L1" t="s">
        <v>479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471</v>
      </c>
      <c r="X2">
        <v>1</v>
      </c>
    </row>
    <row r="3" spans="1:24" x14ac:dyDescent="0.3">
      <c r="A3" s="1" t="s">
        <v>11</v>
      </c>
      <c r="B3" t="s">
        <v>468</v>
      </c>
      <c r="C3" s="3">
        <v>16</v>
      </c>
      <c r="D3">
        <v>9</v>
      </c>
      <c r="E3">
        <v>5</v>
      </c>
      <c r="F3">
        <v>1</v>
      </c>
      <c r="G3">
        <f>D3-E3-F3</f>
        <v>3</v>
      </c>
      <c r="H3">
        <v>9</v>
      </c>
      <c r="I3">
        <v>5</v>
      </c>
      <c r="J3">
        <f>H3-I3</f>
        <v>4</v>
      </c>
      <c r="L3" s="1" t="s">
        <v>11</v>
      </c>
      <c r="M3" t="s">
        <v>23</v>
      </c>
      <c r="N3" s="3">
        <v>18</v>
      </c>
      <c r="O3">
        <v>7</v>
      </c>
      <c r="P3">
        <v>6</v>
      </c>
      <c r="Q3">
        <v>0</v>
      </c>
      <c r="R3">
        <f>O3-P3-Q3</f>
        <v>1</v>
      </c>
      <c r="S3">
        <v>15</v>
      </c>
      <c r="T3">
        <v>3</v>
      </c>
      <c r="U3">
        <f>S3-T3</f>
        <v>12</v>
      </c>
      <c r="W3" t="s">
        <v>23</v>
      </c>
      <c r="X3">
        <v>3</v>
      </c>
    </row>
    <row r="4" spans="1:24" x14ac:dyDescent="0.3">
      <c r="A4" s="1" t="s">
        <v>12</v>
      </c>
      <c r="B4" t="s">
        <v>471</v>
      </c>
      <c r="C4" s="3">
        <v>15</v>
      </c>
      <c r="D4">
        <v>9</v>
      </c>
      <c r="E4">
        <v>5</v>
      </c>
      <c r="F4">
        <v>0</v>
      </c>
      <c r="G4">
        <f t="shared" ref="G4:G12" si="0">D4-E4-F4</f>
        <v>4</v>
      </c>
      <c r="H4">
        <v>13</v>
      </c>
      <c r="I4">
        <v>9</v>
      </c>
      <c r="J4">
        <f t="shared" ref="J4:J12" si="1">H4-I4</f>
        <v>4</v>
      </c>
      <c r="L4" s="1" t="s">
        <v>12</v>
      </c>
      <c r="M4" t="s">
        <v>200</v>
      </c>
      <c r="N4" s="3">
        <v>15</v>
      </c>
      <c r="O4">
        <v>7</v>
      </c>
      <c r="P4">
        <v>5</v>
      </c>
      <c r="Q4">
        <v>0</v>
      </c>
      <c r="R4">
        <f t="shared" ref="R4:R10" si="2">O4-P4-Q4</f>
        <v>2</v>
      </c>
      <c r="S4">
        <v>12</v>
      </c>
      <c r="T4">
        <v>8</v>
      </c>
      <c r="U4">
        <f t="shared" ref="U4:U10" si="3">S4-T4</f>
        <v>4</v>
      </c>
    </row>
    <row r="5" spans="1:24" x14ac:dyDescent="0.3">
      <c r="A5" s="1" t="s">
        <v>13</v>
      </c>
      <c r="B5" t="s">
        <v>266</v>
      </c>
      <c r="C5" s="3">
        <v>15</v>
      </c>
      <c r="D5">
        <v>9</v>
      </c>
      <c r="E5">
        <v>4</v>
      </c>
      <c r="F5">
        <v>3</v>
      </c>
      <c r="G5">
        <f t="shared" si="0"/>
        <v>2</v>
      </c>
      <c r="H5">
        <v>7</v>
      </c>
      <c r="I5">
        <v>5</v>
      </c>
      <c r="J5">
        <f t="shared" si="1"/>
        <v>2</v>
      </c>
      <c r="L5" s="1" t="s">
        <v>13</v>
      </c>
      <c r="M5" t="s">
        <v>480</v>
      </c>
      <c r="N5" s="3">
        <v>12</v>
      </c>
      <c r="O5">
        <v>7</v>
      </c>
      <c r="P5">
        <v>4</v>
      </c>
      <c r="Q5">
        <v>0</v>
      </c>
      <c r="R5">
        <f t="shared" si="2"/>
        <v>3</v>
      </c>
      <c r="S5">
        <v>9</v>
      </c>
      <c r="T5">
        <v>6</v>
      </c>
      <c r="U5">
        <f t="shared" si="3"/>
        <v>3</v>
      </c>
    </row>
    <row r="6" spans="1:24" x14ac:dyDescent="0.3">
      <c r="A6" s="1" t="s">
        <v>14</v>
      </c>
      <c r="B6" t="s">
        <v>472</v>
      </c>
      <c r="C6" s="3">
        <v>14</v>
      </c>
      <c r="D6">
        <v>9</v>
      </c>
      <c r="E6">
        <v>4</v>
      </c>
      <c r="F6">
        <v>2</v>
      </c>
      <c r="G6">
        <f t="shared" si="0"/>
        <v>3</v>
      </c>
      <c r="H6">
        <v>8</v>
      </c>
      <c r="I6">
        <v>5</v>
      </c>
      <c r="J6">
        <f t="shared" si="1"/>
        <v>3</v>
      </c>
      <c r="L6" s="1" t="s">
        <v>14</v>
      </c>
      <c r="M6" t="s">
        <v>481</v>
      </c>
      <c r="N6" s="3">
        <v>10</v>
      </c>
      <c r="O6">
        <v>7</v>
      </c>
      <c r="P6">
        <v>3</v>
      </c>
      <c r="Q6">
        <v>1</v>
      </c>
      <c r="R6">
        <f t="shared" si="2"/>
        <v>3</v>
      </c>
      <c r="S6">
        <v>6</v>
      </c>
      <c r="T6">
        <v>7</v>
      </c>
      <c r="U6">
        <f t="shared" si="3"/>
        <v>-1</v>
      </c>
    </row>
    <row r="7" spans="1:24" x14ac:dyDescent="0.3">
      <c r="A7" t="s">
        <v>15</v>
      </c>
      <c r="B7" t="s">
        <v>473</v>
      </c>
      <c r="C7" s="3">
        <v>14</v>
      </c>
      <c r="D7">
        <v>9</v>
      </c>
      <c r="E7">
        <v>4</v>
      </c>
      <c r="F7">
        <v>2</v>
      </c>
      <c r="G7">
        <f t="shared" si="0"/>
        <v>3</v>
      </c>
      <c r="H7">
        <v>9</v>
      </c>
      <c r="I7">
        <v>7</v>
      </c>
      <c r="J7">
        <f t="shared" si="1"/>
        <v>2</v>
      </c>
      <c r="L7" t="s">
        <v>15</v>
      </c>
      <c r="M7" t="s">
        <v>482</v>
      </c>
      <c r="N7" s="3">
        <v>9</v>
      </c>
      <c r="O7">
        <v>7</v>
      </c>
      <c r="P7">
        <v>3</v>
      </c>
      <c r="Q7">
        <v>0</v>
      </c>
      <c r="R7">
        <f t="shared" si="2"/>
        <v>4</v>
      </c>
      <c r="S7">
        <v>7</v>
      </c>
      <c r="T7">
        <v>8</v>
      </c>
      <c r="U7">
        <f t="shared" si="3"/>
        <v>-1</v>
      </c>
    </row>
    <row r="8" spans="1:24" x14ac:dyDescent="0.3">
      <c r="A8" t="s">
        <v>16</v>
      </c>
      <c r="B8" t="s">
        <v>474</v>
      </c>
      <c r="C8" s="3">
        <v>11</v>
      </c>
      <c r="D8">
        <v>9</v>
      </c>
      <c r="E8">
        <v>3</v>
      </c>
      <c r="F8">
        <v>2</v>
      </c>
      <c r="G8">
        <f t="shared" si="0"/>
        <v>4</v>
      </c>
      <c r="H8">
        <v>8</v>
      </c>
      <c r="I8">
        <v>11</v>
      </c>
      <c r="J8">
        <f t="shared" si="1"/>
        <v>-3</v>
      </c>
      <c r="L8" t="s">
        <v>16</v>
      </c>
      <c r="M8" t="s">
        <v>483</v>
      </c>
      <c r="N8" s="3">
        <v>7</v>
      </c>
      <c r="O8">
        <v>7</v>
      </c>
      <c r="P8">
        <v>2</v>
      </c>
      <c r="Q8">
        <v>1</v>
      </c>
      <c r="R8">
        <f t="shared" si="2"/>
        <v>4</v>
      </c>
      <c r="S8">
        <v>10</v>
      </c>
      <c r="T8">
        <v>13</v>
      </c>
      <c r="U8">
        <f t="shared" si="3"/>
        <v>-3</v>
      </c>
    </row>
    <row r="9" spans="1:24" x14ac:dyDescent="0.3">
      <c r="A9" t="s">
        <v>17</v>
      </c>
      <c r="B9" t="s">
        <v>475</v>
      </c>
      <c r="C9" s="3">
        <v>11</v>
      </c>
      <c r="D9">
        <v>9</v>
      </c>
      <c r="E9">
        <v>2</v>
      </c>
      <c r="F9">
        <v>5</v>
      </c>
      <c r="G9">
        <f>D9-E9-F9</f>
        <v>2</v>
      </c>
      <c r="H9">
        <v>8</v>
      </c>
      <c r="I9">
        <v>8</v>
      </c>
      <c r="J9">
        <f t="shared" si="1"/>
        <v>0</v>
      </c>
      <c r="L9" t="s">
        <v>17</v>
      </c>
      <c r="M9" t="s">
        <v>484</v>
      </c>
      <c r="N9" s="3">
        <v>6</v>
      </c>
      <c r="O9">
        <v>7</v>
      </c>
      <c r="P9">
        <v>2</v>
      </c>
      <c r="Q9">
        <v>0</v>
      </c>
      <c r="R9">
        <f>O9-P9-Q9</f>
        <v>5</v>
      </c>
      <c r="S9">
        <v>10</v>
      </c>
      <c r="T9">
        <v>17</v>
      </c>
      <c r="U9">
        <f t="shared" si="3"/>
        <v>-7</v>
      </c>
    </row>
    <row r="10" spans="1:24" x14ac:dyDescent="0.3">
      <c r="A10" t="s">
        <v>18</v>
      </c>
      <c r="B10" t="s">
        <v>476</v>
      </c>
      <c r="C10" s="3">
        <v>10</v>
      </c>
      <c r="D10">
        <v>9</v>
      </c>
      <c r="E10">
        <v>3</v>
      </c>
      <c r="F10">
        <v>1</v>
      </c>
      <c r="G10">
        <f t="shared" si="0"/>
        <v>5</v>
      </c>
      <c r="H10">
        <v>6</v>
      </c>
      <c r="I10">
        <v>9</v>
      </c>
      <c r="J10">
        <f t="shared" si="1"/>
        <v>-3</v>
      </c>
      <c r="L10" t="s">
        <v>18</v>
      </c>
      <c r="M10" t="s">
        <v>485</v>
      </c>
      <c r="N10" s="3">
        <v>6</v>
      </c>
      <c r="O10">
        <v>7</v>
      </c>
      <c r="P10">
        <v>2</v>
      </c>
      <c r="Q10">
        <v>0</v>
      </c>
      <c r="R10">
        <f t="shared" si="2"/>
        <v>5</v>
      </c>
      <c r="S10">
        <v>6</v>
      </c>
      <c r="T10">
        <v>13</v>
      </c>
      <c r="U10">
        <f t="shared" si="3"/>
        <v>-7</v>
      </c>
    </row>
    <row r="11" spans="1:24" x14ac:dyDescent="0.3">
      <c r="A11" s="2" t="s">
        <v>55</v>
      </c>
      <c r="B11" t="s">
        <v>241</v>
      </c>
      <c r="C11" s="3">
        <v>10</v>
      </c>
      <c r="D11">
        <v>9</v>
      </c>
      <c r="E11">
        <v>3</v>
      </c>
      <c r="F11">
        <v>1</v>
      </c>
      <c r="G11">
        <f t="shared" si="0"/>
        <v>5</v>
      </c>
      <c r="H11">
        <v>7</v>
      </c>
      <c r="I11">
        <v>11</v>
      </c>
      <c r="J11">
        <f t="shared" si="1"/>
        <v>-4</v>
      </c>
    </row>
    <row r="12" spans="1:24" x14ac:dyDescent="0.3">
      <c r="A12" s="2" t="s">
        <v>56</v>
      </c>
      <c r="B12" t="s">
        <v>477</v>
      </c>
      <c r="C12" s="3">
        <v>9</v>
      </c>
      <c r="D12">
        <v>9</v>
      </c>
      <c r="E12">
        <v>2</v>
      </c>
      <c r="F12">
        <v>3</v>
      </c>
      <c r="G12">
        <f t="shared" si="0"/>
        <v>4</v>
      </c>
      <c r="H12">
        <v>7</v>
      </c>
      <c r="I12">
        <v>12</v>
      </c>
      <c r="J12">
        <f t="shared" si="1"/>
        <v>-5</v>
      </c>
      <c r="L12" t="s">
        <v>49</v>
      </c>
    </row>
    <row r="13" spans="1:24" x14ac:dyDescent="0.3">
      <c r="L13" t="str">
        <f>M6</f>
        <v>Jacobina</v>
      </c>
      <c r="M13" t="s">
        <v>32</v>
      </c>
      <c r="N13" t="str">
        <f>M3</f>
        <v>Ypiranga</v>
      </c>
      <c r="P13" t="str">
        <f>M3</f>
        <v>Ypiranga</v>
      </c>
      <c r="Q13" t="s">
        <v>375</v>
      </c>
      <c r="R13" t="str">
        <f>M6</f>
        <v>Jacobina</v>
      </c>
    </row>
    <row r="14" spans="1:24" x14ac:dyDescent="0.3">
      <c r="A14" t="s">
        <v>49</v>
      </c>
      <c r="L14" t="str">
        <f>M5</f>
        <v>SSA</v>
      </c>
      <c r="M14" t="s">
        <v>111</v>
      </c>
      <c r="N14" t="str">
        <f>M4</f>
        <v>Fluminense</v>
      </c>
      <c r="P14" t="str">
        <f>M4</f>
        <v>Fluminense</v>
      </c>
      <c r="Q14" t="s">
        <v>75</v>
      </c>
      <c r="R14" t="str">
        <f>M5</f>
        <v>SSA</v>
      </c>
    </row>
    <row r="15" spans="1:24" x14ac:dyDescent="0.3">
      <c r="A15" t="str">
        <f>B3</f>
        <v>Porto</v>
      </c>
      <c r="B15" t="s">
        <v>31</v>
      </c>
      <c r="C15" t="str">
        <f>B6</f>
        <v>Jacuipense</v>
      </c>
    </row>
    <row r="16" spans="1:24" x14ac:dyDescent="0.3">
      <c r="A16" t="str">
        <f>B4</f>
        <v>Juazeirense</v>
      </c>
      <c r="B16" t="s">
        <v>31</v>
      </c>
      <c r="C16" t="str">
        <f>B5</f>
        <v>Atlético</v>
      </c>
      <c r="L16" t="s">
        <v>19</v>
      </c>
    </row>
    <row r="17" spans="1:18" x14ac:dyDescent="0.3">
      <c r="L17" t="s">
        <v>200</v>
      </c>
      <c r="M17" t="s">
        <v>73</v>
      </c>
      <c r="N17" t="s">
        <v>23</v>
      </c>
      <c r="P17" t="s">
        <v>23</v>
      </c>
      <c r="Q17" t="s">
        <v>28</v>
      </c>
      <c r="R17" t="s">
        <v>200</v>
      </c>
    </row>
    <row r="18" spans="1:18" x14ac:dyDescent="0.3">
      <c r="A18" t="s">
        <v>19</v>
      </c>
    </row>
    <row r="19" spans="1:18" x14ac:dyDescent="0.3">
      <c r="A19" t="s">
        <v>468</v>
      </c>
      <c r="B19" t="s">
        <v>478</v>
      </c>
      <c r="C19" t="s">
        <v>471</v>
      </c>
    </row>
    <row r="21" spans="1:18" x14ac:dyDescent="0.3">
      <c r="A21" t="s">
        <v>113</v>
      </c>
    </row>
    <row r="22" spans="1:18" x14ac:dyDescent="0.3">
      <c r="A22" t="s">
        <v>471</v>
      </c>
    </row>
    <row r="23" spans="1:18" x14ac:dyDescent="0.3">
      <c r="A23" t="s">
        <v>468</v>
      </c>
    </row>
    <row r="24" spans="1:18" x14ac:dyDescent="0.3">
      <c r="A24" t="s">
        <v>266</v>
      </c>
    </row>
    <row r="26" spans="1:18" x14ac:dyDescent="0.3">
      <c r="A26" t="s">
        <v>114</v>
      </c>
    </row>
    <row r="27" spans="1:18" x14ac:dyDescent="0.3">
      <c r="A27" t="s">
        <v>471</v>
      </c>
    </row>
    <row r="28" spans="1:18" x14ac:dyDescent="0.3">
      <c r="A28" t="s">
        <v>468</v>
      </c>
    </row>
    <row r="29" spans="1:18" x14ac:dyDescent="0.3">
      <c r="A29" t="s">
        <v>266</v>
      </c>
    </row>
    <row r="30" spans="1:18" x14ac:dyDescent="0.3">
      <c r="A30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EC77-4FA3-4BDE-B03B-90F8EBA9613D}">
  <dimension ref="A1:AT60"/>
  <sheetViews>
    <sheetView topLeftCell="AB6" workbookViewId="0">
      <selection activeCell="AH1" sqref="AH1:AQ27"/>
    </sheetView>
  </sheetViews>
  <sheetFormatPr defaultRowHeight="14.4" x14ac:dyDescent="0.3"/>
  <sheetData>
    <row r="1" spans="1:46" x14ac:dyDescent="0.3">
      <c r="A1" t="s">
        <v>376</v>
      </c>
      <c r="L1" t="s">
        <v>391</v>
      </c>
      <c r="W1" t="s">
        <v>400</v>
      </c>
      <c r="AH1" t="s">
        <v>390</v>
      </c>
      <c r="AS1" t="s">
        <v>50</v>
      </c>
    </row>
    <row r="2" spans="1:46" x14ac:dyDescent="0.3">
      <c r="A2" t="s">
        <v>35</v>
      </c>
      <c r="L2" t="s">
        <v>35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35</v>
      </c>
      <c r="AS2" t="s">
        <v>383</v>
      </c>
      <c r="AT2">
        <v>1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s="1" t="s">
        <v>11</v>
      </c>
      <c r="X3" t="s">
        <v>401</v>
      </c>
      <c r="Y3" s="3">
        <v>13</v>
      </c>
      <c r="Z3">
        <v>6</v>
      </c>
      <c r="AA3">
        <v>4</v>
      </c>
      <c r="AB3">
        <v>1</v>
      </c>
      <c r="AC3">
        <f>Z3-AA3-AB3</f>
        <v>1</v>
      </c>
      <c r="AD3">
        <v>13</v>
      </c>
      <c r="AE3">
        <v>8</v>
      </c>
      <c r="AF3">
        <f>AD3-AE3</f>
        <v>5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S3" t="s">
        <v>303</v>
      </c>
      <c r="AT3">
        <v>5</v>
      </c>
    </row>
    <row r="4" spans="1:46" x14ac:dyDescent="0.3">
      <c r="A4" s="1" t="s">
        <v>11</v>
      </c>
      <c r="B4" t="s">
        <v>379</v>
      </c>
      <c r="C4" s="3">
        <v>9</v>
      </c>
      <c r="D4">
        <v>4</v>
      </c>
      <c r="E4">
        <v>3</v>
      </c>
      <c r="F4">
        <v>0</v>
      </c>
      <c r="G4">
        <f>D4-E4-F4</f>
        <v>1</v>
      </c>
      <c r="H4">
        <v>5</v>
      </c>
      <c r="I4">
        <v>3</v>
      </c>
      <c r="J4">
        <f>H4-I4</f>
        <v>2</v>
      </c>
      <c r="L4" s="1" t="s">
        <v>11</v>
      </c>
      <c r="M4" t="s">
        <v>392</v>
      </c>
      <c r="N4" s="3">
        <v>14</v>
      </c>
      <c r="O4">
        <v>8</v>
      </c>
      <c r="P4">
        <v>4</v>
      </c>
      <c r="Q4">
        <v>2</v>
      </c>
      <c r="R4">
        <f>O4-P4-Q4</f>
        <v>2</v>
      </c>
      <c r="S4">
        <v>9</v>
      </c>
      <c r="T4">
        <v>5</v>
      </c>
      <c r="U4">
        <f>S4-T4</f>
        <v>4</v>
      </c>
      <c r="W4" s="1" t="s">
        <v>12</v>
      </c>
      <c r="X4" t="s">
        <v>402</v>
      </c>
      <c r="Y4" s="3">
        <v>8</v>
      </c>
      <c r="Z4">
        <v>6</v>
      </c>
      <c r="AA4">
        <v>2</v>
      </c>
      <c r="AB4">
        <v>2</v>
      </c>
      <c r="AC4">
        <f t="shared" ref="AC4:AC6" si="0">Z4-AA4-AB4</f>
        <v>2</v>
      </c>
      <c r="AD4">
        <v>10</v>
      </c>
      <c r="AE4">
        <v>8</v>
      </c>
      <c r="AF4">
        <f t="shared" ref="AF4:AF6" si="1">AD4-AE4</f>
        <v>2</v>
      </c>
      <c r="AH4" s="1" t="s">
        <v>11</v>
      </c>
      <c r="AI4" t="s">
        <v>402</v>
      </c>
      <c r="AJ4" s="3">
        <v>13</v>
      </c>
      <c r="AK4">
        <v>5</v>
      </c>
      <c r="AL4">
        <v>4</v>
      </c>
      <c r="AM4">
        <v>1</v>
      </c>
      <c r="AN4">
        <f>AK4-AL4-AM4</f>
        <v>0</v>
      </c>
      <c r="AO4">
        <v>7</v>
      </c>
      <c r="AP4">
        <v>2</v>
      </c>
      <c r="AQ4">
        <f>AO4-AP4</f>
        <v>5</v>
      </c>
      <c r="AS4" t="s">
        <v>402</v>
      </c>
      <c r="AT4">
        <v>1</v>
      </c>
    </row>
    <row r="5" spans="1:46" x14ac:dyDescent="0.3">
      <c r="A5" s="1" t="s">
        <v>12</v>
      </c>
      <c r="B5" t="s">
        <v>382</v>
      </c>
      <c r="C5" s="3">
        <v>7</v>
      </c>
      <c r="D5">
        <v>4</v>
      </c>
      <c r="E5">
        <v>2</v>
      </c>
      <c r="F5">
        <v>1</v>
      </c>
      <c r="G5">
        <f t="shared" ref="G5:G8" si="2">D5-E5-F5</f>
        <v>1</v>
      </c>
      <c r="H5">
        <v>7</v>
      </c>
      <c r="I5">
        <v>5</v>
      </c>
      <c r="J5">
        <f t="shared" ref="J5:J8" si="3">H5-I5</f>
        <v>2</v>
      </c>
      <c r="L5" s="4" t="s">
        <v>12</v>
      </c>
      <c r="M5" t="s">
        <v>393</v>
      </c>
      <c r="N5" s="3">
        <v>13</v>
      </c>
      <c r="O5">
        <v>8</v>
      </c>
      <c r="P5">
        <v>4</v>
      </c>
      <c r="Q5">
        <v>1</v>
      </c>
      <c r="R5">
        <f t="shared" ref="R5:R8" si="4">O5-P5-Q5</f>
        <v>3</v>
      </c>
      <c r="S5">
        <v>8</v>
      </c>
      <c r="T5">
        <v>7</v>
      </c>
      <c r="U5">
        <f t="shared" ref="U5:U8" si="5">S5-T5</f>
        <v>1</v>
      </c>
      <c r="W5" t="s">
        <v>13</v>
      </c>
      <c r="X5" t="s">
        <v>403</v>
      </c>
      <c r="Y5" s="3">
        <v>8</v>
      </c>
      <c r="Z5">
        <v>6</v>
      </c>
      <c r="AA5">
        <v>2</v>
      </c>
      <c r="AB5">
        <v>2</v>
      </c>
      <c r="AC5">
        <f t="shared" si="0"/>
        <v>2</v>
      </c>
      <c r="AD5">
        <v>13</v>
      </c>
      <c r="AE5">
        <v>13</v>
      </c>
      <c r="AF5">
        <f t="shared" si="1"/>
        <v>0</v>
      </c>
      <c r="AH5" s="4" t="s">
        <v>12</v>
      </c>
      <c r="AI5" t="s">
        <v>387</v>
      </c>
      <c r="AJ5" s="3">
        <v>12</v>
      </c>
      <c r="AK5">
        <v>5</v>
      </c>
      <c r="AL5">
        <v>4</v>
      </c>
      <c r="AM5">
        <v>0</v>
      </c>
      <c r="AN5">
        <f t="shared" ref="AN5:AN9" si="6">AK5-AL5-AM5</f>
        <v>1</v>
      </c>
      <c r="AO5">
        <v>5</v>
      </c>
      <c r="AP5">
        <v>3</v>
      </c>
      <c r="AQ5">
        <f t="shared" ref="AQ5:AQ9" si="7">AO5-AP5</f>
        <v>2</v>
      </c>
      <c r="AS5" t="s">
        <v>388</v>
      </c>
      <c r="AT5">
        <v>2</v>
      </c>
    </row>
    <row r="6" spans="1:46" x14ac:dyDescent="0.3">
      <c r="A6" s="1" t="s">
        <v>13</v>
      </c>
      <c r="B6" t="s">
        <v>383</v>
      </c>
      <c r="C6" s="3">
        <v>5</v>
      </c>
      <c r="D6">
        <v>4</v>
      </c>
      <c r="E6">
        <v>1</v>
      </c>
      <c r="F6">
        <v>2</v>
      </c>
      <c r="G6">
        <f t="shared" si="2"/>
        <v>1</v>
      </c>
      <c r="H6">
        <v>6</v>
      </c>
      <c r="I6">
        <v>5</v>
      </c>
      <c r="J6">
        <f t="shared" si="3"/>
        <v>1</v>
      </c>
      <c r="L6" s="4" t="s">
        <v>13</v>
      </c>
      <c r="M6" t="s">
        <v>394</v>
      </c>
      <c r="N6" s="3">
        <v>13</v>
      </c>
      <c r="O6">
        <v>8</v>
      </c>
      <c r="P6">
        <v>4</v>
      </c>
      <c r="Q6">
        <v>1</v>
      </c>
      <c r="R6">
        <f t="shared" si="4"/>
        <v>3</v>
      </c>
      <c r="S6">
        <v>6</v>
      </c>
      <c r="T6">
        <v>6</v>
      </c>
      <c r="U6">
        <f t="shared" si="5"/>
        <v>0</v>
      </c>
      <c r="W6" t="s">
        <v>14</v>
      </c>
      <c r="X6" t="s">
        <v>404</v>
      </c>
      <c r="Y6" s="3">
        <v>4</v>
      </c>
      <c r="Z6">
        <v>6</v>
      </c>
      <c r="AA6">
        <v>1</v>
      </c>
      <c r="AB6">
        <v>1</v>
      </c>
      <c r="AC6">
        <f t="shared" si="0"/>
        <v>4</v>
      </c>
      <c r="AD6">
        <v>8</v>
      </c>
      <c r="AE6">
        <v>15</v>
      </c>
      <c r="AF6">
        <f t="shared" si="1"/>
        <v>-7</v>
      </c>
      <c r="AH6" s="4" t="s">
        <v>13</v>
      </c>
      <c r="AI6" t="s">
        <v>388</v>
      </c>
      <c r="AJ6" s="3">
        <v>7</v>
      </c>
      <c r="AK6">
        <v>5</v>
      </c>
      <c r="AL6">
        <v>2</v>
      </c>
      <c r="AM6">
        <v>1</v>
      </c>
      <c r="AN6">
        <f t="shared" si="6"/>
        <v>2</v>
      </c>
      <c r="AO6">
        <v>5</v>
      </c>
      <c r="AP6">
        <v>4</v>
      </c>
      <c r="AQ6">
        <f t="shared" si="7"/>
        <v>1</v>
      </c>
    </row>
    <row r="7" spans="1:46" x14ac:dyDescent="0.3">
      <c r="A7" s="5" t="s">
        <v>14</v>
      </c>
      <c r="B7" t="s">
        <v>384</v>
      </c>
      <c r="C7" s="3">
        <v>4</v>
      </c>
      <c r="D7">
        <v>4</v>
      </c>
      <c r="E7">
        <v>1</v>
      </c>
      <c r="F7">
        <v>1</v>
      </c>
      <c r="G7">
        <f t="shared" si="2"/>
        <v>2</v>
      </c>
      <c r="H7">
        <v>2</v>
      </c>
      <c r="I7">
        <v>4</v>
      </c>
      <c r="J7">
        <f t="shared" si="3"/>
        <v>-2</v>
      </c>
      <c r="L7" s="5" t="s">
        <v>14</v>
      </c>
      <c r="M7" t="s">
        <v>395</v>
      </c>
      <c r="N7" s="3">
        <v>12</v>
      </c>
      <c r="O7">
        <v>8</v>
      </c>
      <c r="P7">
        <v>4</v>
      </c>
      <c r="Q7">
        <v>0</v>
      </c>
      <c r="R7">
        <f t="shared" si="4"/>
        <v>4</v>
      </c>
      <c r="S7">
        <v>9</v>
      </c>
      <c r="T7">
        <v>9</v>
      </c>
      <c r="U7">
        <f t="shared" si="5"/>
        <v>0</v>
      </c>
      <c r="AH7" t="s">
        <v>14</v>
      </c>
      <c r="AI7" t="s">
        <v>381</v>
      </c>
      <c r="AJ7" s="3">
        <v>6</v>
      </c>
      <c r="AK7">
        <v>5</v>
      </c>
      <c r="AL7">
        <v>2</v>
      </c>
      <c r="AM7">
        <v>0</v>
      </c>
      <c r="AN7">
        <f t="shared" si="6"/>
        <v>3</v>
      </c>
      <c r="AO7">
        <v>2</v>
      </c>
      <c r="AP7">
        <v>4</v>
      </c>
      <c r="AQ7">
        <f t="shared" si="7"/>
        <v>-2</v>
      </c>
    </row>
    <row r="8" spans="1:46" x14ac:dyDescent="0.3">
      <c r="A8" s="5" t="s">
        <v>15</v>
      </c>
      <c r="B8" t="s">
        <v>385</v>
      </c>
      <c r="C8" s="3">
        <v>3</v>
      </c>
      <c r="D8">
        <v>4</v>
      </c>
      <c r="E8">
        <v>1</v>
      </c>
      <c r="F8">
        <v>0</v>
      </c>
      <c r="G8">
        <f t="shared" si="2"/>
        <v>3</v>
      </c>
      <c r="H8">
        <v>5</v>
      </c>
      <c r="I8">
        <v>8</v>
      </c>
      <c r="J8">
        <f t="shared" si="3"/>
        <v>-3</v>
      </c>
      <c r="L8" s="5" t="s">
        <v>15</v>
      </c>
      <c r="M8" t="s">
        <v>98</v>
      </c>
      <c r="N8" s="3">
        <v>5</v>
      </c>
      <c r="O8">
        <v>8</v>
      </c>
      <c r="P8">
        <v>1</v>
      </c>
      <c r="Q8">
        <v>2</v>
      </c>
      <c r="R8">
        <f t="shared" si="4"/>
        <v>5</v>
      </c>
      <c r="S8">
        <v>3</v>
      </c>
      <c r="T8">
        <v>8</v>
      </c>
      <c r="U8">
        <f t="shared" si="5"/>
        <v>-5</v>
      </c>
      <c r="W8" t="s">
        <v>19</v>
      </c>
      <c r="AH8" t="s">
        <v>15</v>
      </c>
      <c r="AI8" t="s">
        <v>303</v>
      </c>
      <c r="AJ8" s="3">
        <v>5</v>
      </c>
      <c r="AK8">
        <v>5</v>
      </c>
      <c r="AL8">
        <v>1</v>
      </c>
      <c r="AM8">
        <v>2</v>
      </c>
      <c r="AN8">
        <f>AK8-AL8-AM8</f>
        <v>2</v>
      </c>
      <c r="AO8">
        <v>4</v>
      </c>
      <c r="AP8">
        <v>5</v>
      </c>
      <c r="AQ8">
        <f>AO8-AP8</f>
        <v>-1</v>
      </c>
    </row>
    <row r="9" spans="1:46" x14ac:dyDescent="0.3">
      <c r="W9" t="str">
        <f>X4</f>
        <v>Vila Real</v>
      </c>
      <c r="X9" t="s">
        <v>30</v>
      </c>
      <c r="Y9" t="str">
        <f>X3</f>
        <v>Esporte Limoeiro</v>
      </c>
      <c r="AA9" t="str">
        <f>X3</f>
        <v>Esporte Limoeiro</v>
      </c>
      <c r="AB9" t="s">
        <v>33</v>
      </c>
      <c r="AC9" t="str">
        <f>X4</f>
        <v>Vila Real</v>
      </c>
      <c r="AH9" t="s">
        <v>16</v>
      </c>
      <c r="AI9" t="s">
        <v>384</v>
      </c>
      <c r="AJ9" s="3">
        <v>0</v>
      </c>
      <c r="AK9">
        <v>5</v>
      </c>
      <c r="AL9">
        <v>0</v>
      </c>
      <c r="AM9">
        <v>0</v>
      </c>
      <c r="AN9">
        <f t="shared" si="6"/>
        <v>5</v>
      </c>
      <c r="AO9">
        <v>2</v>
      </c>
      <c r="AP9">
        <v>7</v>
      </c>
      <c r="AQ9">
        <f t="shared" si="7"/>
        <v>-5</v>
      </c>
    </row>
    <row r="10" spans="1:46" x14ac:dyDescent="0.3">
      <c r="A10" t="s">
        <v>36</v>
      </c>
      <c r="L10" t="s">
        <v>36</v>
      </c>
    </row>
    <row r="11" spans="1:46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  <c r="AH11" t="s">
        <v>36</v>
      </c>
    </row>
    <row r="12" spans="1:46" x14ac:dyDescent="0.3">
      <c r="A12" s="1" t="s">
        <v>11</v>
      </c>
      <c r="B12" t="s">
        <v>386</v>
      </c>
      <c r="C12" s="3">
        <v>10</v>
      </c>
      <c r="D12">
        <v>4</v>
      </c>
      <c r="E12">
        <v>3</v>
      </c>
      <c r="F12">
        <v>1</v>
      </c>
      <c r="G12">
        <f>D12-E12-F12</f>
        <v>0</v>
      </c>
      <c r="H12">
        <v>5</v>
      </c>
      <c r="I12">
        <v>1</v>
      </c>
      <c r="J12">
        <f>H12-I12</f>
        <v>4</v>
      </c>
      <c r="L12" s="1" t="s">
        <v>11</v>
      </c>
      <c r="M12" t="s">
        <v>303</v>
      </c>
      <c r="N12" s="3">
        <v>15</v>
      </c>
      <c r="O12">
        <v>8</v>
      </c>
      <c r="P12">
        <v>4</v>
      </c>
      <c r="Q12">
        <v>3</v>
      </c>
      <c r="R12">
        <f>O12-P12-Q12</f>
        <v>1</v>
      </c>
      <c r="S12">
        <v>14</v>
      </c>
      <c r="T12">
        <v>9</v>
      </c>
      <c r="U12">
        <f>S12-T12</f>
        <v>5</v>
      </c>
      <c r="AH12" t="s">
        <v>1</v>
      </c>
      <c r="AI12" t="s">
        <v>2</v>
      </c>
      <c r="AJ12" t="s">
        <v>3</v>
      </c>
      <c r="AK12" t="s">
        <v>4</v>
      </c>
      <c r="AL12" t="s">
        <v>5</v>
      </c>
      <c r="AM12" t="s">
        <v>6</v>
      </c>
      <c r="AN12" t="s">
        <v>7</v>
      </c>
      <c r="AO12" t="s">
        <v>8</v>
      </c>
      <c r="AP12" t="s">
        <v>9</v>
      </c>
      <c r="AQ12" t="s">
        <v>10</v>
      </c>
    </row>
    <row r="13" spans="1:46" x14ac:dyDescent="0.3">
      <c r="A13" s="1" t="s">
        <v>12</v>
      </c>
      <c r="B13" t="s">
        <v>380</v>
      </c>
      <c r="C13" s="3">
        <v>9</v>
      </c>
      <c r="D13">
        <v>4</v>
      </c>
      <c r="E13">
        <v>3</v>
      </c>
      <c r="F13">
        <v>0</v>
      </c>
      <c r="G13">
        <f>D13-E13-F13</f>
        <v>1</v>
      </c>
      <c r="H13">
        <v>5</v>
      </c>
      <c r="I13">
        <v>2</v>
      </c>
      <c r="J13">
        <f>H13-I13</f>
        <v>3</v>
      </c>
      <c r="L13" s="4" t="s">
        <v>12</v>
      </c>
      <c r="M13" t="s">
        <v>266</v>
      </c>
      <c r="N13" s="3">
        <v>10</v>
      </c>
      <c r="O13">
        <v>8</v>
      </c>
      <c r="P13">
        <v>3</v>
      </c>
      <c r="Q13">
        <v>1</v>
      </c>
      <c r="R13">
        <f>O13-P13-Q13</f>
        <v>4</v>
      </c>
      <c r="S13">
        <v>10</v>
      </c>
      <c r="T13">
        <v>10</v>
      </c>
      <c r="U13">
        <f>S13-T13</f>
        <v>0</v>
      </c>
      <c r="AH13" s="1" t="s">
        <v>11</v>
      </c>
      <c r="AI13" t="s">
        <v>385</v>
      </c>
      <c r="AJ13" s="3">
        <v>10</v>
      </c>
      <c r="AK13">
        <v>5</v>
      </c>
      <c r="AL13">
        <v>3</v>
      </c>
      <c r="AM13">
        <v>1</v>
      </c>
      <c r="AN13">
        <f>AK13-AL13-AM13</f>
        <v>1</v>
      </c>
      <c r="AO13">
        <v>8</v>
      </c>
      <c r="AP13">
        <v>5</v>
      </c>
      <c r="AQ13">
        <f>AO13-AP13</f>
        <v>3</v>
      </c>
    </row>
    <row r="14" spans="1:46" x14ac:dyDescent="0.3">
      <c r="A14" s="1" t="s">
        <v>13</v>
      </c>
      <c r="B14" t="s">
        <v>381</v>
      </c>
      <c r="C14" s="3">
        <v>6</v>
      </c>
      <c r="D14">
        <v>4</v>
      </c>
      <c r="E14">
        <v>2</v>
      </c>
      <c r="F14">
        <v>0</v>
      </c>
      <c r="G14">
        <f>D14-E14-F14</f>
        <v>2</v>
      </c>
      <c r="H14">
        <v>5</v>
      </c>
      <c r="I14">
        <v>3</v>
      </c>
      <c r="J14">
        <f>H14-I14</f>
        <v>2</v>
      </c>
      <c r="L14" s="4" t="s">
        <v>13</v>
      </c>
      <c r="M14" t="s">
        <v>396</v>
      </c>
      <c r="N14" s="3">
        <v>10</v>
      </c>
      <c r="O14">
        <v>8</v>
      </c>
      <c r="P14">
        <v>3</v>
      </c>
      <c r="Q14">
        <v>1</v>
      </c>
      <c r="R14">
        <f>O14-P14-Q14</f>
        <v>4</v>
      </c>
      <c r="S14">
        <v>7</v>
      </c>
      <c r="T14">
        <v>8</v>
      </c>
      <c r="U14">
        <f>S14-T14</f>
        <v>-1</v>
      </c>
      <c r="AH14" s="4" t="s">
        <v>12</v>
      </c>
      <c r="AI14" t="s">
        <v>394</v>
      </c>
      <c r="AJ14" s="3">
        <v>10</v>
      </c>
      <c r="AK14">
        <v>5</v>
      </c>
      <c r="AL14">
        <v>3</v>
      </c>
      <c r="AM14">
        <v>1</v>
      </c>
      <c r="AN14">
        <f t="shared" ref="AN14:AN16" si="8">AK14-AL14-AM14</f>
        <v>1</v>
      </c>
      <c r="AO14">
        <v>7</v>
      </c>
      <c r="AP14">
        <v>5</v>
      </c>
      <c r="AQ14">
        <f t="shared" ref="AQ14:AQ16" si="9">AO14-AP14</f>
        <v>2</v>
      </c>
    </row>
    <row r="15" spans="1:46" x14ac:dyDescent="0.3">
      <c r="A15" s="5" t="s">
        <v>14</v>
      </c>
      <c r="B15" t="s">
        <v>387</v>
      </c>
      <c r="C15" s="3">
        <v>3</v>
      </c>
      <c r="D15">
        <v>4</v>
      </c>
      <c r="E15">
        <v>1</v>
      </c>
      <c r="F15">
        <v>0</v>
      </c>
      <c r="G15">
        <f>D15-E15-F15</f>
        <v>3</v>
      </c>
      <c r="H15">
        <v>4</v>
      </c>
      <c r="I15">
        <v>7</v>
      </c>
      <c r="J15">
        <f>H15-I15</f>
        <v>-3</v>
      </c>
      <c r="L15" s="5" t="s">
        <v>14</v>
      </c>
      <c r="M15" t="s">
        <v>397</v>
      </c>
      <c r="N15" s="3">
        <v>10</v>
      </c>
      <c r="O15">
        <v>8</v>
      </c>
      <c r="P15">
        <v>2</v>
      </c>
      <c r="Q15">
        <v>4</v>
      </c>
      <c r="R15">
        <f>O15-P15-Q15</f>
        <v>2</v>
      </c>
      <c r="S15">
        <v>7</v>
      </c>
      <c r="T15">
        <v>7</v>
      </c>
      <c r="U15">
        <f>S15-T15</f>
        <v>0</v>
      </c>
      <c r="AH15" s="4" t="s">
        <v>13</v>
      </c>
      <c r="AI15" t="s">
        <v>382</v>
      </c>
      <c r="AJ15" s="3">
        <v>8</v>
      </c>
      <c r="AK15">
        <v>5</v>
      </c>
      <c r="AL15">
        <v>2</v>
      </c>
      <c r="AM15">
        <v>2</v>
      </c>
      <c r="AN15">
        <f t="shared" si="8"/>
        <v>1</v>
      </c>
      <c r="AO15">
        <v>6</v>
      </c>
      <c r="AP15">
        <v>5</v>
      </c>
      <c r="AQ15">
        <f t="shared" si="9"/>
        <v>1</v>
      </c>
    </row>
    <row r="16" spans="1:46" x14ac:dyDescent="0.3">
      <c r="A16" s="5" t="s">
        <v>15</v>
      </c>
      <c r="B16" t="s">
        <v>388</v>
      </c>
      <c r="C16" s="3">
        <v>1</v>
      </c>
      <c r="D16">
        <v>4</v>
      </c>
      <c r="E16">
        <v>0</v>
      </c>
      <c r="F16">
        <v>1</v>
      </c>
      <c r="G16">
        <f>D16-E16-F16</f>
        <v>3</v>
      </c>
      <c r="H16">
        <v>0</v>
      </c>
      <c r="I16">
        <v>6</v>
      </c>
      <c r="J16">
        <f>H16-I16</f>
        <v>-6</v>
      </c>
      <c r="L16" s="5" t="s">
        <v>15</v>
      </c>
      <c r="M16" t="s">
        <v>398</v>
      </c>
      <c r="N16" s="3">
        <v>9</v>
      </c>
      <c r="O16">
        <v>8</v>
      </c>
      <c r="P16">
        <v>2</v>
      </c>
      <c r="Q16">
        <v>3</v>
      </c>
      <c r="R16">
        <f>O16-P16-Q16</f>
        <v>3</v>
      </c>
      <c r="S16">
        <v>7</v>
      </c>
      <c r="T16">
        <v>11</v>
      </c>
      <c r="U16">
        <f>S16-T16</f>
        <v>-4</v>
      </c>
      <c r="AH16" t="s">
        <v>14</v>
      </c>
      <c r="AI16" t="s">
        <v>379</v>
      </c>
      <c r="AJ16" s="3">
        <v>5</v>
      </c>
      <c r="AK16">
        <v>5</v>
      </c>
      <c r="AL16">
        <v>1</v>
      </c>
      <c r="AM16">
        <v>2</v>
      </c>
      <c r="AN16">
        <f t="shared" si="8"/>
        <v>2</v>
      </c>
      <c r="AO16">
        <v>4</v>
      </c>
      <c r="AP16">
        <v>5</v>
      </c>
      <c r="AQ16">
        <f t="shared" si="9"/>
        <v>-1</v>
      </c>
    </row>
    <row r="17" spans="1:43" x14ac:dyDescent="0.3">
      <c r="AH17" t="s">
        <v>15</v>
      </c>
      <c r="AI17" t="s">
        <v>266</v>
      </c>
      <c r="AJ17" s="3">
        <v>5</v>
      </c>
      <c r="AK17">
        <v>5</v>
      </c>
      <c r="AL17">
        <v>1</v>
      </c>
      <c r="AM17">
        <v>2</v>
      </c>
      <c r="AN17">
        <f>AK17-AL17-AM17</f>
        <v>2</v>
      </c>
      <c r="AO17">
        <v>5</v>
      </c>
      <c r="AP17">
        <v>8</v>
      </c>
      <c r="AQ17">
        <f>AO17-AP17</f>
        <v>-3</v>
      </c>
    </row>
    <row r="18" spans="1:43" x14ac:dyDescent="0.3">
      <c r="A18" t="s">
        <v>179</v>
      </c>
      <c r="L18" t="s">
        <v>78</v>
      </c>
      <c r="AH18" t="s">
        <v>16</v>
      </c>
      <c r="AI18" t="s">
        <v>380</v>
      </c>
      <c r="AJ18" s="3">
        <v>3</v>
      </c>
      <c r="AK18">
        <v>5</v>
      </c>
      <c r="AL18">
        <v>1</v>
      </c>
      <c r="AM18">
        <v>0</v>
      </c>
      <c r="AN18">
        <f t="shared" ref="AN18" si="10">AK18-AL18-AM18</f>
        <v>4</v>
      </c>
      <c r="AO18">
        <v>7</v>
      </c>
      <c r="AP18">
        <v>9</v>
      </c>
      <c r="AQ18">
        <f t="shared" ref="AQ18" si="11">AO18-AP18</f>
        <v>-2</v>
      </c>
    </row>
    <row r="19" spans="1:43" x14ac:dyDescent="0.3">
      <c r="A19" t="s">
        <v>35</v>
      </c>
      <c r="L19" t="str">
        <f>M5</f>
        <v>Cariri</v>
      </c>
      <c r="M19" t="s">
        <v>32</v>
      </c>
      <c r="N19" t="str">
        <f>M14</f>
        <v>Crateús</v>
      </c>
    </row>
    <row r="20" spans="1:43" x14ac:dyDescent="0.3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L20" t="str">
        <f>M13</f>
        <v>Atlético</v>
      </c>
      <c r="M20" t="s">
        <v>351</v>
      </c>
      <c r="N20" t="str">
        <f>M6</f>
        <v>Icasa</v>
      </c>
      <c r="AH20" t="s">
        <v>78</v>
      </c>
    </row>
    <row r="21" spans="1:43" x14ac:dyDescent="0.3">
      <c r="A21" s="1" t="s">
        <v>11</v>
      </c>
      <c r="B21" t="s">
        <v>379</v>
      </c>
      <c r="C21" s="3">
        <v>7</v>
      </c>
      <c r="D21">
        <v>3</v>
      </c>
      <c r="E21">
        <v>2</v>
      </c>
      <c r="F21">
        <v>1</v>
      </c>
      <c r="G21">
        <f>D21-E21-F21</f>
        <v>0</v>
      </c>
      <c r="H21">
        <v>4</v>
      </c>
      <c r="I21">
        <v>1</v>
      </c>
      <c r="J21">
        <f>H21-I21</f>
        <v>3</v>
      </c>
      <c r="AH21" t="str">
        <f>AI5</f>
        <v>Ceará</v>
      </c>
      <c r="AI21" t="s">
        <v>31</v>
      </c>
      <c r="AJ21" t="str">
        <f>AI15</f>
        <v>Ferroviário</v>
      </c>
    </row>
    <row r="22" spans="1:43" x14ac:dyDescent="0.3">
      <c r="A22" s="1" t="s">
        <v>12</v>
      </c>
      <c r="B22" t="s">
        <v>383</v>
      </c>
      <c r="C22" s="3">
        <v>3</v>
      </c>
      <c r="D22">
        <v>3</v>
      </c>
      <c r="E22">
        <v>1</v>
      </c>
      <c r="F22">
        <v>0</v>
      </c>
      <c r="G22">
        <f>D22-E22-F22</f>
        <v>2</v>
      </c>
      <c r="H22">
        <v>5</v>
      </c>
      <c r="I22">
        <v>4</v>
      </c>
      <c r="J22">
        <f>H22-I22</f>
        <v>1</v>
      </c>
      <c r="L22" t="s">
        <v>49</v>
      </c>
      <c r="AH22" t="str">
        <f>AI14</f>
        <v>Icasa</v>
      </c>
      <c r="AI22" t="s">
        <v>29</v>
      </c>
      <c r="AJ22" t="str">
        <f>AI6</f>
        <v>Iguatu</v>
      </c>
    </row>
    <row r="23" spans="1:43" x14ac:dyDescent="0.3">
      <c r="A23" t="s">
        <v>13</v>
      </c>
      <c r="B23" t="s">
        <v>382</v>
      </c>
      <c r="C23" s="3">
        <v>1</v>
      </c>
      <c r="D23">
        <v>3</v>
      </c>
      <c r="E23">
        <v>0</v>
      </c>
      <c r="F23">
        <v>1</v>
      </c>
      <c r="G23">
        <f>D23-E23-F23</f>
        <v>2</v>
      </c>
      <c r="H23">
        <v>1</v>
      </c>
      <c r="I23">
        <v>3</v>
      </c>
      <c r="J23">
        <f>H23-I23</f>
        <v>-2</v>
      </c>
      <c r="L23" t="s">
        <v>266</v>
      </c>
      <c r="M23" t="s">
        <v>30</v>
      </c>
      <c r="N23" t="str">
        <f>M4</f>
        <v>Crato</v>
      </c>
      <c r="P23" t="str">
        <f>M4</f>
        <v>Crato</v>
      </c>
      <c r="Q23" t="s">
        <v>28</v>
      </c>
      <c r="R23" t="s">
        <v>266</v>
      </c>
    </row>
    <row r="24" spans="1:43" x14ac:dyDescent="0.3">
      <c r="L24" t="s">
        <v>393</v>
      </c>
      <c r="M24" t="s">
        <v>33</v>
      </c>
      <c r="N24" t="str">
        <f>M12</f>
        <v>Guarany</v>
      </c>
      <c r="P24" t="str">
        <f>M12</f>
        <v>Guarany</v>
      </c>
      <c r="Q24" t="s">
        <v>31</v>
      </c>
      <c r="R24" t="s">
        <v>393</v>
      </c>
      <c r="AH24" t="s">
        <v>49</v>
      </c>
    </row>
    <row r="25" spans="1:43" x14ac:dyDescent="0.3">
      <c r="A25" t="s">
        <v>36</v>
      </c>
      <c r="AH25" t="str">
        <f>AI4</f>
        <v>Vila Real</v>
      </c>
      <c r="AI25" t="s">
        <v>405</v>
      </c>
      <c r="AJ25" t="s">
        <v>388</v>
      </c>
    </row>
    <row r="26" spans="1:43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  <c r="L26" t="s">
        <v>19</v>
      </c>
      <c r="AH26" t="str">
        <f>AI13</f>
        <v>Maracanã</v>
      </c>
      <c r="AI26" t="s">
        <v>30</v>
      </c>
      <c r="AJ26" t="s">
        <v>387</v>
      </c>
    </row>
    <row r="27" spans="1:43" x14ac:dyDescent="0.3">
      <c r="A27" s="1" t="s">
        <v>11</v>
      </c>
      <c r="B27" t="s">
        <v>386</v>
      </c>
      <c r="C27" s="3">
        <v>6</v>
      </c>
      <c r="D27">
        <v>3</v>
      </c>
      <c r="E27">
        <v>2</v>
      </c>
      <c r="F27">
        <v>0</v>
      </c>
      <c r="G27">
        <f>D27-E27-F27</f>
        <v>1</v>
      </c>
      <c r="H27">
        <v>4</v>
      </c>
      <c r="I27">
        <v>3</v>
      </c>
      <c r="J27">
        <f>H27-I27</f>
        <v>1</v>
      </c>
      <c r="L27" t="s">
        <v>266</v>
      </c>
      <c r="M27" t="s">
        <v>31</v>
      </c>
      <c r="N27" t="s">
        <v>303</v>
      </c>
      <c r="P27" t="s">
        <v>303</v>
      </c>
      <c r="Q27" t="s">
        <v>399</v>
      </c>
      <c r="R27" t="s">
        <v>266</v>
      </c>
    </row>
    <row r="28" spans="1:43" x14ac:dyDescent="0.3">
      <c r="A28" s="1" t="s">
        <v>12</v>
      </c>
      <c r="B28" t="s">
        <v>380</v>
      </c>
      <c r="C28" s="3">
        <v>6</v>
      </c>
      <c r="D28">
        <v>3</v>
      </c>
      <c r="E28">
        <v>2</v>
      </c>
      <c r="F28">
        <v>0</v>
      </c>
      <c r="G28">
        <f t="shared" ref="G28:G29" si="12">D28-E28-F28</f>
        <v>1</v>
      </c>
      <c r="H28">
        <v>4</v>
      </c>
      <c r="I28">
        <v>4</v>
      </c>
      <c r="J28">
        <f t="shared" ref="J28:J29" si="13">H28-I28</f>
        <v>0</v>
      </c>
      <c r="AH28" t="s">
        <v>19</v>
      </c>
    </row>
    <row r="29" spans="1:43" x14ac:dyDescent="0.3">
      <c r="A29" t="s">
        <v>13</v>
      </c>
      <c r="B29" t="s">
        <v>381</v>
      </c>
      <c r="C29" s="3">
        <v>2</v>
      </c>
      <c r="D29">
        <v>3</v>
      </c>
      <c r="E29">
        <v>0</v>
      </c>
      <c r="F29">
        <v>2</v>
      </c>
      <c r="G29">
        <f t="shared" si="12"/>
        <v>1</v>
      </c>
      <c r="H29">
        <v>0</v>
      </c>
      <c r="I29">
        <v>3</v>
      </c>
      <c r="J29">
        <f t="shared" si="13"/>
        <v>-3</v>
      </c>
      <c r="L29" t="s">
        <v>212</v>
      </c>
      <c r="AH29" t="s">
        <v>385</v>
      </c>
      <c r="AI29" t="s">
        <v>374</v>
      </c>
      <c r="AJ29" t="s">
        <v>388</v>
      </c>
    </row>
    <row r="30" spans="1:43" x14ac:dyDescent="0.3">
      <c r="L30" t="str">
        <f>M7</f>
        <v>Barbalha</v>
      </c>
      <c r="M30" t="s">
        <v>73</v>
      </c>
      <c r="N30" t="str">
        <f>M16</f>
        <v>Itapipoca</v>
      </c>
    </row>
    <row r="31" spans="1:43" x14ac:dyDescent="0.3">
      <c r="A31" t="s">
        <v>377</v>
      </c>
      <c r="L31" t="str">
        <f>M15</f>
        <v>Caucaia</v>
      </c>
      <c r="M31" t="s">
        <v>30</v>
      </c>
      <c r="N31" t="str">
        <f>M8</f>
        <v>Guarani</v>
      </c>
    </row>
    <row r="32" spans="1:43" x14ac:dyDescent="0.3">
      <c r="A32" t="s">
        <v>382</v>
      </c>
      <c r="B32" t="s">
        <v>137</v>
      </c>
      <c r="C32" t="s">
        <v>381</v>
      </c>
    </row>
    <row r="34" spans="1:10" x14ac:dyDescent="0.3">
      <c r="A34" t="s">
        <v>49</v>
      </c>
    </row>
    <row r="35" spans="1:10" x14ac:dyDescent="0.3">
      <c r="A35" t="str">
        <f>B28</f>
        <v>Tirol</v>
      </c>
      <c r="B35" t="s">
        <v>73</v>
      </c>
      <c r="C35" t="str">
        <f>B21</f>
        <v>Fortaleza</v>
      </c>
      <c r="E35" t="str">
        <f>B21</f>
        <v>Fortaleza</v>
      </c>
      <c r="F35" t="s">
        <v>32</v>
      </c>
      <c r="G35" t="str">
        <f>B28</f>
        <v>Tirol</v>
      </c>
    </row>
    <row r="36" spans="1:10" x14ac:dyDescent="0.3">
      <c r="A36" t="str">
        <f>B22</f>
        <v>Quixadá</v>
      </c>
      <c r="B36" t="s">
        <v>134</v>
      </c>
      <c r="C36" t="str">
        <f>B27</f>
        <v>Maranguape</v>
      </c>
      <c r="E36" t="str">
        <f>B27</f>
        <v>Maranguape</v>
      </c>
      <c r="F36" t="s">
        <v>75</v>
      </c>
      <c r="G36" t="str">
        <f>B22</f>
        <v>Quixadá</v>
      </c>
    </row>
    <row r="38" spans="1:10" x14ac:dyDescent="0.3">
      <c r="A38" t="s">
        <v>378</v>
      </c>
    </row>
    <row r="39" spans="1:10" x14ac:dyDescent="0.3">
      <c r="A39" t="s">
        <v>386</v>
      </c>
      <c r="B39" t="s">
        <v>389</v>
      </c>
      <c r="C39" t="s">
        <v>380</v>
      </c>
    </row>
    <row r="41" spans="1:10" x14ac:dyDescent="0.3">
      <c r="A41" t="s">
        <v>19</v>
      </c>
    </row>
    <row r="42" spans="1:10" x14ac:dyDescent="0.3">
      <c r="A42" t="s">
        <v>383</v>
      </c>
      <c r="B42" t="s">
        <v>75</v>
      </c>
      <c r="C42" t="s">
        <v>379</v>
      </c>
      <c r="E42" t="s">
        <v>379</v>
      </c>
      <c r="F42" t="s">
        <v>73</v>
      </c>
      <c r="G42" t="s">
        <v>383</v>
      </c>
    </row>
    <row r="44" spans="1:10" x14ac:dyDescent="0.3">
      <c r="A44" t="s">
        <v>313</v>
      </c>
    </row>
    <row r="45" spans="1:10" x14ac:dyDescent="0.3">
      <c r="A45" t="s">
        <v>1</v>
      </c>
      <c r="B45" t="s">
        <v>2</v>
      </c>
      <c r="C45" t="s">
        <v>3</v>
      </c>
      <c r="D45" t="s">
        <v>4</v>
      </c>
      <c r="E45" t="s">
        <v>5</v>
      </c>
      <c r="F45" t="s">
        <v>6</v>
      </c>
      <c r="G45" t="s">
        <v>7</v>
      </c>
      <c r="H45" t="s">
        <v>8</v>
      </c>
      <c r="I45" t="s">
        <v>9</v>
      </c>
      <c r="J45" t="s">
        <v>10</v>
      </c>
    </row>
    <row r="46" spans="1:10" x14ac:dyDescent="0.3">
      <c r="A46" t="s">
        <v>11</v>
      </c>
      <c r="B46" t="s">
        <v>388</v>
      </c>
      <c r="C46" s="3">
        <v>6</v>
      </c>
      <c r="D46">
        <v>3</v>
      </c>
      <c r="E46">
        <v>2</v>
      </c>
      <c r="F46">
        <v>0</v>
      </c>
      <c r="G46">
        <f>D46-E46-F46</f>
        <v>1</v>
      </c>
      <c r="H46">
        <v>4</v>
      </c>
      <c r="I46">
        <v>2</v>
      </c>
      <c r="J46">
        <f>H46-I46</f>
        <v>2</v>
      </c>
    </row>
    <row r="47" spans="1:10" x14ac:dyDescent="0.3">
      <c r="A47" t="s">
        <v>12</v>
      </c>
      <c r="B47" t="s">
        <v>387</v>
      </c>
      <c r="C47" s="3">
        <v>6</v>
      </c>
      <c r="D47">
        <v>3</v>
      </c>
      <c r="E47">
        <v>2</v>
      </c>
      <c r="F47">
        <v>0</v>
      </c>
      <c r="G47">
        <f t="shared" ref="G47:G49" si="14">D47-E47-F47</f>
        <v>1</v>
      </c>
      <c r="H47">
        <v>4</v>
      </c>
      <c r="I47">
        <v>4</v>
      </c>
      <c r="J47">
        <f t="shared" ref="J47:J49" si="15">H47-I47</f>
        <v>0</v>
      </c>
    </row>
    <row r="48" spans="1:10" x14ac:dyDescent="0.3">
      <c r="A48" s="2" t="s">
        <v>13</v>
      </c>
      <c r="B48" t="s">
        <v>384</v>
      </c>
      <c r="C48" s="3">
        <v>3</v>
      </c>
      <c r="D48">
        <v>3</v>
      </c>
      <c r="E48">
        <v>1</v>
      </c>
      <c r="F48">
        <v>0</v>
      </c>
      <c r="G48">
        <f t="shared" si="14"/>
        <v>2</v>
      </c>
      <c r="H48">
        <v>5</v>
      </c>
      <c r="I48">
        <v>6</v>
      </c>
      <c r="J48">
        <f t="shared" si="15"/>
        <v>-1</v>
      </c>
    </row>
    <row r="49" spans="1:10" x14ac:dyDescent="0.3">
      <c r="A49" s="2" t="s">
        <v>14</v>
      </c>
      <c r="B49" t="s">
        <v>385</v>
      </c>
      <c r="C49" s="3">
        <v>3</v>
      </c>
      <c r="D49">
        <v>3</v>
      </c>
      <c r="E49">
        <v>1</v>
      </c>
      <c r="F49">
        <v>0</v>
      </c>
      <c r="G49">
        <f t="shared" si="14"/>
        <v>2</v>
      </c>
      <c r="H49">
        <v>1</v>
      </c>
      <c r="I49">
        <v>2</v>
      </c>
      <c r="J49">
        <f t="shared" si="15"/>
        <v>-1</v>
      </c>
    </row>
    <row r="51" spans="1:10" x14ac:dyDescent="0.3">
      <c r="A51" t="s">
        <v>113</v>
      </c>
    </row>
    <row r="52" spans="1:10" x14ac:dyDescent="0.3">
      <c r="A52" t="s">
        <v>383</v>
      </c>
    </row>
    <row r="53" spans="1:10" x14ac:dyDescent="0.3">
      <c r="A53" t="s">
        <v>386</v>
      </c>
    </row>
    <row r="54" spans="1:10" x14ac:dyDescent="0.3">
      <c r="A54" t="s">
        <v>380</v>
      </c>
    </row>
    <row r="56" spans="1:10" x14ac:dyDescent="0.3">
      <c r="A56" t="s">
        <v>114</v>
      </c>
    </row>
    <row r="57" spans="1:10" x14ac:dyDescent="0.3">
      <c r="A57" t="s">
        <v>383</v>
      </c>
    </row>
    <row r="58" spans="1:10" x14ac:dyDescent="0.3">
      <c r="A58" t="s">
        <v>379</v>
      </c>
    </row>
    <row r="59" spans="1:10" x14ac:dyDescent="0.3">
      <c r="A59" t="s">
        <v>386</v>
      </c>
    </row>
    <row r="60" spans="1:10" x14ac:dyDescent="0.3">
      <c r="A60" t="s">
        <v>388</v>
      </c>
    </row>
  </sheetData>
  <sortState xmlns:xlrd2="http://schemas.microsoft.com/office/spreadsheetml/2017/richdata2" ref="B21:J23">
    <sortCondition descending="1" ref="C21:C2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5365-E23C-4B9F-A08D-F88F287701AB}">
  <dimension ref="A1:X28"/>
  <sheetViews>
    <sheetView workbookViewId="0">
      <selection activeCell="L1" sqref="L1:U10"/>
    </sheetView>
  </sheetViews>
  <sheetFormatPr defaultRowHeight="14.4" x14ac:dyDescent="0.3"/>
  <sheetData>
    <row r="1" spans="1:24" x14ac:dyDescent="0.3">
      <c r="A1" t="s">
        <v>669</v>
      </c>
      <c r="L1" t="s">
        <v>679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670</v>
      </c>
      <c r="X2">
        <v>5</v>
      </c>
    </row>
    <row r="3" spans="1:24" x14ac:dyDescent="0.3">
      <c r="A3" s="1" t="s">
        <v>11</v>
      </c>
      <c r="B3" t="s">
        <v>670</v>
      </c>
      <c r="C3" s="3">
        <v>16</v>
      </c>
      <c r="D3">
        <v>9</v>
      </c>
      <c r="E3">
        <v>5</v>
      </c>
      <c r="F3">
        <v>1</v>
      </c>
      <c r="G3">
        <f>D3-E3-F3</f>
        <v>3</v>
      </c>
      <c r="H3">
        <v>9</v>
      </c>
      <c r="I3">
        <v>4</v>
      </c>
      <c r="J3">
        <f>H3-I3</f>
        <v>5</v>
      </c>
      <c r="L3" s="1" t="s">
        <v>11</v>
      </c>
      <c r="M3" t="s">
        <v>680</v>
      </c>
      <c r="N3" s="3">
        <v>17</v>
      </c>
      <c r="O3">
        <v>7</v>
      </c>
      <c r="P3">
        <v>5</v>
      </c>
      <c r="Q3">
        <v>2</v>
      </c>
      <c r="R3">
        <f>O3-P3-Q3</f>
        <v>0</v>
      </c>
      <c r="S3">
        <v>16</v>
      </c>
      <c r="T3">
        <v>6</v>
      </c>
      <c r="U3">
        <f>S3-T3</f>
        <v>10</v>
      </c>
      <c r="W3" t="s">
        <v>680</v>
      </c>
      <c r="X3">
        <v>3</v>
      </c>
    </row>
    <row r="4" spans="1:24" x14ac:dyDescent="0.3">
      <c r="A4" s="1" t="s">
        <v>12</v>
      </c>
      <c r="B4" t="s">
        <v>669</v>
      </c>
      <c r="C4" s="3">
        <v>15</v>
      </c>
      <c r="D4">
        <v>9</v>
      </c>
      <c r="E4">
        <v>4</v>
      </c>
      <c r="F4">
        <v>3</v>
      </c>
      <c r="G4">
        <f t="shared" ref="G4:G12" si="0">D4-E4-F4</f>
        <v>2</v>
      </c>
      <c r="H4">
        <v>13</v>
      </c>
      <c r="I4">
        <v>7</v>
      </c>
      <c r="J4">
        <f t="shared" ref="J4:J12" si="1">H4-I4</f>
        <v>6</v>
      </c>
      <c r="L4" s="1" t="s">
        <v>12</v>
      </c>
      <c r="M4" t="s">
        <v>44</v>
      </c>
      <c r="N4" s="3">
        <v>12</v>
      </c>
      <c r="O4">
        <v>7</v>
      </c>
      <c r="P4">
        <v>4</v>
      </c>
      <c r="Q4">
        <v>0</v>
      </c>
      <c r="R4">
        <f t="shared" ref="R4:R10" si="2">O4-P4-Q4</f>
        <v>3</v>
      </c>
      <c r="S4">
        <v>12</v>
      </c>
      <c r="T4">
        <v>10</v>
      </c>
      <c r="U4">
        <f t="shared" ref="U4:U10" si="3">S4-T4</f>
        <v>2</v>
      </c>
    </row>
    <row r="5" spans="1:24" x14ac:dyDescent="0.3">
      <c r="A5" s="1" t="s">
        <v>13</v>
      </c>
      <c r="B5" t="s">
        <v>671</v>
      </c>
      <c r="C5" s="3">
        <v>15</v>
      </c>
      <c r="D5">
        <v>9</v>
      </c>
      <c r="E5">
        <v>4</v>
      </c>
      <c r="F5">
        <v>3</v>
      </c>
      <c r="G5">
        <f t="shared" si="0"/>
        <v>2</v>
      </c>
      <c r="H5">
        <v>10</v>
      </c>
      <c r="I5">
        <v>6</v>
      </c>
      <c r="J5">
        <f t="shared" si="1"/>
        <v>4</v>
      </c>
      <c r="L5" t="s">
        <v>13</v>
      </c>
      <c r="M5" t="s">
        <v>681</v>
      </c>
      <c r="N5" s="3">
        <v>12</v>
      </c>
      <c r="O5">
        <v>7</v>
      </c>
      <c r="P5">
        <v>4</v>
      </c>
      <c r="Q5">
        <v>0</v>
      </c>
      <c r="R5">
        <f t="shared" si="2"/>
        <v>3</v>
      </c>
      <c r="S5">
        <v>11</v>
      </c>
      <c r="T5">
        <v>10</v>
      </c>
      <c r="U5">
        <f t="shared" si="3"/>
        <v>1</v>
      </c>
    </row>
    <row r="6" spans="1:24" x14ac:dyDescent="0.3">
      <c r="A6" s="1" t="s">
        <v>14</v>
      </c>
      <c r="B6" t="s">
        <v>672</v>
      </c>
      <c r="C6" s="3">
        <v>14</v>
      </c>
      <c r="D6">
        <v>9</v>
      </c>
      <c r="E6">
        <v>4</v>
      </c>
      <c r="F6">
        <v>2</v>
      </c>
      <c r="G6">
        <f t="shared" si="0"/>
        <v>3</v>
      </c>
      <c r="H6">
        <v>11</v>
      </c>
      <c r="I6">
        <v>9</v>
      </c>
      <c r="J6">
        <f t="shared" si="1"/>
        <v>2</v>
      </c>
      <c r="L6" t="s">
        <v>14</v>
      </c>
      <c r="M6" t="s">
        <v>682</v>
      </c>
      <c r="N6" s="3">
        <v>11</v>
      </c>
      <c r="O6">
        <v>7</v>
      </c>
      <c r="P6">
        <v>3</v>
      </c>
      <c r="Q6">
        <v>2</v>
      </c>
      <c r="R6">
        <f t="shared" si="2"/>
        <v>2</v>
      </c>
      <c r="S6">
        <v>8</v>
      </c>
      <c r="T6">
        <v>5</v>
      </c>
      <c r="U6">
        <f t="shared" si="3"/>
        <v>3</v>
      </c>
    </row>
    <row r="7" spans="1:24" x14ac:dyDescent="0.3">
      <c r="A7" t="s">
        <v>15</v>
      </c>
      <c r="B7" t="s">
        <v>674</v>
      </c>
      <c r="C7" s="3">
        <v>12</v>
      </c>
      <c r="D7">
        <v>9</v>
      </c>
      <c r="E7">
        <v>3</v>
      </c>
      <c r="F7">
        <v>3</v>
      </c>
      <c r="G7">
        <f t="shared" si="0"/>
        <v>3</v>
      </c>
      <c r="H7">
        <v>11</v>
      </c>
      <c r="I7">
        <v>10</v>
      </c>
      <c r="J7">
        <f t="shared" si="1"/>
        <v>1</v>
      </c>
      <c r="L7" t="s">
        <v>15</v>
      </c>
      <c r="M7" t="s">
        <v>683</v>
      </c>
      <c r="N7" s="3">
        <v>10</v>
      </c>
      <c r="O7">
        <v>7</v>
      </c>
      <c r="P7">
        <v>3</v>
      </c>
      <c r="Q7">
        <v>1</v>
      </c>
      <c r="R7">
        <f t="shared" si="2"/>
        <v>3</v>
      </c>
      <c r="S7">
        <v>10</v>
      </c>
      <c r="T7">
        <v>12</v>
      </c>
      <c r="U7">
        <f t="shared" si="3"/>
        <v>-2</v>
      </c>
    </row>
    <row r="8" spans="1:24" x14ac:dyDescent="0.3">
      <c r="A8" t="s">
        <v>16</v>
      </c>
      <c r="B8" t="s">
        <v>673</v>
      </c>
      <c r="C8" s="3">
        <v>12</v>
      </c>
      <c r="D8">
        <v>9</v>
      </c>
      <c r="E8">
        <v>2</v>
      </c>
      <c r="F8">
        <v>6</v>
      </c>
      <c r="G8">
        <f t="shared" si="0"/>
        <v>1</v>
      </c>
      <c r="H8">
        <v>9</v>
      </c>
      <c r="I8">
        <v>7</v>
      </c>
      <c r="J8">
        <f t="shared" si="1"/>
        <v>2</v>
      </c>
      <c r="L8" t="s">
        <v>16</v>
      </c>
      <c r="M8" t="s">
        <v>684</v>
      </c>
      <c r="N8" s="3">
        <v>7</v>
      </c>
      <c r="O8">
        <v>7</v>
      </c>
      <c r="P8">
        <v>2</v>
      </c>
      <c r="Q8">
        <v>1</v>
      </c>
      <c r="R8">
        <f t="shared" si="2"/>
        <v>4</v>
      </c>
      <c r="S8">
        <v>8</v>
      </c>
      <c r="T8">
        <v>12</v>
      </c>
      <c r="U8">
        <f t="shared" si="3"/>
        <v>-4</v>
      </c>
    </row>
    <row r="9" spans="1:24" x14ac:dyDescent="0.3">
      <c r="A9" t="s">
        <v>17</v>
      </c>
      <c r="B9" t="s">
        <v>675</v>
      </c>
      <c r="C9" s="3">
        <v>11</v>
      </c>
      <c r="D9">
        <v>9</v>
      </c>
      <c r="E9">
        <v>3</v>
      </c>
      <c r="F9">
        <v>2</v>
      </c>
      <c r="G9">
        <f>D9-E9-F9</f>
        <v>4</v>
      </c>
      <c r="H9">
        <v>6</v>
      </c>
      <c r="I9">
        <v>9</v>
      </c>
      <c r="J9">
        <f t="shared" si="1"/>
        <v>-3</v>
      </c>
      <c r="L9" t="s">
        <v>17</v>
      </c>
      <c r="M9" t="s">
        <v>685</v>
      </c>
      <c r="N9" s="3">
        <v>7</v>
      </c>
      <c r="O9">
        <v>7</v>
      </c>
      <c r="P9">
        <v>2</v>
      </c>
      <c r="Q9">
        <v>1</v>
      </c>
      <c r="R9">
        <f t="shared" si="2"/>
        <v>4</v>
      </c>
      <c r="S9">
        <v>6</v>
      </c>
      <c r="T9">
        <v>10</v>
      </c>
      <c r="U9">
        <f t="shared" si="3"/>
        <v>-4</v>
      </c>
    </row>
    <row r="10" spans="1:24" x14ac:dyDescent="0.3">
      <c r="A10" t="s">
        <v>18</v>
      </c>
      <c r="B10" t="s">
        <v>676</v>
      </c>
      <c r="C10" s="3">
        <v>10</v>
      </c>
      <c r="D10">
        <v>9</v>
      </c>
      <c r="E10">
        <v>3</v>
      </c>
      <c r="F10">
        <v>1</v>
      </c>
      <c r="G10">
        <f t="shared" si="0"/>
        <v>5</v>
      </c>
      <c r="H10">
        <v>7</v>
      </c>
      <c r="I10">
        <v>11</v>
      </c>
      <c r="J10">
        <f t="shared" si="1"/>
        <v>-4</v>
      </c>
      <c r="L10" t="s">
        <v>18</v>
      </c>
      <c r="M10" t="s">
        <v>686</v>
      </c>
      <c r="N10" s="3">
        <v>4</v>
      </c>
      <c r="O10">
        <v>7</v>
      </c>
      <c r="P10">
        <v>1</v>
      </c>
      <c r="Q10">
        <v>1</v>
      </c>
      <c r="R10">
        <f t="shared" si="2"/>
        <v>5</v>
      </c>
      <c r="S10">
        <v>7</v>
      </c>
      <c r="T10">
        <v>13</v>
      </c>
      <c r="U10">
        <f t="shared" si="3"/>
        <v>-6</v>
      </c>
    </row>
    <row r="11" spans="1:24" x14ac:dyDescent="0.3">
      <c r="A11" s="2" t="s">
        <v>55</v>
      </c>
      <c r="B11" t="s">
        <v>677</v>
      </c>
      <c r="C11" s="3">
        <v>9</v>
      </c>
      <c r="D11">
        <v>9</v>
      </c>
      <c r="E11">
        <v>2</v>
      </c>
      <c r="F11">
        <v>3</v>
      </c>
      <c r="G11">
        <f t="shared" si="0"/>
        <v>4</v>
      </c>
      <c r="H11">
        <v>10</v>
      </c>
      <c r="I11">
        <v>15</v>
      </c>
      <c r="J11">
        <f t="shared" si="1"/>
        <v>-5</v>
      </c>
      <c r="N11" s="3"/>
    </row>
    <row r="12" spans="1:24" x14ac:dyDescent="0.3">
      <c r="A12" s="2" t="s">
        <v>56</v>
      </c>
      <c r="B12" t="s">
        <v>678</v>
      </c>
      <c r="C12" s="3">
        <v>8</v>
      </c>
      <c r="D12">
        <v>9</v>
      </c>
      <c r="E12">
        <v>2</v>
      </c>
      <c r="F12">
        <v>2</v>
      </c>
      <c r="G12">
        <f t="shared" si="0"/>
        <v>5</v>
      </c>
      <c r="H12">
        <v>4</v>
      </c>
      <c r="I12">
        <v>12</v>
      </c>
      <c r="J12">
        <f t="shared" si="1"/>
        <v>-8</v>
      </c>
      <c r="N12" s="3"/>
    </row>
    <row r="13" spans="1:24" x14ac:dyDescent="0.3">
      <c r="N13" s="3"/>
    </row>
    <row r="14" spans="1:24" x14ac:dyDescent="0.3">
      <c r="A14" t="s">
        <v>49</v>
      </c>
    </row>
    <row r="15" spans="1:24" x14ac:dyDescent="0.3">
      <c r="A15" t="str">
        <f>B6</f>
        <v>Real Brasília</v>
      </c>
      <c r="B15" t="s">
        <v>176</v>
      </c>
      <c r="C15" t="str">
        <f>B3</f>
        <v>Sobradinho</v>
      </c>
      <c r="E15" t="str">
        <f>B3</f>
        <v>Sobradinho</v>
      </c>
      <c r="F15" t="s">
        <v>31</v>
      </c>
      <c r="G15" t="str">
        <f>B6</f>
        <v>Real Brasília</v>
      </c>
    </row>
    <row r="16" spans="1:24" x14ac:dyDescent="0.3">
      <c r="A16" t="str">
        <f>B5</f>
        <v>Capital</v>
      </c>
      <c r="B16" t="s">
        <v>73</v>
      </c>
      <c r="C16" t="str">
        <f>B4</f>
        <v>Brasiliense</v>
      </c>
      <c r="E16" t="str">
        <f>B4</f>
        <v>Brasiliense</v>
      </c>
      <c r="F16" t="s">
        <v>30</v>
      </c>
      <c r="G16" t="str">
        <f>B5</f>
        <v>Capital</v>
      </c>
    </row>
    <row r="18" spans="1:3" x14ac:dyDescent="0.3">
      <c r="A18" t="s">
        <v>19</v>
      </c>
    </row>
    <row r="19" spans="1:3" x14ac:dyDescent="0.3">
      <c r="A19" t="s">
        <v>670</v>
      </c>
      <c r="B19" t="s">
        <v>30</v>
      </c>
      <c r="C19" t="s">
        <v>669</v>
      </c>
    </row>
    <row r="21" spans="1:3" x14ac:dyDescent="0.3">
      <c r="A21" t="s">
        <v>113</v>
      </c>
    </row>
    <row r="22" spans="1:3" x14ac:dyDescent="0.3">
      <c r="A22" t="s">
        <v>670</v>
      </c>
    </row>
    <row r="23" spans="1:3" x14ac:dyDescent="0.3">
      <c r="A23" t="s">
        <v>669</v>
      </c>
    </row>
    <row r="25" spans="1:3" x14ac:dyDescent="0.3">
      <c r="A25" t="s">
        <v>114</v>
      </c>
    </row>
    <row r="26" spans="1:3" x14ac:dyDescent="0.3">
      <c r="A26" t="s">
        <v>670</v>
      </c>
    </row>
    <row r="27" spans="1:3" x14ac:dyDescent="0.3">
      <c r="A27" t="s">
        <v>669</v>
      </c>
    </row>
    <row r="28" spans="1:3" x14ac:dyDescent="0.3">
      <c r="A28" t="s">
        <v>671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4B9C-3A9F-4E1C-A0BE-5DDABD2F7E1F}">
  <dimension ref="A1:AI34"/>
  <sheetViews>
    <sheetView topLeftCell="I9" workbookViewId="0">
      <selection activeCell="W1" sqref="W1:AF26"/>
    </sheetView>
  </sheetViews>
  <sheetFormatPr defaultRowHeight="14.4" x14ac:dyDescent="0.3"/>
  <sheetData>
    <row r="1" spans="1:35" x14ac:dyDescent="0.3">
      <c r="A1" t="s">
        <v>699</v>
      </c>
      <c r="L1" t="s">
        <v>709</v>
      </c>
      <c r="W1" t="s">
        <v>708</v>
      </c>
      <c r="AH1" t="s">
        <v>50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702</v>
      </c>
      <c r="AI2">
        <v>1</v>
      </c>
    </row>
    <row r="3" spans="1:35" x14ac:dyDescent="0.3">
      <c r="A3" s="1" t="s">
        <v>11</v>
      </c>
      <c r="B3" t="s">
        <v>700</v>
      </c>
      <c r="C3" s="3">
        <v>18</v>
      </c>
      <c r="D3">
        <v>9</v>
      </c>
      <c r="E3">
        <v>5</v>
      </c>
      <c r="F3">
        <v>3</v>
      </c>
      <c r="G3">
        <f>D3-E3-F3</f>
        <v>1</v>
      </c>
      <c r="H3">
        <v>14</v>
      </c>
      <c r="I3">
        <v>8</v>
      </c>
      <c r="J3">
        <f>H3-I3</f>
        <v>6</v>
      </c>
      <c r="L3" s="1" t="s">
        <v>11</v>
      </c>
      <c r="M3" t="s">
        <v>710</v>
      </c>
      <c r="N3" s="3">
        <v>15</v>
      </c>
      <c r="O3">
        <v>7</v>
      </c>
      <c r="P3">
        <v>5</v>
      </c>
      <c r="Q3">
        <v>0</v>
      </c>
      <c r="R3">
        <f>O3-P3-Q3</f>
        <v>2</v>
      </c>
      <c r="S3">
        <v>12</v>
      </c>
      <c r="T3">
        <v>6</v>
      </c>
      <c r="U3">
        <f>S3-T3</f>
        <v>6</v>
      </c>
      <c r="W3" s="1" t="s">
        <v>11</v>
      </c>
      <c r="X3" t="s">
        <v>703</v>
      </c>
      <c r="Y3" s="3">
        <v>24</v>
      </c>
      <c r="Z3">
        <v>11</v>
      </c>
      <c r="AA3">
        <v>8</v>
      </c>
      <c r="AB3">
        <v>0</v>
      </c>
      <c r="AC3">
        <f>Z3-AA3-AB3</f>
        <v>3</v>
      </c>
      <c r="AD3">
        <v>24</v>
      </c>
      <c r="AE3">
        <v>12</v>
      </c>
      <c r="AF3">
        <f>AD3-AE3</f>
        <v>12</v>
      </c>
      <c r="AH3" t="s">
        <v>712</v>
      </c>
      <c r="AI3">
        <v>2</v>
      </c>
    </row>
    <row r="4" spans="1:35" x14ac:dyDescent="0.3">
      <c r="A4" s="1" t="s">
        <v>12</v>
      </c>
      <c r="B4" t="s">
        <v>701</v>
      </c>
      <c r="C4" s="3">
        <v>18</v>
      </c>
      <c r="D4">
        <v>9</v>
      </c>
      <c r="E4">
        <v>5</v>
      </c>
      <c r="F4">
        <v>3</v>
      </c>
      <c r="G4">
        <f t="shared" ref="G4:G12" si="0">D4-E4-F4</f>
        <v>1</v>
      </c>
      <c r="H4">
        <v>10</v>
      </c>
      <c r="I4">
        <v>5</v>
      </c>
      <c r="J4">
        <f t="shared" ref="J4:J12" si="1">H4-I4</f>
        <v>5</v>
      </c>
      <c r="L4" s="1" t="s">
        <v>12</v>
      </c>
      <c r="M4" t="s">
        <v>711</v>
      </c>
      <c r="N4" s="3">
        <v>13</v>
      </c>
      <c r="O4">
        <v>7</v>
      </c>
      <c r="P4">
        <v>4</v>
      </c>
      <c r="Q4">
        <v>1</v>
      </c>
      <c r="R4">
        <f t="shared" ref="R4:R10" si="2">O4-P4-Q4</f>
        <v>2</v>
      </c>
      <c r="S4">
        <v>10</v>
      </c>
      <c r="T4">
        <v>7</v>
      </c>
      <c r="U4">
        <f t="shared" ref="U4:U10" si="3">S4-T4</f>
        <v>3</v>
      </c>
      <c r="W4" s="1" t="s">
        <v>12</v>
      </c>
      <c r="X4" t="s">
        <v>476</v>
      </c>
      <c r="Y4" s="3">
        <v>23</v>
      </c>
      <c r="Z4">
        <v>11</v>
      </c>
      <c r="AA4">
        <v>7</v>
      </c>
      <c r="AB4">
        <v>2</v>
      </c>
      <c r="AC4">
        <f t="shared" ref="AC4:AC14" si="4">Z4-AA4-AB4</f>
        <v>2</v>
      </c>
      <c r="AD4">
        <v>18</v>
      </c>
      <c r="AE4">
        <v>11</v>
      </c>
      <c r="AF4">
        <f t="shared" ref="AF4:AF14" si="5">AD4-AE4</f>
        <v>7</v>
      </c>
      <c r="AH4" t="s">
        <v>702</v>
      </c>
      <c r="AI4">
        <v>1</v>
      </c>
    </row>
    <row r="5" spans="1:35" x14ac:dyDescent="0.3">
      <c r="A5" s="1" t="s">
        <v>13</v>
      </c>
      <c r="B5" t="s">
        <v>699</v>
      </c>
      <c r="C5" s="3">
        <v>17</v>
      </c>
      <c r="D5">
        <v>9</v>
      </c>
      <c r="E5">
        <v>5</v>
      </c>
      <c r="F5">
        <v>2</v>
      </c>
      <c r="G5">
        <f t="shared" si="0"/>
        <v>2</v>
      </c>
      <c r="H5">
        <v>12</v>
      </c>
      <c r="I5">
        <v>10</v>
      </c>
      <c r="J5">
        <f t="shared" si="1"/>
        <v>2</v>
      </c>
      <c r="L5" s="1" t="s">
        <v>13</v>
      </c>
      <c r="M5" t="s">
        <v>712</v>
      </c>
      <c r="N5" s="3">
        <v>13</v>
      </c>
      <c r="O5">
        <v>7</v>
      </c>
      <c r="P5">
        <v>4</v>
      </c>
      <c r="Q5">
        <v>1</v>
      </c>
      <c r="R5">
        <f t="shared" si="2"/>
        <v>2</v>
      </c>
      <c r="S5">
        <v>10</v>
      </c>
      <c r="T5">
        <v>8</v>
      </c>
      <c r="U5">
        <f t="shared" si="3"/>
        <v>2</v>
      </c>
      <c r="W5" s="1" t="s">
        <v>13</v>
      </c>
      <c r="X5" t="s">
        <v>702</v>
      </c>
      <c r="Y5" s="3">
        <v>22</v>
      </c>
      <c r="Z5">
        <v>11</v>
      </c>
      <c r="AA5">
        <v>7</v>
      </c>
      <c r="AB5">
        <v>1</v>
      </c>
      <c r="AC5">
        <f t="shared" si="4"/>
        <v>3</v>
      </c>
      <c r="AD5">
        <v>21</v>
      </c>
      <c r="AE5">
        <v>16</v>
      </c>
      <c r="AF5">
        <f t="shared" si="5"/>
        <v>5</v>
      </c>
    </row>
    <row r="6" spans="1:35" x14ac:dyDescent="0.3">
      <c r="A6" s="1" t="s">
        <v>14</v>
      </c>
      <c r="B6" t="s">
        <v>702</v>
      </c>
      <c r="C6" s="3">
        <v>14</v>
      </c>
      <c r="D6">
        <v>9</v>
      </c>
      <c r="E6">
        <v>4</v>
      </c>
      <c r="F6">
        <v>2</v>
      </c>
      <c r="G6">
        <f t="shared" si="0"/>
        <v>3</v>
      </c>
      <c r="H6">
        <v>14</v>
      </c>
      <c r="I6">
        <v>10</v>
      </c>
      <c r="J6">
        <f t="shared" si="1"/>
        <v>4</v>
      </c>
      <c r="L6" s="1" t="s">
        <v>14</v>
      </c>
      <c r="M6" t="s">
        <v>489</v>
      </c>
      <c r="N6" s="3">
        <v>12</v>
      </c>
      <c r="O6">
        <v>7</v>
      </c>
      <c r="P6">
        <v>4</v>
      </c>
      <c r="Q6">
        <v>0</v>
      </c>
      <c r="R6">
        <f t="shared" si="2"/>
        <v>3</v>
      </c>
      <c r="S6">
        <v>12</v>
      </c>
      <c r="T6">
        <v>12</v>
      </c>
      <c r="U6">
        <f t="shared" si="3"/>
        <v>0</v>
      </c>
      <c r="W6" s="1" t="s">
        <v>14</v>
      </c>
      <c r="X6" t="s">
        <v>701</v>
      </c>
      <c r="Y6" s="3">
        <v>19</v>
      </c>
      <c r="Z6">
        <v>11</v>
      </c>
      <c r="AA6">
        <v>6</v>
      </c>
      <c r="AB6">
        <v>1</v>
      </c>
      <c r="AC6">
        <f t="shared" si="4"/>
        <v>4</v>
      </c>
      <c r="AD6">
        <v>17</v>
      </c>
      <c r="AE6">
        <v>16</v>
      </c>
      <c r="AF6">
        <f t="shared" si="5"/>
        <v>1</v>
      </c>
    </row>
    <row r="7" spans="1:35" x14ac:dyDescent="0.3">
      <c r="A7" s="1" t="s">
        <v>15</v>
      </c>
      <c r="B7" t="s">
        <v>703</v>
      </c>
      <c r="C7" s="3">
        <v>12</v>
      </c>
      <c r="D7">
        <v>9</v>
      </c>
      <c r="E7">
        <v>3</v>
      </c>
      <c r="F7">
        <v>3</v>
      </c>
      <c r="G7">
        <f t="shared" si="0"/>
        <v>3</v>
      </c>
      <c r="H7">
        <v>7</v>
      </c>
      <c r="I7">
        <v>6</v>
      </c>
      <c r="J7">
        <f t="shared" si="1"/>
        <v>1</v>
      </c>
      <c r="L7" t="s">
        <v>15</v>
      </c>
      <c r="M7" t="s">
        <v>713</v>
      </c>
      <c r="N7" s="3">
        <v>9</v>
      </c>
      <c r="O7">
        <v>7</v>
      </c>
      <c r="P7">
        <v>3</v>
      </c>
      <c r="Q7">
        <v>0</v>
      </c>
      <c r="R7">
        <f t="shared" si="2"/>
        <v>4</v>
      </c>
      <c r="S7">
        <v>10</v>
      </c>
      <c r="T7">
        <v>12</v>
      </c>
      <c r="U7">
        <f t="shared" si="3"/>
        <v>-2</v>
      </c>
      <c r="W7" s="1" t="s">
        <v>15</v>
      </c>
      <c r="X7" t="s">
        <v>699</v>
      </c>
      <c r="Y7" s="3">
        <v>18</v>
      </c>
      <c r="Z7">
        <v>11</v>
      </c>
      <c r="AA7">
        <v>6</v>
      </c>
      <c r="AB7">
        <v>0</v>
      </c>
      <c r="AC7">
        <f t="shared" si="4"/>
        <v>5</v>
      </c>
      <c r="AD7">
        <v>15</v>
      </c>
      <c r="AE7">
        <v>16</v>
      </c>
      <c r="AF7">
        <f t="shared" si="5"/>
        <v>-1</v>
      </c>
    </row>
    <row r="8" spans="1:35" x14ac:dyDescent="0.3">
      <c r="A8" s="1" t="s">
        <v>16</v>
      </c>
      <c r="B8" t="s">
        <v>704</v>
      </c>
      <c r="C8" s="3">
        <v>12</v>
      </c>
      <c r="D8">
        <v>9</v>
      </c>
      <c r="E8">
        <v>3</v>
      </c>
      <c r="F8">
        <v>3</v>
      </c>
      <c r="G8">
        <f t="shared" si="0"/>
        <v>3</v>
      </c>
      <c r="H8">
        <v>12</v>
      </c>
      <c r="I8">
        <v>12</v>
      </c>
      <c r="J8">
        <f t="shared" si="1"/>
        <v>0</v>
      </c>
      <c r="L8" t="s">
        <v>16</v>
      </c>
      <c r="M8" t="s">
        <v>714</v>
      </c>
      <c r="N8" s="3">
        <v>7</v>
      </c>
      <c r="O8">
        <v>7</v>
      </c>
      <c r="P8">
        <v>2</v>
      </c>
      <c r="Q8">
        <v>1</v>
      </c>
      <c r="R8">
        <f t="shared" si="2"/>
        <v>4</v>
      </c>
      <c r="S8">
        <v>9</v>
      </c>
      <c r="T8">
        <v>9</v>
      </c>
      <c r="U8">
        <f t="shared" si="3"/>
        <v>0</v>
      </c>
      <c r="W8" s="1" t="s">
        <v>16</v>
      </c>
      <c r="X8" t="s">
        <v>704</v>
      </c>
      <c r="Y8" s="3">
        <v>17</v>
      </c>
      <c r="Z8">
        <v>11</v>
      </c>
      <c r="AA8">
        <v>5</v>
      </c>
      <c r="AB8">
        <v>2</v>
      </c>
      <c r="AC8">
        <f t="shared" si="4"/>
        <v>4</v>
      </c>
      <c r="AD8">
        <v>11</v>
      </c>
      <c r="AE8">
        <v>10</v>
      </c>
      <c r="AF8">
        <f t="shared" si="5"/>
        <v>1</v>
      </c>
    </row>
    <row r="9" spans="1:35" x14ac:dyDescent="0.3">
      <c r="A9" s="1" t="s">
        <v>17</v>
      </c>
      <c r="B9" t="s">
        <v>705</v>
      </c>
      <c r="C9" s="3">
        <v>10</v>
      </c>
      <c r="D9">
        <v>9</v>
      </c>
      <c r="E9">
        <v>2</v>
      </c>
      <c r="F9">
        <v>4</v>
      </c>
      <c r="G9">
        <f t="shared" si="0"/>
        <v>3</v>
      </c>
      <c r="H9">
        <v>7</v>
      </c>
      <c r="I9">
        <v>11</v>
      </c>
      <c r="J9">
        <f t="shared" si="1"/>
        <v>-4</v>
      </c>
      <c r="L9" t="s">
        <v>17</v>
      </c>
      <c r="M9" t="s">
        <v>715</v>
      </c>
      <c r="N9" s="3">
        <v>7</v>
      </c>
      <c r="O9">
        <v>7</v>
      </c>
      <c r="P9">
        <v>2</v>
      </c>
      <c r="Q9">
        <v>1</v>
      </c>
      <c r="R9">
        <f t="shared" si="2"/>
        <v>4</v>
      </c>
      <c r="S9">
        <v>5</v>
      </c>
      <c r="T9">
        <v>8</v>
      </c>
      <c r="U9">
        <f t="shared" si="3"/>
        <v>-3</v>
      </c>
      <c r="W9" s="1" t="s">
        <v>17</v>
      </c>
      <c r="X9" t="s">
        <v>700</v>
      </c>
      <c r="Y9" s="3">
        <v>15</v>
      </c>
      <c r="Z9">
        <v>11</v>
      </c>
      <c r="AA9">
        <v>5</v>
      </c>
      <c r="AB9">
        <v>0</v>
      </c>
      <c r="AC9">
        <f t="shared" si="4"/>
        <v>6</v>
      </c>
      <c r="AD9">
        <v>16</v>
      </c>
      <c r="AE9">
        <v>15</v>
      </c>
      <c r="AF9">
        <f t="shared" si="5"/>
        <v>1</v>
      </c>
    </row>
    <row r="10" spans="1:35" x14ac:dyDescent="0.3">
      <c r="A10" s="1" t="s">
        <v>18</v>
      </c>
      <c r="B10" t="s">
        <v>476</v>
      </c>
      <c r="C10" s="3">
        <v>8</v>
      </c>
      <c r="D10">
        <v>9</v>
      </c>
      <c r="E10">
        <v>2</v>
      </c>
      <c r="F10">
        <v>2</v>
      </c>
      <c r="G10">
        <f t="shared" si="0"/>
        <v>5</v>
      </c>
      <c r="H10">
        <v>7</v>
      </c>
      <c r="I10">
        <v>10</v>
      </c>
      <c r="J10">
        <f t="shared" si="1"/>
        <v>-3</v>
      </c>
      <c r="L10" t="s">
        <v>18</v>
      </c>
      <c r="M10" t="s">
        <v>716</v>
      </c>
      <c r="N10" s="3">
        <v>6</v>
      </c>
      <c r="O10">
        <v>7</v>
      </c>
      <c r="P10">
        <v>2</v>
      </c>
      <c r="Q10">
        <v>0</v>
      </c>
      <c r="R10">
        <f t="shared" si="2"/>
        <v>5</v>
      </c>
      <c r="S10">
        <v>10</v>
      </c>
      <c r="T10">
        <v>16</v>
      </c>
      <c r="U10">
        <f t="shared" si="3"/>
        <v>-6</v>
      </c>
      <c r="W10" s="1" t="s">
        <v>18</v>
      </c>
      <c r="X10" t="s">
        <v>712</v>
      </c>
      <c r="Y10" s="3">
        <v>13</v>
      </c>
      <c r="Z10">
        <v>11</v>
      </c>
      <c r="AA10">
        <v>4</v>
      </c>
      <c r="AB10">
        <v>1</v>
      </c>
      <c r="AC10">
        <f t="shared" si="4"/>
        <v>6</v>
      </c>
      <c r="AD10">
        <v>17</v>
      </c>
      <c r="AE10">
        <v>18</v>
      </c>
      <c r="AF10">
        <f t="shared" si="5"/>
        <v>-1</v>
      </c>
    </row>
    <row r="11" spans="1:35" x14ac:dyDescent="0.3">
      <c r="A11" s="2" t="s">
        <v>55</v>
      </c>
      <c r="B11" t="s">
        <v>151</v>
      </c>
      <c r="C11" s="3">
        <v>8</v>
      </c>
      <c r="D11">
        <v>9</v>
      </c>
      <c r="E11">
        <v>2</v>
      </c>
      <c r="F11">
        <v>2</v>
      </c>
      <c r="G11">
        <f t="shared" si="0"/>
        <v>5</v>
      </c>
      <c r="H11">
        <v>9</v>
      </c>
      <c r="I11">
        <v>14</v>
      </c>
      <c r="J11">
        <f t="shared" si="1"/>
        <v>-5</v>
      </c>
      <c r="W11" t="s">
        <v>55</v>
      </c>
      <c r="X11" t="s">
        <v>705</v>
      </c>
      <c r="Y11" s="3">
        <v>12</v>
      </c>
      <c r="Z11">
        <v>11</v>
      </c>
      <c r="AA11">
        <v>4</v>
      </c>
      <c r="AB11">
        <v>0</v>
      </c>
      <c r="AC11">
        <f>Z11-AA11-AB11</f>
        <v>7</v>
      </c>
      <c r="AD11">
        <v>12</v>
      </c>
      <c r="AE11">
        <v>17</v>
      </c>
      <c r="AF11">
        <f>AD11-AE11</f>
        <v>-5</v>
      </c>
    </row>
    <row r="12" spans="1:35" x14ac:dyDescent="0.3">
      <c r="A12" s="2" t="s">
        <v>56</v>
      </c>
      <c r="B12" t="s">
        <v>706</v>
      </c>
      <c r="C12" s="3">
        <v>5</v>
      </c>
      <c r="D12">
        <v>9</v>
      </c>
      <c r="E12">
        <v>1</v>
      </c>
      <c r="F12">
        <v>2</v>
      </c>
      <c r="G12">
        <f t="shared" si="0"/>
        <v>6</v>
      </c>
      <c r="H12">
        <v>3</v>
      </c>
      <c r="I12">
        <v>9</v>
      </c>
      <c r="J12">
        <f t="shared" si="1"/>
        <v>-6</v>
      </c>
      <c r="L12" t="s">
        <v>49</v>
      </c>
      <c r="W12" t="s">
        <v>56</v>
      </c>
      <c r="X12" t="s">
        <v>710</v>
      </c>
      <c r="Y12" s="3">
        <v>11</v>
      </c>
      <c r="Z12">
        <v>11</v>
      </c>
      <c r="AA12">
        <v>3</v>
      </c>
      <c r="AB12">
        <v>2</v>
      </c>
      <c r="AC12">
        <f t="shared" si="4"/>
        <v>6</v>
      </c>
      <c r="AD12">
        <v>13</v>
      </c>
      <c r="AE12">
        <v>18</v>
      </c>
      <c r="AF12">
        <f t="shared" si="5"/>
        <v>-5</v>
      </c>
    </row>
    <row r="13" spans="1:35" x14ac:dyDescent="0.3">
      <c r="L13" t="str">
        <f>M6</f>
        <v>Sport</v>
      </c>
      <c r="M13" t="s">
        <v>75</v>
      </c>
      <c r="N13" t="str">
        <f>M3</f>
        <v>Linhares</v>
      </c>
      <c r="P13" t="str">
        <f>M3</f>
        <v>Linhares</v>
      </c>
      <c r="Q13" t="s">
        <v>134</v>
      </c>
      <c r="R13" t="str">
        <f>M6</f>
        <v>Sport</v>
      </c>
      <c r="W13" t="s">
        <v>57</v>
      </c>
      <c r="X13" t="s">
        <v>711</v>
      </c>
      <c r="Y13" s="3">
        <v>8</v>
      </c>
      <c r="Z13">
        <v>11</v>
      </c>
      <c r="AA13">
        <v>2</v>
      </c>
      <c r="AB13">
        <v>2</v>
      </c>
      <c r="AC13">
        <f t="shared" si="4"/>
        <v>7</v>
      </c>
      <c r="AD13">
        <v>10</v>
      </c>
      <c r="AE13">
        <v>19</v>
      </c>
      <c r="AF13">
        <f t="shared" si="5"/>
        <v>-9</v>
      </c>
    </row>
    <row r="14" spans="1:35" x14ac:dyDescent="0.3">
      <c r="A14" t="s">
        <v>59</v>
      </c>
      <c r="L14" t="str">
        <f>M5</f>
        <v>Nova Venécia</v>
      </c>
      <c r="M14" t="s">
        <v>32</v>
      </c>
      <c r="N14" t="str">
        <f>M4</f>
        <v>Jaguaré</v>
      </c>
      <c r="P14" t="str">
        <f>M4</f>
        <v>Jaguaré</v>
      </c>
      <c r="Q14" t="s">
        <v>73</v>
      </c>
      <c r="R14" t="str">
        <f>M5</f>
        <v>Nova Venécia</v>
      </c>
      <c r="W14" t="s">
        <v>58</v>
      </c>
      <c r="X14" t="s">
        <v>489</v>
      </c>
      <c r="Y14" s="3">
        <v>8</v>
      </c>
      <c r="Z14">
        <v>11</v>
      </c>
      <c r="AA14">
        <v>1</v>
      </c>
      <c r="AB14">
        <v>5</v>
      </c>
      <c r="AC14">
        <f t="shared" si="4"/>
        <v>5</v>
      </c>
      <c r="AD14">
        <v>14</v>
      </c>
      <c r="AE14">
        <v>20</v>
      </c>
      <c r="AF14">
        <f t="shared" si="5"/>
        <v>-6</v>
      </c>
    </row>
    <row r="15" spans="1:35" x14ac:dyDescent="0.3">
      <c r="A15" t="str">
        <f>B10</f>
        <v>Vitória</v>
      </c>
      <c r="B15" t="s">
        <v>29</v>
      </c>
      <c r="C15" t="str">
        <f>B3</f>
        <v>Porto Vitória</v>
      </c>
      <c r="E15" t="str">
        <f>B3</f>
        <v>Porto Vitória</v>
      </c>
      <c r="F15" t="s">
        <v>30</v>
      </c>
      <c r="G15" t="str">
        <f>B10</f>
        <v>Vitória</v>
      </c>
    </row>
    <row r="16" spans="1:35" x14ac:dyDescent="0.3">
      <c r="A16" t="str">
        <f>B9</f>
        <v>Rio Branco VN</v>
      </c>
      <c r="B16" t="s">
        <v>30</v>
      </c>
      <c r="C16" t="str">
        <f>B4</f>
        <v>Desportiva Ferroviária</v>
      </c>
      <c r="E16" t="str">
        <f>B4</f>
        <v>Desportiva Ferroviária</v>
      </c>
      <c r="F16" t="s">
        <v>134</v>
      </c>
      <c r="G16" t="str">
        <f>B9</f>
        <v>Rio Branco VN</v>
      </c>
      <c r="L16" t="s">
        <v>19</v>
      </c>
      <c r="W16" t="s">
        <v>59</v>
      </c>
    </row>
    <row r="17" spans="1:29" x14ac:dyDescent="0.3">
      <c r="A17" t="str">
        <f>B8</f>
        <v>Serra</v>
      </c>
      <c r="B17" t="s">
        <v>28</v>
      </c>
      <c r="C17" t="str">
        <f>B5</f>
        <v>Capixaba</v>
      </c>
      <c r="E17" t="str">
        <f>B5</f>
        <v>Capixaba</v>
      </c>
      <c r="F17" t="s">
        <v>73</v>
      </c>
      <c r="G17" t="str">
        <f>B8</f>
        <v>Serra</v>
      </c>
      <c r="L17" t="s">
        <v>710</v>
      </c>
      <c r="M17" t="s">
        <v>29</v>
      </c>
      <c r="N17" t="s">
        <v>712</v>
      </c>
      <c r="W17" t="str">
        <f>X10</f>
        <v>Nova Venécia</v>
      </c>
      <c r="X17" t="s">
        <v>31</v>
      </c>
      <c r="Y17" t="str">
        <f>X3</f>
        <v>Vilavelhense</v>
      </c>
      <c r="AA17" t="str">
        <f>X3</f>
        <v>Vilavelhense</v>
      </c>
      <c r="AB17" t="s">
        <v>717</v>
      </c>
      <c r="AC17" t="str">
        <f>X10</f>
        <v>Nova Venécia</v>
      </c>
    </row>
    <row r="18" spans="1:29" x14ac:dyDescent="0.3">
      <c r="A18" t="str">
        <f>B7</f>
        <v>Vilavelhense</v>
      </c>
      <c r="B18" t="s">
        <v>73</v>
      </c>
      <c r="C18" t="str">
        <f>B6</f>
        <v>Forte</v>
      </c>
      <c r="E18" t="str">
        <f>B6</f>
        <v>Forte</v>
      </c>
      <c r="F18" t="s">
        <v>32</v>
      </c>
      <c r="G18" t="str">
        <f>B7</f>
        <v>Vilavelhense</v>
      </c>
      <c r="W18" t="str">
        <f>X9</f>
        <v>Porto Vitória</v>
      </c>
      <c r="X18" t="s">
        <v>134</v>
      </c>
      <c r="Y18" t="str">
        <f>X4</f>
        <v>Vitória</v>
      </c>
      <c r="AA18" t="str">
        <f>X4</f>
        <v>Vitória</v>
      </c>
      <c r="AB18" t="s">
        <v>132</v>
      </c>
      <c r="AC18" t="str">
        <f>X9</f>
        <v>Porto Vitória</v>
      </c>
    </row>
    <row r="19" spans="1:29" x14ac:dyDescent="0.3">
      <c r="W19" t="str">
        <f>X8</f>
        <v>Serra</v>
      </c>
      <c r="X19" t="s">
        <v>75</v>
      </c>
      <c r="Y19" t="str">
        <f>X5</f>
        <v>Forte</v>
      </c>
      <c r="AA19" t="str">
        <f>X5</f>
        <v>Forte</v>
      </c>
      <c r="AB19" t="s">
        <v>30</v>
      </c>
      <c r="AC19" t="str">
        <f>X8</f>
        <v>Serra</v>
      </c>
    </row>
    <row r="20" spans="1:29" x14ac:dyDescent="0.3">
      <c r="A20" t="s">
        <v>49</v>
      </c>
      <c r="W20" t="str">
        <f>X7</f>
        <v>Capixaba</v>
      </c>
      <c r="X20" t="s">
        <v>31</v>
      </c>
      <c r="Y20" t="str">
        <f>X6</f>
        <v>Desportiva Ferroviária</v>
      </c>
      <c r="AA20" t="str">
        <f>X6</f>
        <v>Desportiva Ferroviária</v>
      </c>
      <c r="AB20" t="s">
        <v>138</v>
      </c>
      <c r="AC20" t="str">
        <f>X7</f>
        <v>Capixaba</v>
      </c>
    </row>
    <row r="21" spans="1:29" x14ac:dyDescent="0.3">
      <c r="A21" t="s">
        <v>702</v>
      </c>
      <c r="B21" t="s">
        <v>138</v>
      </c>
      <c r="C21" t="s">
        <v>700</v>
      </c>
      <c r="E21" t="s">
        <v>700</v>
      </c>
      <c r="F21" t="s">
        <v>73</v>
      </c>
      <c r="G21" t="s">
        <v>702</v>
      </c>
    </row>
    <row r="22" spans="1:29" x14ac:dyDescent="0.3">
      <c r="A22" t="s">
        <v>704</v>
      </c>
      <c r="B22" t="s">
        <v>31</v>
      </c>
      <c r="C22" t="s">
        <v>701</v>
      </c>
      <c r="E22" t="s">
        <v>701</v>
      </c>
      <c r="F22" t="s">
        <v>73</v>
      </c>
      <c r="G22" t="s">
        <v>704</v>
      </c>
      <c r="W22" t="s">
        <v>49</v>
      </c>
    </row>
    <row r="23" spans="1:29" x14ac:dyDescent="0.3">
      <c r="W23" t="s">
        <v>699</v>
      </c>
      <c r="X23" t="s">
        <v>75</v>
      </c>
      <c r="Y23" t="s">
        <v>703</v>
      </c>
      <c r="AA23" t="s">
        <v>703</v>
      </c>
      <c r="AB23" t="s">
        <v>718</v>
      </c>
      <c r="AC23" t="s">
        <v>699</v>
      </c>
    </row>
    <row r="24" spans="1:29" x14ac:dyDescent="0.3">
      <c r="A24" t="s">
        <v>19</v>
      </c>
      <c r="W24" t="s">
        <v>700</v>
      </c>
      <c r="X24" t="s">
        <v>138</v>
      </c>
      <c r="Y24" t="s">
        <v>702</v>
      </c>
      <c r="AA24" t="s">
        <v>702</v>
      </c>
      <c r="AB24" t="s">
        <v>134</v>
      </c>
      <c r="AC24" t="s">
        <v>700</v>
      </c>
    </row>
    <row r="25" spans="1:29" x14ac:dyDescent="0.3">
      <c r="A25" t="s">
        <v>704</v>
      </c>
      <c r="B25" t="s">
        <v>28</v>
      </c>
      <c r="C25" t="s">
        <v>702</v>
      </c>
      <c r="E25" t="s">
        <v>702</v>
      </c>
      <c r="F25" t="s">
        <v>707</v>
      </c>
      <c r="G25" t="s">
        <v>704</v>
      </c>
    </row>
    <row r="26" spans="1:29" x14ac:dyDescent="0.3">
      <c r="W26" t="s">
        <v>19</v>
      </c>
    </row>
    <row r="27" spans="1:29" x14ac:dyDescent="0.3">
      <c r="A27" t="s">
        <v>113</v>
      </c>
      <c r="W27" t="s">
        <v>702</v>
      </c>
      <c r="X27" t="s">
        <v>31</v>
      </c>
      <c r="Y27" t="s">
        <v>699</v>
      </c>
    </row>
    <row r="28" spans="1:29" x14ac:dyDescent="0.3">
      <c r="A28" t="s">
        <v>702</v>
      </c>
    </row>
    <row r="29" spans="1:29" x14ac:dyDescent="0.3">
      <c r="A29" t="s">
        <v>699</v>
      </c>
    </row>
    <row r="31" spans="1:29" x14ac:dyDescent="0.3">
      <c r="A31" t="s">
        <v>114</v>
      </c>
    </row>
    <row r="32" spans="1:29" x14ac:dyDescent="0.3">
      <c r="A32" t="s">
        <v>702</v>
      </c>
    </row>
    <row r="33" spans="1:1" x14ac:dyDescent="0.3">
      <c r="A33" t="s">
        <v>704</v>
      </c>
    </row>
    <row r="34" spans="1:1" x14ac:dyDescent="0.3">
      <c r="A34" t="s">
        <v>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6307-F601-4ACE-80E4-704136045CCD}">
  <dimension ref="A1:AP45"/>
  <sheetViews>
    <sheetView topLeftCell="Q1" workbookViewId="0">
      <selection activeCell="S1" sqref="S1:AM12"/>
    </sheetView>
  </sheetViews>
  <sheetFormatPr defaultRowHeight="14.4" x14ac:dyDescent="0.3"/>
  <sheetData>
    <row r="1" spans="1:42" x14ac:dyDescent="0.3">
      <c r="A1" t="s">
        <v>406</v>
      </c>
      <c r="L1" t="s">
        <v>54</v>
      </c>
      <c r="S1" t="s">
        <v>420</v>
      </c>
      <c r="AD1" t="s">
        <v>431</v>
      </c>
      <c r="AO1" t="s">
        <v>50</v>
      </c>
    </row>
    <row r="2" spans="1:42" x14ac:dyDescent="0.3">
      <c r="A2" t="s">
        <v>35</v>
      </c>
      <c r="L2" s="1" t="s">
        <v>11</v>
      </c>
      <c r="M2" t="s">
        <v>411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D2" t="s">
        <v>1</v>
      </c>
      <c r="AE2" t="s">
        <v>2</v>
      </c>
      <c r="AF2" t="s">
        <v>3</v>
      </c>
      <c r="AG2" t="s">
        <v>4</v>
      </c>
      <c r="AH2" t="s">
        <v>5</v>
      </c>
      <c r="AI2" t="s">
        <v>6</v>
      </c>
      <c r="AJ2" t="s">
        <v>7</v>
      </c>
      <c r="AK2" t="s">
        <v>8</v>
      </c>
      <c r="AL2" t="s">
        <v>9</v>
      </c>
      <c r="AM2" t="s">
        <v>10</v>
      </c>
      <c r="AO2" t="s">
        <v>411</v>
      </c>
      <c r="AP2">
        <v>1</v>
      </c>
    </row>
    <row r="3" spans="1:42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12</v>
      </c>
      <c r="M3" t="s">
        <v>407</v>
      </c>
      <c r="S3" s="1" t="s">
        <v>11</v>
      </c>
      <c r="T3" t="s">
        <v>421</v>
      </c>
      <c r="U3" s="3">
        <v>18</v>
      </c>
      <c r="V3">
        <v>9</v>
      </c>
      <c r="W3">
        <v>6</v>
      </c>
      <c r="X3">
        <v>0</v>
      </c>
      <c r="Y3">
        <f>V3-W3-X3</f>
        <v>3</v>
      </c>
      <c r="Z3">
        <v>16</v>
      </c>
      <c r="AA3">
        <v>9</v>
      </c>
      <c r="AB3">
        <f>Z3-AA3</f>
        <v>7</v>
      </c>
      <c r="AD3" s="1" t="s">
        <v>11</v>
      </c>
      <c r="AE3" t="s">
        <v>432</v>
      </c>
      <c r="AF3" s="3">
        <v>21</v>
      </c>
      <c r="AG3">
        <v>9</v>
      </c>
      <c r="AH3">
        <v>7</v>
      </c>
      <c r="AI3">
        <v>0</v>
      </c>
      <c r="AJ3">
        <f>AG3-AH3-AI3</f>
        <v>2</v>
      </c>
      <c r="AK3">
        <v>17</v>
      </c>
      <c r="AL3">
        <v>9</v>
      </c>
      <c r="AM3">
        <f>AK3-AL3</f>
        <v>8</v>
      </c>
      <c r="AO3" t="s">
        <v>421</v>
      </c>
      <c r="AP3">
        <v>2</v>
      </c>
    </row>
    <row r="4" spans="1:42" x14ac:dyDescent="0.3">
      <c r="A4" t="s">
        <v>11</v>
      </c>
      <c r="B4" t="s">
        <v>407</v>
      </c>
      <c r="C4" s="3">
        <v>15</v>
      </c>
      <c r="D4">
        <v>8</v>
      </c>
      <c r="E4">
        <v>5</v>
      </c>
      <c r="F4">
        <v>0</v>
      </c>
      <c r="G4">
        <f>D4-E4-F4</f>
        <v>3</v>
      </c>
      <c r="H4">
        <v>10</v>
      </c>
      <c r="I4">
        <v>7</v>
      </c>
      <c r="J4">
        <f>H4-I4</f>
        <v>3</v>
      </c>
      <c r="L4" s="1" t="s">
        <v>13</v>
      </c>
      <c r="M4" t="s">
        <v>412</v>
      </c>
      <c r="S4" s="1" t="s">
        <v>12</v>
      </c>
      <c r="T4" t="s">
        <v>422</v>
      </c>
      <c r="U4" s="3">
        <v>16</v>
      </c>
      <c r="V4">
        <v>9</v>
      </c>
      <c r="W4">
        <v>5</v>
      </c>
      <c r="X4">
        <v>1</v>
      </c>
      <c r="Y4">
        <f t="shared" ref="Y4:Y12" si="0">V4-W4-X4</f>
        <v>3</v>
      </c>
      <c r="Z4">
        <v>13</v>
      </c>
      <c r="AA4">
        <v>8</v>
      </c>
      <c r="AB4">
        <f t="shared" ref="AB4:AB12" si="1">Z4-AA4</f>
        <v>5</v>
      </c>
      <c r="AD4" s="1" t="s">
        <v>12</v>
      </c>
      <c r="AE4" t="s">
        <v>433</v>
      </c>
      <c r="AF4" s="3">
        <v>21</v>
      </c>
      <c r="AG4">
        <v>9</v>
      </c>
      <c r="AH4">
        <v>7</v>
      </c>
      <c r="AI4">
        <v>0</v>
      </c>
      <c r="AJ4">
        <f t="shared" ref="AJ4:AJ12" si="2">AG4-AH4-AI4</f>
        <v>2</v>
      </c>
      <c r="AK4">
        <v>15</v>
      </c>
      <c r="AL4">
        <v>10</v>
      </c>
      <c r="AM4">
        <f t="shared" ref="AM4:AM12" si="3">AK4-AL4</f>
        <v>5</v>
      </c>
      <c r="AO4" t="s">
        <v>432</v>
      </c>
      <c r="AP4">
        <v>2</v>
      </c>
    </row>
    <row r="5" spans="1:42" x14ac:dyDescent="0.3">
      <c r="A5" t="s">
        <v>12</v>
      </c>
      <c r="B5" t="s">
        <v>408</v>
      </c>
      <c r="C5" s="3">
        <v>13</v>
      </c>
      <c r="D5">
        <v>8</v>
      </c>
      <c r="E5">
        <v>4</v>
      </c>
      <c r="F5">
        <v>1</v>
      </c>
      <c r="G5">
        <f t="shared" ref="G5:G7" si="4">D5-E5-F5</f>
        <v>3</v>
      </c>
      <c r="H5">
        <v>12</v>
      </c>
      <c r="I5">
        <v>8</v>
      </c>
      <c r="J5">
        <f t="shared" ref="J5:J7" si="5">H5-I5</f>
        <v>4</v>
      </c>
      <c r="L5" s="1" t="s">
        <v>14</v>
      </c>
      <c r="M5" t="s">
        <v>408</v>
      </c>
      <c r="S5" t="s">
        <v>13</v>
      </c>
      <c r="T5" t="s">
        <v>423</v>
      </c>
      <c r="U5" s="3">
        <v>16</v>
      </c>
      <c r="V5">
        <v>9</v>
      </c>
      <c r="W5">
        <v>5</v>
      </c>
      <c r="X5">
        <v>1</v>
      </c>
      <c r="Y5">
        <f t="shared" si="0"/>
        <v>3</v>
      </c>
      <c r="Z5">
        <v>10</v>
      </c>
      <c r="AA5">
        <v>6</v>
      </c>
      <c r="AB5">
        <f t="shared" si="1"/>
        <v>4</v>
      </c>
      <c r="AD5" t="s">
        <v>13</v>
      </c>
      <c r="AE5" t="s">
        <v>434</v>
      </c>
      <c r="AF5" s="3">
        <v>19</v>
      </c>
      <c r="AG5">
        <v>9</v>
      </c>
      <c r="AH5">
        <v>6</v>
      </c>
      <c r="AI5">
        <v>1</v>
      </c>
      <c r="AJ5">
        <f t="shared" si="2"/>
        <v>2</v>
      </c>
      <c r="AK5">
        <v>22</v>
      </c>
      <c r="AL5">
        <v>11</v>
      </c>
      <c r="AM5">
        <f t="shared" si="3"/>
        <v>11</v>
      </c>
    </row>
    <row r="6" spans="1:42" x14ac:dyDescent="0.3">
      <c r="A6" t="s">
        <v>13</v>
      </c>
      <c r="B6" t="s">
        <v>409</v>
      </c>
      <c r="C6" s="3">
        <v>11</v>
      </c>
      <c r="D6">
        <v>8</v>
      </c>
      <c r="E6">
        <v>2</v>
      </c>
      <c r="F6">
        <v>5</v>
      </c>
      <c r="G6">
        <f t="shared" si="4"/>
        <v>1</v>
      </c>
      <c r="H6">
        <v>6</v>
      </c>
      <c r="I6">
        <v>6</v>
      </c>
      <c r="J6">
        <f t="shared" si="5"/>
        <v>0</v>
      </c>
      <c r="L6" s="1" t="s">
        <v>15</v>
      </c>
      <c r="M6" t="s">
        <v>415</v>
      </c>
      <c r="S6" t="s">
        <v>14</v>
      </c>
      <c r="T6" t="s">
        <v>424</v>
      </c>
      <c r="U6" s="3">
        <v>16</v>
      </c>
      <c r="V6">
        <v>9</v>
      </c>
      <c r="W6">
        <v>5</v>
      </c>
      <c r="X6">
        <v>1</v>
      </c>
      <c r="Y6">
        <f t="shared" si="0"/>
        <v>3</v>
      </c>
      <c r="Z6">
        <v>15</v>
      </c>
      <c r="AA6">
        <v>13</v>
      </c>
      <c r="AB6">
        <f t="shared" si="1"/>
        <v>2</v>
      </c>
      <c r="AD6" t="s">
        <v>14</v>
      </c>
      <c r="AE6" t="s">
        <v>182</v>
      </c>
      <c r="AF6" s="3">
        <v>18</v>
      </c>
      <c r="AG6">
        <v>9</v>
      </c>
      <c r="AH6">
        <v>6</v>
      </c>
      <c r="AI6">
        <v>0</v>
      </c>
      <c r="AJ6">
        <f t="shared" si="2"/>
        <v>3</v>
      </c>
      <c r="AK6">
        <v>18</v>
      </c>
      <c r="AL6">
        <v>11</v>
      </c>
      <c r="AM6">
        <f t="shared" si="3"/>
        <v>7</v>
      </c>
    </row>
    <row r="7" spans="1:42" x14ac:dyDescent="0.3">
      <c r="A7" t="s">
        <v>14</v>
      </c>
      <c r="B7" t="s">
        <v>410</v>
      </c>
      <c r="C7" s="3">
        <v>8</v>
      </c>
      <c r="D7">
        <v>8</v>
      </c>
      <c r="E7">
        <v>2</v>
      </c>
      <c r="F7">
        <v>2</v>
      </c>
      <c r="G7">
        <f t="shared" si="4"/>
        <v>4</v>
      </c>
      <c r="H7">
        <v>5</v>
      </c>
      <c r="I7">
        <v>10</v>
      </c>
      <c r="J7">
        <f t="shared" si="5"/>
        <v>-5</v>
      </c>
      <c r="L7" s="1" t="s">
        <v>16</v>
      </c>
      <c r="M7" t="s">
        <v>413</v>
      </c>
      <c r="S7" t="s">
        <v>15</v>
      </c>
      <c r="T7" t="s">
        <v>425</v>
      </c>
      <c r="U7" s="3">
        <v>13</v>
      </c>
      <c r="V7">
        <v>9</v>
      </c>
      <c r="W7">
        <v>4</v>
      </c>
      <c r="X7">
        <v>1</v>
      </c>
      <c r="Y7">
        <f t="shared" si="0"/>
        <v>4</v>
      </c>
      <c r="Z7">
        <v>9</v>
      </c>
      <c r="AA7">
        <v>7</v>
      </c>
      <c r="AB7">
        <f t="shared" si="1"/>
        <v>2</v>
      </c>
      <c r="AD7" t="s">
        <v>15</v>
      </c>
      <c r="AE7" t="s">
        <v>435</v>
      </c>
      <c r="AF7" s="3">
        <v>15</v>
      </c>
      <c r="AG7">
        <v>9</v>
      </c>
      <c r="AH7">
        <v>5</v>
      </c>
      <c r="AI7">
        <v>0</v>
      </c>
      <c r="AJ7">
        <f t="shared" si="2"/>
        <v>4</v>
      </c>
      <c r="AK7">
        <v>14</v>
      </c>
      <c r="AL7">
        <v>12</v>
      </c>
      <c r="AM7">
        <f t="shared" si="3"/>
        <v>2</v>
      </c>
    </row>
    <row r="8" spans="1:42" x14ac:dyDescent="0.3">
      <c r="L8" s="1" t="s">
        <v>17</v>
      </c>
      <c r="M8" t="s">
        <v>416</v>
      </c>
      <c r="S8" t="s">
        <v>16</v>
      </c>
      <c r="T8" t="s">
        <v>426</v>
      </c>
      <c r="U8" s="3">
        <v>13</v>
      </c>
      <c r="V8">
        <v>9</v>
      </c>
      <c r="W8">
        <v>4</v>
      </c>
      <c r="X8">
        <v>1</v>
      </c>
      <c r="Y8">
        <f t="shared" si="0"/>
        <v>4</v>
      </c>
      <c r="Z8">
        <v>13</v>
      </c>
      <c r="AA8">
        <v>13</v>
      </c>
      <c r="AB8">
        <f t="shared" si="1"/>
        <v>0</v>
      </c>
      <c r="AD8" t="s">
        <v>16</v>
      </c>
      <c r="AE8" t="s">
        <v>436</v>
      </c>
      <c r="AF8" s="3">
        <v>13</v>
      </c>
      <c r="AG8">
        <v>9</v>
      </c>
      <c r="AH8">
        <v>4</v>
      </c>
      <c r="AI8">
        <v>1</v>
      </c>
      <c r="AJ8">
        <f t="shared" si="2"/>
        <v>4</v>
      </c>
      <c r="AK8">
        <v>13</v>
      </c>
      <c r="AL8">
        <v>13</v>
      </c>
      <c r="AM8">
        <f t="shared" si="3"/>
        <v>0</v>
      </c>
    </row>
    <row r="9" spans="1:42" x14ac:dyDescent="0.3">
      <c r="A9" t="s">
        <v>36</v>
      </c>
      <c r="L9" s="1" t="s">
        <v>18</v>
      </c>
      <c r="M9" t="s">
        <v>409</v>
      </c>
      <c r="S9" t="s">
        <v>17</v>
      </c>
      <c r="T9" t="s">
        <v>427</v>
      </c>
      <c r="U9" s="3">
        <v>13</v>
      </c>
      <c r="V9">
        <v>9</v>
      </c>
      <c r="W9">
        <v>4</v>
      </c>
      <c r="X9">
        <v>1</v>
      </c>
      <c r="Y9">
        <f t="shared" si="0"/>
        <v>4</v>
      </c>
      <c r="Z9">
        <v>10</v>
      </c>
      <c r="AA9">
        <v>13</v>
      </c>
      <c r="AB9">
        <f t="shared" si="1"/>
        <v>-3</v>
      </c>
      <c r="AD9" t="s">
        <v>17</v>
      </c>
      <c r="AE9" t="s">
        <v>437</v>
      </c>
      <c r="AF9" s="3">
        <v>10</v>
      </c>
      <c r="AG9">
        <v>9</v>
      </c>
      <c r="AH9">
        <v>3</v>
      </c>
      <c r="AI9">
        <v>1</v>
      </c>
      <c r="AJ9">
        <f t="shared" si="2"/>
        <v>5</v>
      </c>
      <c r="AK9">
        <v>15</v>
      </c>
      <c r="AL9">
        <v>17</v>
      </c>
      <c r="AM9">
        <f t="shared" si="3"/>
        <v>-2</v>
      </c>
    </row>
    <row r="10" spans="1:42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L10" t="s">
        <v>55</v>
      </c>
      <c r="M10" t="s">
        <v>266</v>
      </c>
      <c r="S10" t="s">
        <v>18</v>
      </c>
      <c r="T10" t="s">
        <v>428</v>
      </c>
      <c r="U10" s="3">
        <v>8</v>
      </c>
      <c r="V10">
        <v>9</v>
      </c>
      <c r="W10">
        <v>2</v>
      </c>
      <c r="X10">
        <v>2</v>
      </c>
      <c r="Y10">
        <f t="shared" si="0"/>
        <v>5</v>
      </c>
      <c r="Z10">
        <v>9</v>
      </c>
      <c r="AA10">
        <v>13</v>
      </c>
      <c r="AB10">
        <f t="shared" si="1"/>
        <v>-4</v>
      </c>
      <c r="AD10" t="s">
        <v>18</v>
      </c>
      <c r="AE10" t="s">
        <v>438</v>
      </c>
      <c r="AF10" s="3">
        <v>9</v>
      </c>
      <c r="AG10">
        <v>9</v>
      </c>
      <c r="AH10">
        <v>2</v>
      </c>
      <c r="AI10">
        <v>3</v>
      </c>
      <c r="AJ10">
        <f t="shared" si="2"/>
        <v>4</v>
      </c>
      <c r="AK10">
        <v>13</v>
      </c>
      <c r="AL10">
        <v>17</v>
      </c>
      <c r="AM10">
        <f t="shared" si="3"/>
        <v>-4</v>
      </c>
    </row>
    <row r="11" spans="1:42" x14ac:dyDescent="0.3">
      <c r="A11" t="s">
        <v>11</v>
      </c>
      <c r="B11" t="s">
        <v>411</v>
      </c>
      <c r="C11" s="3">
        <v>17</v>
      </c>
      <c r="D11">
        <v>8</v>
      </c>
      <c r="E11">
        <v>5</v>
      </c>
      <c r="F11">
        <v>2</v>
      </c>
      <c r="G11">
        <f>D11-E11-F11</f>
        <v>1</v>
      </c>
      <c r="H11">
        <v>12</v>
      </c>
      <c r="I11">
        <v>3</v>
      </c>
      <c r="J11">
        <f>H11-I11</f>
        <v>9</v>
      </c>
      <c r="L11" s="6" t="s">
        <v>56</v>
      </c>
      <c r="M11" t="s">
        <v>410</v>
      </c>
      <c r="S11" s="2" t="s">
        <v>55</v>
      </c>
      <c r="T11" t="s">
        <v>429</v>
      </c>
      <c r="U11" s="3">
        <v>8</v>
      </c>
      <c r="V11">
        <v>9</v>
      </c>
      <c r="W11">
        <v>2</v>
      </c>
      <c r="X11">
        <v>2</v>
      </c>
      <c r="Y11">
        <f t="shared" si="0"/>
        <v>5</v>
      </c>
      <c r="Z11">
        <v>11</v>
      </c>
      <c r="AA11">
        <v>16</v>
      </c>
      <c r="AB11">
        <f t="shared" si="1"/>
        <v>-5</v>
      </c>
      <c r="AD11" t="s">
        <v>55</v>
      </c>
      <c r="AE11" t="s">
        <v>439</v>
      </c>
      <c r="AF11" s="3">
        <v>4</v>
      </c>
      <c r="AG11">
        <v>9</v>
      </c>
      <c r="AH11">
        <v>1</v>
      </c>
      <c r="AI11">
        <v>1</v>
      </c>
      <c r="AJ11">
        <f t="shared" si="2"/>
        <v>7</v>
      </c>
      <c r="AK11">
        <v>8</v>
      </c>
      <c r="AL11">
        <v>22</v>
      </c>
      <c r="AM11">
        <f t="shared" si="3"/>
        <v>-14</v>
      </c>
    </row>
    <row r="12" spans="1:42" x14ac:dyDescent="0.3">
      <c r="A12" t="s">
        <v>12</v>
      </c>
      <c r="B12" t="s">
        <v>412</v>
      </c>
      <c r="C12" s="3">
        <v>14</v>
      </c>
      <c r="D12">
        <v>8</v>
      </c>
      <c r="E12">
        <v>4</v>
      </c>
      <c r="F12">
        <v>2</v>
      </c>
      <c r="G12">
        <f t="shared" ref="G12:G14" si="6">D12-E12-F12</f>
        <v>2</v>
      </c>
      <c r="H12">
        <v>10</v>
      </c>
      <c r="I12">
        <v>5</v>
      </c>
      <c r="J12">
        <f t="shared" ref="J12:J14" si="7">H12-I12</f>
        <v>5</v>
      </c>
      <c r="L12" s="6" t="s">
        <v>57</v>
      </c>
      <c r="M12" t="s">
        <v>414</v>
      </c>
      <c r="S12" s="2" t="s">
        <v>56</v>
      </c>
      <c r="T12" t="s">
        <v>430</v>
      </c>
      <c r="U12" s="3">
        <v>8</v>
      </c>
      <c r="V12">
        <v>9</v>
      </c>
      <c r="W12">
        <v>2</v>
      </c>
      <c r="X12">
        <v>2</v>
      </c>
      <c r="Y12">
        <f t="shared" si="0"/>
        <v>5</v>
      </c>
      <c r="Z12">
        <v>8</v>
      </c>
      <c r="AA12">
        <v>16</v>
      </c>
      <c r="AB12">
        <f t="shared" si="1"/>
        <v>-8</v>
      </c>
      <c r="AD12" t="s">
        <v>56</v>
      </c>
      <c r="AE12" t="s">
        <v>440</v>
      </c>
      <c r="AF12" s="3">
        <v>1</v>
      </c>
      <c r="AG12">
        <v>9</v>
      </c>
      <c r="AH12">
        <v>0</v>
      </c>
      <c r="AI12">
        <v>1</v>
      </c>
      <c r="AJ12">
        <f t="shared" si="2"/>
        <v>8</v>
      </c>
      <c r="AK12">
        <v>3</v>
      </c>
      <c r="AL12">
        <v>16</v>
      </c>
      <c r="AM12">
        <f t="shared" si="3"/>
        <v>-13</v>
      </c>
    </row>
    <row r="13" spans="1:42" x14ac:dyDescent="0.3">
      <c r="A13" t="s">
        <v>13</v>
      </c>
      <c r="B13" t="s">
        <v>413</v>
      </c>
      <c r="C13" s="3">
        <v>11</v>
      </c>
      <c r="D13">
        <v>8</v>
      </c>
      <c r="E13">
        <v>3</v>
      </c>
      <c r="F13">
        <v>2</v>
      </c>
      <c r="G13">
        <f t="shared" si="6"/>
        <v>3</v>
      </c>
      <c r="H13">
        <v>12</v>
      </c>
      <c r="I13">
        <v>10</v>
      </c>
      <c r="J13">
        <f t="shared" si="7"/>
        <v>2</v>
      </c>
      <c r="L13" s="2" t="s">
        <v>58</v>
      </c>
      <c r="M13" t="s">
        <v>417</v>
      </c>
    </row>
    <row r="14" spans="1:42" x14ac:dyDescent="0.3">
      <c r="A14" t="s">
        <v>14</v>
      </c>
      <c r="B14" t="s">
        <v>414</v>
      </c>
      <c r="C14" s="3">
        <v>7</v>
      </c>
      <c r="D14">
        <v>8</v>
      </c>
      <c r="E14">
        <v>2</v>
      </c>
      <c r="F14">
        <v>1</v>
      </c>
      <c r="G14">
        <f t="shared" si="6"/>
        <v>5</v>
      </c>
      <c r="H14">
        <v>5</v>
      </c>
      <c r="I14">
        <v>10</v>
      </c>
      <c r="J14">
        <f t="shared" si="7"/>
        <v>-5</v>
      </c>
    </row>
    <row r="15" spans="1:42" x14ac:dyDescent="0.3">
      <c r="L15" t="s">
        <v>419</v>
      </c>
    </row>
    <row r="16" spans="1:42" x14ac:dyDescent="0.3">
      <c r="A16" t="s">
        <v>52</v>
      </c>
      <c r="L16" t="s">
        <v>414</v>
      </c>
      <c r="M16" t="s">
        <v>132</v>
      </c>
      <c r="N16" t="s">
        <v>410</v>
      </c>
      <c r="P16" t="s">
        <v>410</v>
      </c>
      <c r="Q16" t="s">
        <v>30</v>
      </c>
      <c r="R16" t="s">
        <v>414</v>
      </c>
    </row>
    <row r="17" spans="1:10" x14ac:dyDescent="0.3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</row>
    <row r="18" spans="1:10" x14ac:dyDescent="0.3">
      <c r="A18" t="s">
        <v>11</v>
      </c>
      <c r="B18" t="s">
        <v>415</v>
      </c>
      <c r="C18" s="3">
        <v>13</v>
      </c>
      <c r="D18">
        <v>8</v>
      </c>
      <c r="E18">
        <v>4</v>
      </c>
      <c r="F18">
        <v>1</v>
      </c>
      <c r="G18">
        <f>D18-E18-F18</f>
        <v>3</v>
      </c>
      <c r="H18">
        <v>6</v>
      </c>
      <c r="I18">
        <v>6</v>
      </c>
      <c r="J18">
        <f>H18-I18</f>
        <v>0</v>
      </c>
    </row>
    <row r="19" spans="1:10" x14ac:dyDescent="0.3">
      <c r="A19" t="s">
        <v>12</v>
      </c>
      <c r="B19" t="s">
        <v>416</v>
      </c>
      <c r="C19" s="3">
        <v>11</v>
      </c>
      <c r="D19">
        <v>8</v>
      </c>
      <c r="E19">
        <v>3</v>
      </c>
      <c r="F19">
        <v>2</v>
      </c>
      <c r="G19">
        <f t="shared" ref="G19:G21" si="8">D19-E19-F19</f>
        <v>3</v>
      </c>
      <c r="H19">
        <v>7</v>
      </c>
      <c r="I19">
        <v>6</v>
      </c>
      <c r="J19">
        <f t="shared" ref="J19:J21" si="9">H19-I19</f>
        <v>1</v>
      </c>
    </row>
    <row r="20" spans="1:10" x14ac:dyDescent="0.3">
      <c r="A20" t="s">
        <v>13</v>
      </c>
      <c r="B20" t="s">
        <v>266</v>
      </c>
      <c r="C20" s="3">
        <v>9</v>
      </c>
      <c r="D20">
        <v>8</v>
      </c>
      <c r="E20">
        <v>2</v>
      </c>
      <c r="F20">
        <v>3</v>
      </c>
      <c r="G20">
        <f t="shared" si="8"/>
        <v>3</v>
      </c>
      <c r="H20">
        <v>7</v>
      </c>
      <c r="I20">
        <v>11</v>
      </c>
      <c r="J20">
        <f t="shared" si="9"/>
        <v>-4</v>
      </c>
    </row>
    <row r="21" spans="1:10" x14ac:dyDescent="0.3">
      <c r="A21" t="s">
        <v>14</v>
      </c>
      <c r="B21" t="s">
        <v>417</v>
      </c>
      <c r="C21" s="3">
        <v>4</v>
      </c>
      <c r="D21">
        <v>8</v>
      </c>
      <c r="E21">
        <v>1</v>
      </c>
      <c r="F21">
        <v>1</v>
      </c>
      <c r="G21">
        <f t="shared" si="8"/>
        <v>6</v>
      </c>
      <c r="H21">
        <v>5</v>
      </c>
      <c r="I21">
        <v>15</v>
      </c>
      <c r="J21">
        <f t="shared" si="9"/>
        <v>-10</v>
      </c>
    </row>
    <row r="23" spans="1:10" x14ac:dyDescent="0.3">
      <c r="A23" t="s">
        <v>59</v>
      </c>
    </row>
    <row r="24" spans="1:10" x14ac:dyDescent="0.3">
      <c r="A24" t="str">
        <f>M9</f>
        <v>CRAC</v>
      </c>
      <c r="B24" t="s">
        <v>29</v>
      </c>
      <c r="C24" t="str">
        <f>M2</f>
        <v>Aparecidense</v>
      </c>
      <c r="E24" t="str">
        <f>M2</f>
        <v>Aparecidense</v>
      </c>
      <c r="F24" t="s">
        <v>134</v>
      </c>
      <c r="G24" t="str">
        <f>M9</f>
        <v>CRAC</v>
      </c>
    </row>
    <row r="25" spans="1:10" x14ac:dyDescent="0.3">
      <c r="A25" t="str">
        <f>M6</f>
        <v>Ouvidorense</v>
      </c>
      <c r="B25" t="s">
        <v>28</v>
      </c>
      <c r="C25" t="str">
        <f>M5</f>
        <v>Goiatuba</v>
      </c>
      <c r="E25" t="str">
        <f>M5</f>
        <v>Goiatuba</v>
      </c>
      <c r="F25" t="s">
        <v>112</v>
      </c>
      <c r="G25" t="str">
        <f>M6</f>
        <v>Ouvidorense</v>
      </c>
    </row>
    <row r="26" spans="1:10" x14ac:dyDescent="0.3">
      <c r="A26" t="str">
        <f>M8</f>
        <v>Centro-Oeste</v>
      </c>
      <c r="B26" t="s">
        <v>48</v>
      </c>
      <c r="C26" t="str">
        <f>M3</f>
        <v>Inhumas</v>
      </c>
      <c r="E26" t="str">
        <f>M3</f>
        <v>Inhumas</v>
      </c>
      <c r="F26" t="s">
        <v>75</v>
      </c>
      <c r="G26" t="str">
        <f>M8</f>
        <v>Centro-Oeste</v>
      </c>
    </row>
    <row r="27" spans="1:10" x14ac:dyDescent="0.3">
      <c r="A27" t="str">
        <f>M7</f>
        <v>Goiás</v>
      </c>
      <c r="B27" t="s">
        <v>134</v>
      </c>
      <c r="C27" t="str">
        <f>M4</f>
        <v>Jataiense</v>
      </c>
      <c r="E27" t="str">
        <f>M4</f>
        <v>Jataiense</v>
      </c>
      <c r="F27" t="s">
        <v>48</v>
      </c>
      <c r="G27" t="str">
        <f>M7</f>
        <v>Goiás</v>
      </c>
    </row>
    <row r="29" spans="1:10" x14ac:dyDescent="0.3">
      <c r="A29" t="s">
        <v>49</v>
      </c>
    </row>
    <row r="30" spans="1:10" x14ac:dyDescent="0.3">
      <c r="A30" t="s">
        <v>413</v>
      </c>
      <c r="B30" t="s">
        <v>28</v>
      </c>
      <c r="C30" t="s">
        <v>411</v>
      </c>
      <c r="E30" t="s">
        <v>411</v>
      </c>
      <c r="F30" t="s">
        <v>30</v>
      </c>
      <c r="G30" t="s">
        <v>413</v>
      </c>
    </row>
    <row r="31" spans="1:10" x14ac:dyDescent="0.3">
      <c r="A31" t="s">
        <v>415</v>
      </c>
      <c r="B31" t="s">
        <v>132</v>
      </c>
      <c r="C31" t="s">
        <v>416</v>
      </c>
      <c r="E31" t="s">
        <v>416</v>
      </c>
      <c r="F31" t="s">
        <v>138</v>
      </c>
      <c r="G31" t="s">
        <v>415</v>
      </c>
    </row>
    <row r="33" spans="1:7" x14ac:dyDescent="0.3">
      <c r="A33" t="s">
        <v>19</v>
      </c>
    </row>
    <row r="34" spans="1:7" x14ac:dyDescent="0.3">
      <c r="A34" t="s">
        <v>415</v>
      </c>
      <c r="B34" t="s">
        <v>28</v>
      </c>
      <c r="C34" t="s">
        <v>411</v>
      </c>
      <c r="E34" t="s">
        <v>411</v>
      </c>
      <c r="F34" t="s">
        <v>418</v>
      </c>
      <c r="G34" t="s">
        <v>415</v>
      </c>
    </row>
    <row r="36" spans="1:7" x14ac:dyDescent="0.3">
      <c r="A36" t="s">
        <v>113</v>
      </c>
    </row>
    <row r="37" spans="1:7" x14ac:dyDescent="0.3">
      <c r="A37" t="s">
        <v>411</v>
      </c>
    </row>
    <row r="38" spans="1:7" x14ac:dyDescent="0.3">
      <c r="A38" t="s">
        <v>415</v>
      </c>
    </row>
    <row r="39" spans="1:7" x14ac:dyDescent="0.3">
      <c r="A39" t="s">
        <v>416</v>
      </c>
    </row>
    <row r="41" spans="1:7" x14ac:dyDescent="0.3">
      <c r="A41" t="s">
        <v>114</v>
      </c>
    </row>
    <row r="42" spans="1:7" x14ac:dyDescent="0.3">
      <c r="A42" t="s">
        <v>411</v>
      </c>
    </row>
    <row r="43" spans="1:7" x14ac:dyDescent="0.3">
      <c r="A43" t="s">
        <v>415</v>
      </c>
    </row>
    <row r="44" spans="1:7" x14ac:dyDescent="0.3">
      <c r="A44" t="s">
        <v>416</v>
      </c>
    </row>
    <row r="45" spans="1:7" x14ac:dyDescent="0.3">
      <c r="A45" t="s">
        <v>413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36E6-E8ED-4B62-BD0A-7B7D9C0AD2FF}">
  <dimension ref="A1:X33"/>
  <sheetViews>
    <sheetView topLeftCell="G1" workbookViewId="0">
      <selection activeCell="A19" sqref="A19:G20"/>
    </sheetView>
  </sheetViews>
  <sheetFormatPr defaultRowHeight="14.4" x14ac:dyDescent="0.3"/>
  <sheetData>
    <row r="1" spans="1:24" x14ac:dyDescent="0.3">
      <c r="A1" t="s">
        <v>630</v>
      </c>
      <c r="L1" t="s">
        <v>638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35</v>
      </c>
      <c r="W2" t="s">
        <v>632</v>
      </c>
      <c r="X2">
        <v>19</v>
      </c>
    </row>
    <row r="3" spans="1:24" x14ac:dyDescent="0.3">
      <c r="A3" s="1" t="s">
        <v>11</v>
      </c>
      <c r="B3" t="s">
        <v>631</v>
      </c>
      <c r="C3" s="3">
        <v>16</v>
      </c>
      <c r="D3">
        <v>7</v>
      </c>
      <c r="E3">
        <v>5</v>
      </c>
      <c r="F3">
        <v>1</v>
      </c>
      <c r="G3">
        <f>D3-E3-F3</f>
        <v>1</v>
      </c>
      <c r="H3">
        <v>9</v>
      </c>
      <c r="I3">
        <v>3</v>
      </c>
      <c r="J3">
        <f>H3-I3</f>
        <v>6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645</v>
      </c>
      <c r="X3">
        <v>2</v>
      </c>
    </row>
    <row r="4" spans="1:24" x14ac:dyDescent="0.3">
      <c r="A4" s="1" t="s">
        <v>12</v>
      </c>
      <c r="B4" t="s">
        <v>632</v>
      </c>
      <c r="C4" s="3">
        <v>12</v>
      </c>
      <c r="D4">
        <v>7</v>
      </c>
      <c r="E4">
        <v>3</v>
      </c>
      <c r="F4">
        <v>3</v>
      </c>
      <c r="G4">
        <f t="shared" ref="G4:G10" si="0">D4-E4-F4</f>
        <v>1</v>
      </c>
      <c r="H4">
        <v>6</v>
      </c>
      <c r="I4">
        <v>4</v>
      </c>
      <c r="J4">
        <f t="shared" ref="J4:J10" si="1">H4-I4</f>
        <v>2</v>
      </c>
      <c r="L4" s="1" t="s">
        <v>11</v>
      </c>
      <c r="M4" t="s">
        <v>639</v>
      </c>
      <c r="N4" s="3">
        <v>6</v>
      </c>
      <c r="O4">
        <v>3</v>
      </c>
      <c r="P4">
        <v>2</v>
      </c>
      <c r="Q4">
        <v>0</v>
      </c>
      <c r="R4">
        <f>O4-P4-Q4</f>
        <v>1</v>
      </c>
      <c r="S4">
        <v>6</v>
      </c>
      <c r="T4">
        <v>4</v>
      </c>
      <c r="U4">
        <f>S4-T4</f>
        <v>2</v>
      </c>
    </row>
    <row r="5" spans="1:24" x14ac:dyDescent="0.3">
      <c r="A5" s="1" t="s">
        <v>13</v>
      </c>
      <c r="B5" t="s">
        <v>633</v>
      </c>
      <c r="C5" s="3">
        <v>10</v>
      </c>
      <c r="D5">
        <v>7</v>
      </c>
      <c r="E5">
        <v>3</v>
      </c>
      <c r="F5">
        <v>1</v>
      </c>
      <c r="G5">
        <f t="shared" si="0"/>
        <v>3</v>
      </c>
      <c r="H5">
        <v>7</v>
      </c>
      <c r="I5">
        <v>4</v>
      </c>
      <c r="J5">
        <f t="shared" si="1"/>
        <v>3</v>
      </c>
      <c r="L5" s="1" t="s">
        <v>12</v>
      </c>
      <c r="M5" t="s">
        <v>640</v>
      </c>
      <c r="N5" s="3">
        <v>6</v>
      </c>
      <c r="O5">
        <v>3</v>
      </c>
      <c r="P5">
        <v>2</v>
      </c>
      <c r="Q5">
        <v>0</v>
      </c>
      <c r="R5">
        <f>O5-P5-Q5</f>
        <v>1</v>
      </c>
      <c r="S5">
        <v>5</v>
      </c>
      <c r="T5">
        <v>4</v>
      </c>
      <c r="U5">
        <f>S5-T5</f>
        <v>1</v>
      </c>
    </row>
    <row r="6" spans="1:24" x14ac:dyDescent="0.3">
      <c r="A6" s="1" t="s">
        <v>14</v>
      </c>
      <c r="B6" t="s">
        <v>634</v>
      </c>
      <c r="C6" s="3">
        <v>10</v>
      </c>
      <c r="D6">
        <v>7</v>
      </c>
      <c r="E6">
        <v>3</v>
      </c>
      <c r="F6">
        <v>1</v>
      </c>
      <c r="G6">
        <f t="shared" si="0"/>
        <v>3</v>
      </c>
      <c r="H6">
        <v>5</v>
      </c>
      <c r="I6">
        <v>6</v>
      </c>
      <c r="J6">
        <f t="shared" si="1"/>
        <v>-1</v>
      </c>
      <c r="L6" s="1" t="s">
        <v>13</v>
      </c>
      <c r="M6" t="s">
        <v>641</v>
      </c>
      <c r="N6" s="3">
        <v>3</v>
      </c>
      <c r="O6">
        <v>3</v>
      </c>
      <c r="P6">
        <v>1</v>
      </c>
      <c r="Q6">
        <v>0</v>
      </c>
      <c r="R6">
        <f>O6-P6-Q6</f>
        <v>2</v>
      </c>
      <c r="S6">
        <v>3</v>
      </c>
      <c r="T6">
        <v>4</v>
      </c>
      <c r="U6">
        <f>S6-T6</f>
        <v>-1</v>
      </c>
    </row>
    <row r="7" spans="1:24" x14ac:dyDescent="0.3">
      <c r="A7" t="s">
        <v>15</v>
      </c>
      <c r="B7" t="s">
        <v>201</v>
      </c>
      <c r="C7" s="3">
        <v>8</v>
      </c>
      <c r="D7">
        <v>7</v>
      </c>
      <c r="E7">
        <v>2</v>
      </c>
      <c r="F7">
        <v>2</v>
      </c>
      <c r="G7">
        <f t="shared" si="0"/>
        <v>3</v>
      </c>
      <c r="H7">
        <v>4</v>
      </c>
      <c r="I7">
        <v>6</v>
      </c>
      <c r="J7">
        <f t="shared" si="1"/>
        <v>-2</v>
      </c>
      <c r="L7" t="s">
        <v>14</v>
      </c>
      <c r="M7" t="s">
        <v>642</v>
      </c>
      <c r="N7" s="3">
        <v>3</v>
      </c>
      <c r="O7">
        <v>3</v>
      </c>
      <c r="P7">
        <v>1</v>
      </c>
      <c r="Q7">
        <v>0</v>
      </c>
      <c r="R7">
        <f>O7-P7-Q7</f>
        <v>2</v>
      </c>
      <c r="S7">
        <v>4</v>
      </c>
      <c r="T7">
        <v>6</v>
      </c>
      <c r="U7">
        <f>S7-T7</f>
        <v>-2</v>
      </c>
    </row>
    <row r="8" spans="1:24" x14ac:dyDescent="0.3">
      <c r="A8" s="6" t="s">
        <v>16</v>
      </c>
      <c r="B8" t="s">
        <v>635</v>
      </c>
      <c r="C8" s="3">
        <v>7</v>
      </c>
      <c r="D8">
        <v>7</v>
      </c>
      <c r="E8">
        <v>1</v>
      </c>
      <c r="F8">
        <v>4</v>
      </c>
      <c r="G8">
        <f t="shared" si="0"/>
        <v>2</v>
      </c>
      <c r="H8">
        <v>4</v>
      </c>
      <c r="I8">
        <v>4</v>
      </c>
      <c r="J8">
        <f t="shared" si="1"/>
        <v>0</v>
      </c>
    </row>
    <row r="9" spans="1:24" x14ac:dyDescent="0.3">
      <c r="A9" s="6" t="s">
        <v>17</v>
      </c>
      <c r="B9" t="s">
        <v>636</v>
      </c>
      <c r="C9" s="3">
        <v>7</v>
      </c>
      <c r="D9">
        <v>7</v>
      </c>
      <c r="E9">
        <v>1</v>
      </c>
      <c r="F9">
        <v>4</v>
      </c>
      <c r="G9">
        <f t="shared" si="0"/>
        <v>2</v>
      </c>
      <c r="H9">
        <v>6</v>
      </c>
      <c r="I9">
        <v>9</v>
      </c>
      <c r="J9">
        <f t="shared" si="1"/>
        <v>-3</v>
      </c>
      <c r="L9" t="s">
        <v>36</v>
      </c>
    </row>
    <row r="10" spans="1:24" x14ac:dyDescent="0.3">
      <c r="A10" s="2" t="s">
        <v>18</v>
      </c>
      <c r="B10" t="s">
        <v>637</v>
      </c>
      <c r="C10" s="3">
        <v>5</v>
      </c>
      <c r="D10">
        <v>7</v>
      </c>
      <c r="E10">
        <v>1</v>
      </c>
      <c r="F10">
        <v>2</v>
      </c>
      <c r="G10">
        <f t="shared" si="0"/>
        <v>4</v>
      </c>
      <c r="H10">
        <v>5</v>
      </c>
      <c r="I10">
        <v>10</v>
      </c>
      <c r="J10">
        <f t="shared" si="1"/>
        <v>-5</v>
      </c>
      <c r="L10" t="s">
        <v>1</v>
      </c>
      <c r="M10" t="s">
        <v>2</v>
      </c>
      <c r="N10" t="s">
        <v>3</v>
      </c>
      <c r="O10" t="s">
        <v>4</v>
      </c>
      <c r="P10" t="s">
        <v>5</v>
      </c>
      <c r="Q10" t="s">
        <v>6</v>
      </c>
      <c r="R10" t="s">
        <v>7</v>
      </c>
      <c r="S10" t="s">
        <v>8</v>
      </c>
      <c r="T10" t="s">
        <v>9</v>
      </c>
      <c r="U10" t="s">
        <v>10</v>
      </c>
    </row>
    <row r="11" spans="1:24" x14ac:dyDescent="0.3">
      <c r="L11" s="1" t="s">
        <v>11</v>
      </c>
      <c r="M11" t="s">
        <v>216</v>
      </c>
      <c r="N11" s="3">
        <v>9</v>
      </c>
      <c r="O11">
        <v>3</v>
      </c>
      <c r="P11">
        <v>3</v>
      </c>
      <c r="Q11">
        <v>0</v>
      </c>
      <c r="R11">
        <f>O11-P11-Q11</f>
        <v>0</v>
      </c>
      <c r="S11">
        <v>4</v>
      </c>
      <c r="T11">
        <v>0</v>
      </c>
      <c r="U11">
        <f>S11-T11</f>
        <v>4</v>
      </c>
    </row>
    <row r="12" spans="1:24" x14ac:dyDescent="0.3">
      <c r="A12" t="s">
        <v>49</v>
      </c>
      <c r="L12" s="1" t="s">
        <v>12</v>
      </c>
      <c r="M12" t="s">
        <v>643</v>
      </c>
      <c r="N12" s="3">
        <v>3</v>
      </c>
      <c r="O12">
        <v>3</v>
      </c>
      <c r="P12">
        <v>1</v>
      </c>
      <c r="Q12">
        <v>0</v>
      </c>
      <c r="R12">
        <f>O12-P12-Q12</f>
        <v>2</v>
      </c>
      <c r="S12">
        <v>2</v>
      </c>
      <c r="T12">
        <v>2</v>
      </c>
      <c r="U12">
        <f>S12-T12</f>
        <v>0</v>
      </c>
    </row>
    <row r="13" spans="1:24" x14ac:dyDescent="0.3">
      <c r="A13" t="str">
        <f>B6</f>
        <v>Tuntum</v>
      </c>
      <c r="B13" t="s">
        <v>73</v>
      </c>
      <c r="C13" t="str">
        <f>B3</f>
        <v>IAPE</v>
      </c>
      <c r="E13" t="str">
        <f>B3</f>
        <v>IAPE</v>
      </c>
      <c r="F13" t="s">
        <v>31</v>
      </c>
      <c r="G13" t="str">
        <f>B6</f>
        <v>Tuntum</v>
      </c>
      <c r="L13" s="1" t="s">
        <v>13</v>
      </c>
      <c r="M13" t="s">
        <v>26</v>
      </c>
      <c r="N13" s="3">
        <v>3</v>
      </c>
      <c r="O13">
        <v>3</v>
      </c>
      <c r="P13">
        <v>1</v>
      </c>
      <c r="Q13">
        <v>0</v>
      </c>
      <c r="R13">
        <f>O13-P13-Q13</f>
        <v>2</v>
      </c>
      <c r="S13">
        <v>1</v>
      </c>
      <c r="T13">
        <v>3</v>
      </c>
      <c r="U13">
        <f>S13-T13</f>
        <v>-2</v>
      </c>
    </row>
    <row r="14" spans="1:24" x14ac:dyDescent="0.3">
      <c r="A14" t="str">
        <f>B5</f>
        <v>ITZ Sport</v>
      </c>
      <c r="B14" t="s">
        <v>28</v>
      </c>
      <c r="C14" t="str">
        <f>B4</f>
        <v>Maranhão</v>
      </c>
      <c r="E14" t="str">
        <f>B4</f>
        <v>Maranhão</v>
      </c>
      <c r="F14" t="s">
        <v>418</v>
      </c>
      <c r="G14" t="str">
        <f>B5</f>
        <v>ITZ Sport</v>
      </c>
      <c r="L14" t="s">
        <v>14</v>
      </c>
      <c r="M14" t="s">
        <v>644</v>
      </c>
      <c r="N14" s="3">
        <v>3</v>
      </c>
      <c r="O14">
        <v>3</v>
      </c>
      <c r="P14">
        <v>1</v>
      </c>
      <c r="Q14">
        <v>0</v>
      </c>
      <c r="R14">
        <f>O14-P14-Q14</f>
        <v>2</v>
      </c>
      <c r="S14">
        <v>1</v>
      </c>
      <c r="T14">
        <v>3</v>
      </c>
      <c r="U14">
        <f>S14-T14</f>
        <v>-2</v>
      </c>
    </row>
    <row r="16" spans="1:24" x14ac:dyDescent="0.3">
      <c r="A16" t="s">
        <v>19</v>
      </c>
      <c r="L16" t="s">
        <v>52</v>
      </c>
    </row>
    <row r="17" spans="1:21" x14ac:dyDescent="0.3">
      <c r="A17" t="s">
        <v>632</v>
      </c>
      <c r="B17" t="s">
        <v>31</v>
      </c>
      <c r="C17" t="s">
        <v>631</v>
      </c>
      <c r="E17" t="s">
        <v>631</v>
      </c>
      <c r="F17" t="s">
        <v>32</v>
      </c>
      <c r="G17" t="s">
        <v>632</v>
      </c>
      <c r="L17" t="s">
        <v>1</v>
      </c>
      <c r="M17" t="s">
        <v>2</v>
      </c>
      <c r="N17" t="s">
        <v>3</v>
      </c>
      <c r="O17" t="s">
        <v>4</v>
      </c>
      <c r="P17" t="s">
        <v>5</v>
      </c>
      <c r="Q17" t="s">
        <v>6</v>
      </c>
      <c r="R17" t="s">
        <v>7</v>
      </c>
      <c r="S17" t="s">
        <v>8</v>
      </c>
      <c r="T17" t="s">
        <v>9</v>
      </c>
      <c r="U17" t="s">
        <v>10</v>
      </c>
    </row>
    <row r="18" spans="1:21" x14ac:dyDescent="0.3">
      <c r="L18" s="1" t="s">
        <v>11</v>
      </c>
      <c r="M18" t="s">
        <v>645</v>
      </c>
      <c r="N18" s="3">
        <v>10</v>
      </c>
      <c r="O18">
        <v>4</v>
      </c>
      <c r="P18">
        <v>3</v>
      </c>
      <c r="Q18">
        <v>1</v>
      </c>
      <c r="R18">
        <f>O18-P18-Q18</f>
        <v>0</v>
      </c>
      <c r="S18">
        <v>9</v>
      </c>
      <c r="T18">
        <v>5</v>
      </c>
      <c r="U18">
        <f>S18-T18</f>
        <v>4</v>
      </c>
    </row>
    <row r="19" spans="1:21" x14ac:dyDescent="0.3">
      <c r="A19" t="s">
        <v>419</v>
      </c>
      <c r="L19" s="1" t="s">
        <v>12</v>
      </c>
      <c r="M19" t="s">
        <v>646</v>
      </c>
      <c r="N19" s="3">
        <v>4</v>
      </c>
      <c r="O19">
        <v>4</v>
      </c>
      <c r="P19">
        <v>1</v>
      </c>
      <c r="Q19">
        <v>1</v>
      </c>
      <c r="R19">
        <f>O19-P19-Q19</f>
        <v>2</v>
      </c>
      <c r="S19">
        <v>5</v>
      </c>
      <c r="T19">
        <v>7</v>
      </c>
      <c r="U19">
        <f>S19-T19</f>
        <v>-2</v>
      </c>
    </row>
    <row r="20" spans="1:21" x14ac:dyDescent="0.3">
      <c r="A20" t="str">
        <f>B9</f>
        <v>Luminense</v>
      </c>
      <c r="B20" t="s">
        <v>31</v>
      </c>
      <c r="C20" t="str">
        <f>B8</f>
        <v>Imperatriz</v>
      </c>
      <c r="E20" t="str">
        <f>B8</f>
        <v>Imperatriz</v>
      </c>
      <c r="F20" t="s">
        <v>30</v>
      </c>
      <c r="G20" t="str">
        <f>B9</f>
        <v>Luminense</v>
      </c>
      <c r="L20" t="s">
        <v>13</v>
      </c>
      <c r="M20" t="s">
        <v>647</v>
      </c>
      <c r="N20" s="3">
        <v>3</v>
      </c>
      <c r="O20">
        <v>4</v>
      </c>
      <c r="P20">
        <v>1</v>
      </c>
      <c r="Q20">
        <v>0</v>
      </c>
      <c r="R20">
        <f>O20-P20-Q20</f>
        <v>3</v>
      </c>
      <c r="S20">
        <v>7</v>
      </c>
      <c r="T20">
        <v>9</v>
      </c>
      <c r="U20">
        <f>S20-T20</f>
        <v>-2</v>
      </c>
    </row>
    <row r="21" spans="1:21" x14ac:dyDescent="0.3">
      <c r="N21" s="3"/>
    </row>
    <row r="22" spans="1:21" x14ac:dyDescent="0.3">
      <c r="A22" t="s">
        <v>113</v>
      </c>
      <c r="L22" t="s">
        <v>59</v>
      </c>
    </row>
    <row r="23" spans="1:21" x14ac:dyDescent="0.3">
      <c r="A23" t="s">
        <v>631</v>
      </c>
      <c r="L23" t="s">
        <v>26</v>
      </c>
      <c r="M23" t="s">
        <v>29</v>
      </c>
      <c r="N23" t="s">
        <v>645</v>
      </c>
      <c r="P23" t="s">
        <v>645</v>
      </c>
      <c r="Q23" t="s">
        <v>30</v>
      </c>
      <c r="R23" t="s">
        <v>26</v>
      </c>
    </row>
    <row r="24" spans="1:21" x14ac:dyDescent="0.3">
      <c r="A24" t="s">
        <v>633</v>
      </c>
      <c r="L24" t="s">
        <v>646</v>
      </c>
      <c r="M24" t="s">
        <v>29</v>
      </c>
      <c r="N24" t="s">
        <v>640</v>
      </c>
      <c r="P24" t="s">
        <v>640</v>
      </c>
      <c r="Q24" t="s">
        <v>648</v>
      </c>
      <c r="R24" t="s">
        <v>646</v>
      </c>
    </row>
    <row r="25" spans="1:21" x14ac:dyDescent="0.3">
      <c r="L25" t="s">
        <v>641</v>
      </c>
      <c r="M25" t="s">
        <v>132</v>
      </c>
      <c r="N25" t="s">
        <v>216</v>
      </c>
      <c r="P25" t="s">
        <v>216</v>
      </c>
      <c r="Q25" t="s">
        <v>30</v>
      </c>
      <c r="R25" t="s">
        <v>641</v>
      </c>
    </row>
    <row r="26" spans="1:21" x14ac:dyDescent="0.3">
      <c r="A26" t="s">
        <v>114</v>
      </c>
      <c r="L26" t="s">
        <v>643</v>
      </c>
      <c r="M26" t="s">
        <v>111</v>
      </c>
      <c r="N26" t="s">
        <v>639</v>
      </c>
      <c r="P26" t="s">
        <v>639</v>
      </c>
      <c r="Q26" t="s">
        <v>32</v>
      </c>
      <c r="R26" t="s">
        <v>643</v>
      </c>
    </row>
    <row r="27" spans="1:21" x14ac:dyDescent="0.3">
      <c r="A27" t="s">
        <v>632</v>
      </c>
    </row>
    <row r="28" spans="1:21" x14ac:dyDescent="0.3">
      <c r="A28" t="s">
        <v>631</v>
      </c>
      <c r="L28" t="s">
        <v>49</v>
      </c>
    </row>
    <row r="29" spans="1:21" x14ac:dyDescent="0.3">
      <c r="A29" t="s">
        <v>633</v>
      </c>
      <c r="L29" t="s">
        <v>646</v>
      </c>
      <c r="M29" t="s">
        <v>75</v>
      </c>
      <c r="N29" t="s">
        <v>645</v>
      </c>
      <c r="P29" t="s">
        <v>645</v>
      </c>
      <c r="Q29" t="s">
        <v>649</v>
      </c>
      <c r="R29" t="s">
        <v>646</v>
      </c>
    </row>
    <row r="30" spans="1:21" x14ac:dyDescent="0.3">
      <c r="L30" t="s">
        <v>641</v>
      </c>
      <c r="M30" t="s">
        <v>30</v>
      </c>
      <c r="N30" t="s">
        <v>639</v>
      </c>
      <c r="P30" t="s">
        <v>639</v>
      </c>
      <c r="Q30" t="s">
        <v>29</v>
      </c>
      <c r="R30" t="s">
        <v>641</v>
      </c>
    </row>
    <row r="32" spans="1:21" x14ac:dyDescent="0.3">
      <c r="L32" t="s">
        <v>19</v>
      </c>
    </row>
    <row r="33" spans="12:14" x14ac:dyDescent="0.3">
      <c r="L33" t="s">
        <v>645</v>
      </c>
      <c r="M33" t="s">
        <v>30</v>
      </c>
      <c r="N33" t="s">
        <v>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212E-156F-4CBB-BB29-9A91FC46AF3D}">
  <dimension ref="A1:AN48"/>
  <sheetViews>
    <sheetView topLeftCell="V4" workbookViewId="0">
      <selection activeCell="AB1" sqref="AB1:AK28"/>
    </sheetView>
  </sheetViews>
  <sheetFormatPr defaultRowHeight="14.4" x14ac:dyDescent="0.3"/>
  <sheetData>
    <row r="1" spans="1:40" x14ac:dyDescent="0.3">
      <c r="A1" t="s">
        <v>262</v>
      </c>
      <c r="Q1" t="s">
        <v>264</v>
      </c>
      <c r="AB1" t="s">
        <v>299</v>
      </c>
      <c r="AM1" t="s">
        <v>50</v>
      </c>
    </row>
    <row r="2" spans="1:40" x14ac:dyDescent="0.3">
      <c r="A2" t="s">
        <v>35</v>
      </c>
      <c r="Q2" t="s">
        <v>35</v>
      </c>
      <c r="AB2" t="s">
        <v>35</v>
      </c>
      <c r="AM2" t="s">
        <v>269</v>
      </c>
      <c r="AN2">
        <v>1</v>
      </c>
    </row>
    <row r="3" spans="1:4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Q3" t="s">
        <v>1</v>
      </c>
      <c r="R3" t="s">
        <v>2</v>
      </c>
      <c r="S3" t="s">
        <v>3</v>
      </c>
      <c r="T3" t="s">
        <v>4</v>
      </c>
      <c r="U3" t="s">
        <v>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B3" t="s">
        <v>1</v>
      </c>
      <c r="AC3" t="s">
        <v>2</v>
      </c>
      <c r="AD3" t="s">
        <v>3</v>
      </c>
      <c r="AE3" t="s">
        <v>4</v>
      </c>
      <c r="AF3" t="s">
        <v>5</v>
      </c>
      <c r="AG3" t="s">
        <v>6</v>
      </c>
      <c r="AH3" t="s">
        <v>7</v>
      </c>
      <c r="AI3" t="s">
        <v>8</v>
      </c>
      <c r="AJ3" t="s">
        <v>9</v>
      </c>
      <c r="AK3" t="s">
        <v>10</v>
      </c>
      <c r="AM3" t="s">
        <v>282</v>
      </c>
      <c r="AN3">
        <v>2</v>
      </c>
    </row>
    <row r="4" spans="1:40" x14ac:dyDescent="0.3">
      <c r="A4" s="1" t="s">
        <v>11</v>
      </c>
      <c r="B4" t="s">
        <v>269</v>
      </c>
      <c r="C4" s="3">
        <v>14</v>
      </c>
      <c r="D4">
        <v>8</v>
      </c>
      <c r="E4">
        <v>4</v>
      </c>
      <c r="F4">
        <v>2</v>
      </c>
      <c r="G4">
        <f>D4-E4-F4</f>
        <v>2</v>
      </c>
      <c r="H4">
        <v>13</v>
      </c>
      <c r="I4">
        <v>11</v>
      </c>
      <c r="J4">
        <f>H4-I4</f>
        <v>2</v>
      </c>
      <c r="Q4" s="1" t="s">
        <v>11</v>
      </c>
      <c r="R4" t="s">
        <v>277</v>
      </c>
      <c r="S4" s="3">
        <v>20</v>
      </c>
      <c r="T4">
        <v>10</v>
      </c>
      <c r="U4">
        <v>6</v>
      </c>
      <c r="V4">
        <v>2</v>
      </c>
      <c r="W4">
        <f>T4-U4-V4</f>
        <v>2</v>
      </c>
      <c r="X4">
        <v>18</v>
      </c>
      <c r="Y4">
        <v>12</v>
      </c>
      <c r="Z4">
        <f>X4-Y4</f>
        <v>6</v>
      </c>
      <c r="AB4" s="1" t="s">
        <v>11</v>
      </c>
      <c r="AC4" t="s">
        <v>287</v>
      </c>
      <c r="AD4" s="3">
        <v>13</v>
      </c>
      <c r="AE4">
        <v>6</v>
      </c>
      <c r="AF4">
        <v>4</v>
      </c>
      <c r="AG4">
        <v>1</v>
      </c>
      <c r="AH4">
        <f>AE4-AF4-AG4</f>
        <v>1</v>
      </c>
      <c r="AI4">
        <v>12</v>
      </c>
      <c r="AJ4">
        <v>8</v>
      </c>
      <c r="AK4">
        <f>AI4-AJ4</f>
        <v>4</v>
      </c>
      <c r="AM4" t="s">
        <v>290</v>
      </c>
      <c r="AN4">
        <v>1</v>
      </c>
    </row>
    <row r="5" spans="1:40" x14ac:dyDescent="0.3">
      <c r="A5" t="s">
        <v>12</v>
      </c>
      <c r="B5" t="s">
        <v>267</v>
      </c>
      <c r="C5" s="3">
        <v>12</v>
      </c>
      <c r="D5">
        <v>8</v>
      </c>
      <c r="E5">
        <v>3</v>
      </c>
      <c r="F5">
        <v>3</v>
      </c>
      <c r="G5">
        <f>D5-E5-F5</f>
        <v>2</v>
      </c>
      <c r="H5">
        <v>11</v>
      </c>
      <c r="I5">
        <v>10</v>
      </c>
      <c r="J5">
        <f>H5-I5</f>
        <v>1</v>
      </c>
      <c r="Q5" s="1" t="s">
        <v>12</v>
      </c>
      <c r="R5" t="s">
        <v>276</v>
      </c>
      <c r="S5" s="3">
        <v>20</v>
      </c>
      <c r="T5">
        <v>10</v>
      </c>
      <c r="U5">
        <v>6</v>
      </c>
      <c r="V5">
        <v>2</v>
      </c>
      <c r="W5">
        <f t="shared" ref="W5:W9" si="0">T5-U5-V5</f>
        <v>2</v>
      </c>
      <c r="X5">
        <v>14</v>
      </c>
      <c r="Y5">
        <v>11</v>
      </c>
      <c r="Z5">
        <f t="shared" ref="Z5:Z9" si="1">X5-Y5</f>
        <v>3</v>
      </c>
      <c r="AB5" s="1" t="s">
        <v>12</v>
      </c>
      <c r="AC5" t="s">
        <v>288</v>
      </c>
      <c r="AD5" s="3">
        <v>12</v>
      </c>
      <c r="AE5">
        <v>6</v>
      </c>
      <c r="AF5">
        <v>4</v>
      </c>
      <c r="AG5">
        <v>0</v>
      </c>
      <c r="AH5">
        <f t="shared" ref="AH5:AH9" si="2">AE5-AF5-AG5</f>
        <v>2</v>
      </c>
      <c r="AI5">
        <v>11</v>
      </c>
      <c r="AJ5">
        <v>9</v>
      </c>
      <c r="AK5">
        <f t="shared" ref="AK5:AK9" si="3">AI5-AJ5</f>
        <v>2</v>
      </c>
    </row>
    <row r="6" spans="1:40" x14ac:dyDescent="0.3">
      <c r="A6" t="s">
        <v>13</v>
      </c>
      <c r="B6" t="s">
        <v>268</v>
      </c>
      <c r="C6" s="3">
        <v>9</v>
      </c>
      <c r="D6">
        <v>8</v>
      </c>
      <c r="E6">
        <v>2</v>
      </c>
      <c r="F6">
        <v>3</v>
      </c>
      <c r="G6">
        <f>D6-E6-F6</f>
        <v>3</v>
      </c>
      <c r="H6">
        <v>7</v>
      </c>
      <c r="I6">
        <v>10</v>
      </c>
      <c r="J6">
        <f>H6-I6</f>
        <v>-3</v>
      </c>
      <c r="Q6" s="1" t="s">
        <v>13</v>
      </c>
      <c r="R6" t="s">
        <v>279</v>
      </c>
      <c r="S6" s="3">
        <v>15</v>
      </c>
      <c r="T6">
        <v>10</v>
      </c>
      <c r="U6">
        <v>4</v>
      </c>
      <c r="V6">
        <v>3</v>
      </c>
      <c r="W6">
        <f t="shared" si="0"/>
        <v>3</v>
      </c>
      <c r="X6">
        <v>14</v>
      </c>
      <c r="Y6">
        <v>11</v>
      </c>
      <c r="Z6">
        <f t="shared" si="1"/>
        <v>3</v>
      </c>
      <c r="AB6" s="1" t="s">
        <v>13</v>
      </c>
      <c r="AC6" t="s">
        <v>290</v>
      </c>
      <c r="AD6" s="3">
        <v>10</v>
      </c>
      <c r="AE6">
        <v>6</v>
      </c>
      <c r="AF6">
        <v>3</v>
      </c>
      <c r="AG6">
        <v>1</v>
      </c>
      <c r="AH6">
        <f t="shared" si="2"/>
        <v>2</v>
      </c>
      <c r="AI6">
        <v>17</v>
      </c>
      <c r="AJ6">
        <v>9</v>
      </c>
      <c r="AK6">
        <f t="shared" si="3"/>
        <v>8</v>
      </c>
    </row>
    <row r="7" spans="1:40" x14ac:dyDescent="0.3">
      <c r="A7" t="s">
        <v>14</v>
      </c>
      <c r="B7" t="s">
        <v>266</v>
      </c>
      <c r="C7" s="3">
        <v>8</v>
      </c>
      <c r="D7">
        <v>8</v>
      </c>
      <c r="E7">
        <v>2</v>
      </c>
      <c r="F7">
        <v>2</v>
      </c>
      <c r="G7">
        <f>D7-E7-F7</f>
        <v>4</v>
      </c>
      <c r="H7">
        <v>9</v>
      </c>
      <c r="I7">
        <v>11</v>
      </c>
      <c r="J7">
        <f>H7-I7</f>
        <v>-2</v>
      </c>
      <c r="Q7" s="1" t="s">
        <v>14</v>
      </c>
      <c r="R7" t="s">
        <v>280</v>
      </c>
      <c r="S7" s="3">
        <v>13</v>
      </c>
      <c r="T7">
        <v>10</v>
      </c>
      <c r="U7">
        <v>3</v>
      </c>
      <c r="V7">
        <v>4</v>
      </c>
      <c r="W7">
        <f t="shared" si="0"/>
        <v>3</v>
      </c>
      <c r="X7">
        <v>12</v>
      </c>
      <c r="Y7">
        <v>12</v>
      </c>
      <c r="Z7">
        <f t="shared" si="1"/>
        <v>0</v>
      </c>
      <c r="AB7" t="s">
        <v>14</v>
      </c>
      <c r="AC7" t="s">
        <v>289</v>
      </c>
      <c r="AD7" s="3">
        <v>10</v>
      </c>
      <c r="AE7">
        <v>6</v>
      </c>
      <c r="AF7">
        <v>3</v>
      </c>
      <c r="AG7">
        <v>1</v>
      </c>
      <c r="AH7">
        <f t="shared" si="2"/>
        <v>2</v>
      </c>
      <c r="AI7">
        <v>10</v>
      </c>
      <c r="AJ7">
        <v>9</v>
      </c>
      <c r="AK7">
        <f t="shared" si="3"/>
        <v>1</v>
      </c>
    </row>
    <row r="8" spans="1:40" x14ac:dyDescent="0.3">
      <c r="Q8" t="s">
        <v>15</v>
      </c>
      <c r="R8" t="s">
        <v>278</v>
      </c>
      <c r="S8" s="3">
        <v>9</v>
      </c>
      <c r="T8">
        <v>10</v>
      </c>
      <c r="U8">
        <v>2</v>
      </c>
      <c r="V8">
        <v>3</v>
      </c>
      <c r="W8">
        <f t="shared" si="0"/>
        <v>5</v>
      </c>
      <c r="X8">
        <v>8</v>
      </c>
      <c r="Y8">
        <v>12</v>
      </c>
      <c r="Z8">
        <f t="shared" si="1"/>
        <v>-4</v>
      </c>
      <c r="AB8" t="s">
        <v>15</v>
      </c>
      <c r="AC8" t="s">
        <v>291</v>
      </c>
      <c r="AD8" s="3">
        <v>9</v>
      </c>
      <c r="AE8">
        <v>6</v>
      </c>
      <c r="AF8">
        <v>3</v>
      </c>
      <c r="AG8">
        <v>0</v>
      </c>
      <c r="AH8">
        <f t="shared" si="2"/>
        <v>3</v>
      </c>
      <c r="AI8">
        <v>6</v>
      </c>
      <c r="AJ8">
        <v>10</v>
      </c>
      <c r="AK8">
        <f t="shared" si="3"/>
        <v>-4</v>
      </c>
    </row>
    <row r="9" spans="1:40" x14ac:dyDescent="0.3">
      <c r="A9" t="s">
        <v>36</v>
      </c>
      <c r="Q9" s="2" t="s">
        <v>16</v>
      </c>
      <c r="R9" t="s">
        <v>98</v>
      </c>
      <c r="S9" s="3">
        <v>5</v>
      </c>
      <c r="T9">
        <v>10</v>
      </c>
      <c r="U9">
        <v>1</v>
      </c>
      <c r="V9">
        <v>2</v>
      </c>
      <c r="W9">
        <f t="shared" si="0"/>
        <v>7</v>
      </c>
      <c r="X9">
        <v>7</v>
      </c>
      <c r="Y9">
        <v>15</v>
      </c>
      <c r="Z9">
        <f t="shared" si="1"/>
        <v>-8</v>
      </c>
      <c r="AB9" t="s">
        <v>16</v>
      </c>
      <c r="AC9" t="s">
        <v>292</v>
      </c>
      <c r="AD9" s="3">
        <v>4</v>
      </c>
      <c r="AE9">
        <v>6</v>
      </c>
      <c r="AF9">
        <v>1</v>
      </c>
      <c r="AG9">
        <v>1</v>
      </c>
      <c r="AH9">
        <f t="shared" si="2"/>
        <v>4</v>
      </c>
      <c r="AI9">
        <v>4</v>
      </c>
      <c r="AJ9">
        <v>9</v>
      </c>
      <c r="AK9">
        <f t="shared" si="3"/>
        <v>-5</v>
      </c>
    </row>
    <row r="10" spans="1:40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AB10" t="s">
        <v>17</v>
      </c>
      <c r="AC10" t="s">
        <v>293</v>
      </c>
      <c r="AD10" s="3">
        <v>3</v>
      </c>
      <c r="AE10">
        <v>6</v>
      </c>
      <c r="AF10">
        <v>1</v>
      </c>
      <c r="AG10">
        <v>0</v>
      </c>
      <c r="AH10">
        <f>AE10-AF10-AG10</f>
        <v>5</v>
      </c>
      <c r="AI10">
        <v>7</v>
      </c>
      <c r="AJ10">
        <v>13</v>
      </c>
      <c r="AK10">
        <f>AI10-AJ10</f>
        <v>-6</v>
      </c>
    </row>
    <row r="11" spans="1:40" x14ac:dyDescent="0.3">
      <c r="A11" s="1" t="s">
        <v>11</v>
      </c>
      <c r="B11" t="s">
        <v>272</v>
      </c>
      <c r="C11" s="3">
        <v>12</v>
      </c>
      <c r="D11">
        <v>8</v>
      </c>
      <c r="E11">
        <v>3</v>
      </c>
      <c r="F11">
        <v>3</v>
      </c>
      <c r="G11">
        <f>D11-E11-F11</f>
        <v>2</v>
      </c>
      <c r="H11">
        <v>11</v>
      </c>
      <c r="I11">
        <v>6</v>
      </c>
      <c r="J11">
        <f>H11-I11</f>
        <v>5</v>
      </c>
      <c r="Q11" t="s">
        <v>36</v>
      </c>
    </row>
    <row r="12" spans="1:40" x14ac:dyDescent="0.3">
      <c r="A12" t="s">
        <v>12</v>
      </c>
      <c r="B12" t="s">
        <v>182</v>
      </c>
      <c r="C12" s="3">
        <v>9</v>
      </c>
      <c r="D12">
        <v>8</v>
      </c>
      <c r="E12">
        <v>2</v>
      </c>
      <c r="F12">
        <v>3</v>
      </c>
      <c r="G12">
        <f>D12-E12-F12</f>
        <v>3</v>
      </c>
      <c r="H12">
        <v>9</v>
      </c>
      <c r="I12">
        <v>11</v>
      </c>
      <c r="J12">
        <f>H12-I12</f>
        <v>-2</v>
      </c>
      <c r="Q12" t="s">
        <v>1</v>
      </c>
      <c r="R12" t="s">
        <v>2</v>
      </c>
      <c r="S12" t="s">
        <v>3</v>
      </c>
      <c r="T12" t="s">
        <v>4</v>
      </c>
      <c r="U12" t="s">
        <v>5</v>
      </c>
      <c r="V12" t="s">
        <v>6</v>
      </c>
      <c r="W12" t="s">
        <v>7</v>
      </c>
      <c r="X12" t="s">
        <v>8</v>
      </c>
      <c r="Y12" t="s">
        <v>9</v>
      </c>
      <c r="Z12" t="s">
        <v>10</v>
      </c>
      <c r="AB12" t="s">
        <v>36</v>
      </c>
    </row>
    <row r="13" spans="1:40" x14ac:dyDescent="0.3">
      <c r="A13" s="2" t="s">
        <v>13</v>
      </c>
      <c r="B13" t="s">
        <v>273</v>
      </c>
      <c r="C13" s="3">
        <v>8</v>
      </c>
      <c r="D13">
        <v>8</v>
      </c>
      <c r="E13">
        <v>1</v>
      </c>
      <c r="F13">
        <v>5</v>
      </c>
      <c r="G13">
        <f>D13-E13-F13</f>
        <v>2</v>
      </c>
      <c r="H13">
        <v>10</v>
      </c>
      <c r="I13">
        <v>11</v>
      </c>
      <c r="J13">
        <f>H13-I13</f>
        <v>-1</v>
      </c>
      <c r="Q13" s="1" t="s">
        <v>11</v>
      </c>
      <c r="R13" t="s">
        <v>281</v>
      </c>
      <c r="S13" s="3">
        <v>17</v>
      </c>
      <c r="T13">
        <v>10</v>
      </c>
      <c r="U13">
        <v>5</v>
      </c>
      <c r="V13">
        <v>2</v>
      </c>
      <c r="W13">
        <f>T13-U13-V13</f>
        <v>3</v>
      </c>
      <c r="X13">
        <v>14</v>
      </c>
      <c r="Y13">
        <v>10</v>
      </c>
      <c r="Z13">
        <f>X13-Y13</f>
        <v>4</v>
      </c>
      <c r="AB13" t="s">
        <v>1</v>
      </c>
      <c r="AC13" t="s">
        <v>2</v>
      </c>
      <c r="AD13" t="s">
        <v>3</v>
      </c>
      <c r="AE13" t="s">
        <v>4</v>
      </c>
      <c r="AF13" t="s">
        <v>5</v>
      </c>
      <c r="AG13" t="s">
        <v>6</v>
      </c>
      <c r="AH13" t="s">
        <v>7</v>
      </c>
      <c r="AI13" t="s">
        <v>8</v>
      </c>
      <c r="AJ13" t="s">
        <v>9</v>
      </c>
      <c r="AK13" t="s">
        <v>10</v>
      </c>
    </row>
    <row r="14" spans="1:40" x14ac:dyDescent="0.3">
      <c r="A14" s="2" t="s">
        <v>14</v>
      </c>
      <c r="B14" t="s">
        <v>274</v>
      </c>
      <c r="C14" s="3">
        <v>7</v>
      </c>
      <c r="D14">
        <v>8</v>
      </c>
      <c r="E14">
        <v>1</v>
      </c>
      <c r="F14">
        <v>4</v>
      </c>
      <c r="G14">
        <f>D14-E14-F14</f>
        <v>3</v>
      </c>
      <c r="H14">
        <v>7</v>
      </c>
      <c r="I14">
        <v>8</v>
      </c>
      <c r="J14">
        <f>H14-I14</f>
        <v>-1</v>
      </c>
      <c r="Q14" s="1" t="s">
        <v>12</v>
      </c>
      <c r="R14" t="s">
        <v>282</v>
      </c>
      <c r="S14" s="3">
        <v>17</v>
      </c>
      <c r="T14">
        <v>10</v>
      </c>
      <c r="U14">
        <v>5</v>
      </c>
      <c r="V14">
        <v>2</v>
      </c>
      <c r="W14">
        <f t="shared" ref="W14:W18" si="4">T14-U14-V14</f>
        <v>3</v>
      </c>
      <c r="X14">
        <v>13</v>
      </c>
      <c r="Y14">
        <v>11</v>
      </c>
      <c r="Z14">
        <f t="shared" ref="Z14:Z18" si="5">X14-Y14</f>
        <v>2</v>
      </c>
      <c r="AB14" s="1" t="s">
        <v>11</v>
      </c>
      <c r="AC14" t="s">
        <v>124</v>
      </c>
      <c r="AD14" s="3">
        <v>12</v>
      </c>
      <c r="AE14">
        <v>5</v>
      </c>
      <c r="AF14">
        <v>4</v>
      </c>
      <c r="AG14">
        <v>0</v>
      </c>
      <c r="AH14">
        <f>AE14-AF14-AG14</f>
        <v>1</v>
      </c>
      <c r="AI14">
        <v>8</v>
      </c>
      <c r="AJ14">
        <v>2</v>
      </c>
      <c r="AK14">
        <f>AI14-AJ14</f>
        <v>6</v>
      </c>
    </row>
    <row r="15" spans="1:40" x14ac:dyDescent="0.3">
      <c r="Q15" s="1" t="s">
        <v>13</v>
      </c>
      <c r="R15" t="s">
        <v>283</v>
      </c>
      <c r="S15" s="3">
        <v>14</v>
      </c>
      <c r="T15">
        <v>10</v>
      </c>
      <c r="U15">
        <v>3</v>
      </c>
      <c r="V15">
        <v>5</v>
      </c>
      <c r="W15">
        <f t="shared" si="4"/>
        <v>2</v>
      </c>
      <c r="X15">
        <v>15</v>
      </c>
      <c r="Y15">
        <v>11</v>
      </c>
      <c r="Z15">
        <f t="shared" si="5"/>
        <v>4</v>
      </c>
      <c r="AB15" s="1" t="s">
        <v>12</v>
      </c>
      <c r="AC15" t="s">
        <v>294</v>
      </c>
      <c r="AD15" s="3">
        <v>12</v>
      </c>
      <c r="AE15">
        <v>5</v>
      </c>
      <c r="AF15">
        <v>4</v>
      </c>
      <c r="AG15">
        <v>0</v>
      </c>
      <c r="AH15">
        <f t="shared" ref="AH15:AH19" si="6">AE15-AF15-AG15</f>
        <v>1</v>
      </c>
      <c r="AI15">
        <v>9</v>
      </c>
      <c r="AJ15">
        <v>5</v>
      </c>
      <c r="AK15">
        <f t="shared" ref="AK15:AK19" si="7">AI15-AJ15</f>
        <v>4</v>
      </c>
    </row>
    <row r="16" spans="1:40" x14ac:dyDescent="0.3">
      <c r="A16" t="s">
        <v>52</v>
      </c>
      <c r="Q16" s="1" t="s">
        <v>14</v>
      </c>
      <c r="R16" t="s">
        <v>284</v>
      </c>
      <c r="S16" s="3">
        <v>13</v>
      </c>
      <c r="T16">
        <v>10</v>
      </c>
      <c r="U16">
        <v>4</v>
      </c>
      <c r="V16">
        <v>1</v>
      </c>
      <c r="W16">
        <f t="shared" si="4"/>
        <v>5</v>
      </c>
      <c r="X16">
        <v>9</v>
      </c>
      <c r="Y16">
        <v>11</v>
      </c>
      <c r="Z16">
        <f t="shared" si="5"/>
        <v>-2</v>
      </c>
      <c r="AB16" s="1" t="s">
        <v>13</v>
      </c>
      <c r="AC16" t="s">
        <v>295</v>
      </c>
      <c r="AD16" s="3">
        <v>6</v>
      </c>
      <c r="AE16">
        <v>5</v>
      </c>
      <c r="AF16">
        <v>2</v>
      </c>
      <c r="AG16">
        <v>0</v>
      </c>
      <c r="AH16">
        <f t="shared" si="6"/>
        <v>3</v>
      </c>
      <c r="AI16">
        <v>4</v>
      </c>
      <c r="AJ16">
        <v>6</v>
      </c>
      <c r="AK16">
        <f t="shared" si="7"/>
        <v>-2</v>
      </c>
    </row>
    <row r="17" spans="1:37" x14ac:dyDescent="0.3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Q17" t="s">
        <v>15</v>
      </c>
      <c r="R17" t="s">
        <v>285</v>
      </c>
      <c r="S17" s="3">
        <v>13</v>
      </c>
      <c r="T17">
        <v>10</v>
      </c>
      <c r="U17">
        <v>3</v>
      </c>
      <c r="V17">
        <v>4</v>
      </c>
      <c r="W17">
        <f t="shared" si="4"/>
        <v>3</v>
      </c>
      <c r="X17">
        <v>10</v>
      </c>
      <c r="Y17">
        <v>11</v>
      </c>
      <c r="Z17">
        <f t="shared" si="5"/>
        <v>-1</v>
      </c>
      <c r="AB17" t="s">
        <v>14</v>
      </c>
      <c r="AC17" t="s">
        <v>296</v>
      </c>
      <c r="AD17" s="3">
        <v>5</v>
      </c>
      <c r="AE17">
        <v>5</v>
      </c>
      <c r="AF17">
        <v>1</v>
      </c>
      <c r="AG17">
        <v>2</v>
      </c>
      <c r="AH17">
        <f t="shared" si="6"/>
        <v>2</v>
      </c>
      <c r="AI17">
        <v>4</v>
      </c>
      <c r="AJ17">
        <v>6</v>
      </c>
      <c r="AK17">
        <f t="shared" si="7"/>
        <v>-2</v>
      </c>
    </row>
    <row r="18" spans="1:37" x14ac:dyDescent="0.3">
      <c r="A18" s="1" t="s">
        <v>11</v>
      </c>
      <c r="B18" t="s">
        <v>44</v>
      </c>
      <c r="C18" s="3">
        <v>16</v>
      </c>
      <c r="D18">
        <v>8</v>
      </c>
      <c r="E18">
        <v>5</v>
      </c>
      <c r="F18">
        <v>1</v>
      </c>
      <c r="G18">
        <f>D18-E18-F18</f>
        <v>2</v>
      </c>
      <c r="H18">
        <v>10</v>
      </c>
      <c r="I18">
        <v>7</v>
      </c>
      <c r="J18">
        <f>H18-I18</f>
        <v>3</v>
      </c>
      <c r="Q18" s="2" t="s">
        <v>16</v>
      </c>
      <c r="R18" t="s">
        <v>286</v>
      </c>
      <c r="S18" s="3">
        <v>8</v>
      </c>
      <c r="T18">
        <v>10</v>
      </c>
      <c r="U18">
        <v>2</v>
      </c>
      <c r="V18">
        <v>2</v>
      </c>
      <c r="W18">
        <f t="shared" si="4"/>
        <v>6</v>
      </c>
      <c r="X18">
        <v>14</v>
      </c>
      <c r="Y18">
        <v>21</v>
      </c>
      <c r="Z18">
        <f t="shared" si="5"/>
        <v>-7</v>
      </c>
      <c r="AB18" t="s">
        <v>15</v>
      </c>
      <c r="AC18" t="s">
        <v>297</v>
      </c>
      <c r="AD18" s="3">
        <v>4</v>
      </c>
      <c r="AE18">
        <v>5</v>
      </c>
      <c r="AF18">
        <v>1</v>
      </c>
      <c r="AG18">
        <v>1</v>
      </c>
      <c r="AH18">
        <f t="shared" si="6"/>
        <v>3</v>
      </c>
      <c r="AI18">
        <v>4</v>
      </c>
      <c r="AJ18">
        <v>6</v>
      </c>
      <c r="AK18">
        <f t="shared" si="7"/>
        <v>-2</v>
      </c>
    </row>
    <row r="19" spans="1:37" x14ac:dyDescent="0.3">
      <c r="A19" s="1" t="s">
        <v>12</v>
      </c>
      <c r="B19" t="s">
        <v>270</v>
      </c>
      <c r="C19" s="3">
        <v>13</v>
      </c>
      <c r="D19">
        <v>8</v>
      </c>
      <c r="E19">
        <v>4</v>
      </c>
      <c r="F19">
        <v>1</v>
      </c>
      <c r="G19">
        <f>D19-E19-F19</f>
        <v>3</v>
      </c>
      <c r="H19">
        <v>9</v>
      </c>
      <c r="I19">
        <v>9</v>
      </c>
      <c r="J19">
        <f>H19-I19</f>
        <v>0</v>
      </c>
      <c r="AB19" t="s">
        <v>16</v>
      </c>
      <c r="AC19" t="s">
        <v>298</v>
      </c>
      <c r="AD19" s="3">
        <v>4</v>
      </c>
      <c r="AE19">
        <v>5</v>
      </c>
      <c r="AF19">
        <v>1</v>
      </c>
      <c r="AG19">
        <v>1</v>
      </c>
      <c r="AH19">
        <f t="shared" si="6"/>
        <v>3</v>
      </c>
      <c r="AI19">
        <v>5</v>
      </c>
      <c r="AJ19">
        <v>9</v>
      </c>
      <c r="AK19">
        <f t="shared" si="7"/>
        <v>-4</v>
      </c>
    </row>
    <row r="20" spans="1:37" x14ac:dyDescent="0.3">
      <c r="A20" t="s">
        <v>13</v>
      </c>
      <c r="B20" t="s">
        <v>265</v>
      </c>
      <c r="C20" s="3">
        <v>10</v>
      </c>
      <c r="D20">
        <v>8</v>
      </c>
      <c r="E20">
        <v>3</v>
      </c>
      <c r="F20">
        <v>1</v>
      </c>
      <c r="G20">
        <f>D20-E20-F20</f>
        <v>4</v>
      </c>
      <c r="H20">
        <v>8</v>
      </c>
      <c r="I20">
        <v>9</v>
      </c>
      <c r="J20">
        <f>H20-I20</f>
        <v>-1</v>
      </c>
      <c r="Q20" t="s">
        <v>59</v>
      </c>
    </row>
    <row r="21" spans="1:37" x14ac:dyDescent="0.3">
      <c r="A21" t="s">
        <v>14</v>
      </c>
      <c r="B21" t="s">
        <v>271</v>
      </c>
      <c r="C21" s="3">
        <v>10</v>
      </c>
      <c r="D21">
        <v>8</v>
      </c>
      <c r="E21">
        <v>2</v>
      </c>
      <c r="F21">
        <v>4</v>
      </c>
      <c r="G21">
        <f>D21-E21-F21</f>
        <v>2</v>
      </c>
      <c r="H21">
        <v>6</v>
      </c>
      <c r="I21">
        <v>7</v>
      </c>
      <c r="J21">
        <f>H21-I21</f>
        <v>-1</v>
      </c>
      <c r="Q21" t="str">
        <f>R16</f>
        <v>Aymorés</v>
      </c>
      <c r="R21" t="s">
        <v>28</v>
      </c>
      <c r="S21" t="str">
        <f>R4</f>
        <v>Caldense</v>
      </c>
      <c r="U21" t="str">
        <f>R4</f>
        <v>Caldense</v>
      </c>
      <c r="V21" t="s">
        <v>31</v>
      </c>
      <c r="W21" t="str">
        <f>R16</f>
        <v>Aymorés</v>
      </c>
      <c r="AB21" t="s">
        <v>117</v>
      </c>
    </row>
    <row r="22" spans="1:37" x14ac:dyDescent="0.3">
      <c r="Q22" t="str">
        <f>R15</f>
        <v>Valeriodoce</v>
      </c>
      <c r="R22" t="s">
        <v>111</v>
      </c>
      <c r="S22" t="str">
        <f>R5</f>
        <v>Boa Esporte</v>
      </c>
      <c r="U22" t="str">
        <f>R5</f>
        <v>Boa Esporte</v>
      </c>
      <c r="V22" t="s">
        <v>32</v>
      </c>
      <c r="W22" t="str">
        <f>R15</f>
        <v>Valeriodoce</v>
      </c>
      <c r="AB22" t="s">
        <v>1</v>
      </c>
      <c r="AC22" t="s">
        <v>2</v>
      </c>
      <c r="AD22" t="s">
        <v>3</v>
      </c>
      <c r="AE22" t="s">
        <v>4</v>
      </c>
      <c r="AF22" t="s">
        <v>5</v>
      </c>
      <c r="AG22" t="s">
        <v>6</v>
      </c>
      <c r="AH22" t="s">
        <v>7</v>
      </c>
      <c r="AI22" t="s">
        <v>8</v>
      </c>
      <c r="AJ22" t="s">
        <v>9</v>
      </c>
      <c r="AK22" t="s">
        <v>10</v>
      </c>
    </row>
    <row r="23" spans="1:37" x14ac:dyDescent="0.3">
      <c r="A23" t="s">
        <v>49</v>
      </c>
      <c r="Q23" t="str">
        <f>R6</f>
        <v>Patrocinense</v>
      </c>
      <c r="R23" t="s">
        <v>28</v>
      </c>
      <c r="S23" t="str">
        <f>R14</f>
        <v>Ipatinga</v>
      </c>
      <c r="U23" t="str">
        <f>R14</f>
        <v>Ipatinga</v>
      </c>
      <c r="V23" t="s">
        <v>31</v>
      </c>
      <c r="W23" t="str">
        <f>R6</f>
        <v>Patrocinense</v>
      </c>
      <c r="AB23" s="1" t="s">
        <v>11</v>
      </c>
      <c r="AC23" t="s">
        <v>290</v>
      </c>
      <c r="AD23" s="3">
        <v>12</v>
      </c>
      <c r="AE23">
        <v>5</v>
      </c>
      <c r="AF23">
        <v>4</v>
      </c>
      <c r="AG23">
        <v>0</v>
      </c>
      <c r="AH23">
        <f>AE23-AF23-AG23</f>
        <v>1</v>
      </c>
      <c r="AI23">
        <v>10</v>
      </c>
      <c r="AJ23">
        <v>3</v>
      </c>
      <c r="AK23">
        <f>AI23-AJ23</f>
        <v>7</v>
      </c>
    </row>
    <row r="24" spans="1:37" x14ac:dyDescent="0.3">
      <c r="A24" t="s">
        <v>270</v>
      </c>
      <c r="B24" t="s">
        <v>73</v>
      </c>
      <c r="C24" t="s">
        <v>44</v>
      </c>
      <c r="E24" t="s">
        <v>44</v>
      </c>
      <c r="F24" t="s">
        <v>28</v>
      </c>
      <c r="G24" t="s">
        <v>270</v>
      </c>
      <c r="Q24" t="str">
        <f>R7</f>
        <v>Uberaba</v>
      </c>
      <c r="R24" t="s">
        <v>48</v>
      </c>
      <c r="S24" t="str">
        <f>R13</f>
        <v>Coimbra FC Porto</v>
      </c>
      <c r="U24" t="str">
        <f>R13</f>
        <v>Coimbra FC Porto</v>
      </c>
      <c r="V24" t="s">
        <v>75</v>
      </c>
      <c r="W24" t="str">
        <f>R7</f>
        <v>Uberaba</v>
      </c>
      <c r="AB24" s="1" t="s">
        <v>12</v>
      </c>
      <c r="AC24" t="s">
        <v>294</v>
      </c>
      <c r="AD24" s="3">
        <v>9</v>
      </c>
      <c r="AE24">
        <v>5</v>
      </c>
      <c r="AF24">
        <v>3</v>
      </c>
      <c r="AG24">
        <v>0</v>
      </c>
      <c r="AH24">
        <f t="shared" ref="AH24:AH28" si="8">AE24-AF24-AG24</f>
        <v>2</v>
      </c>
      <c r="AI24">
        <v>7</v>
      </c>
      <c r="AJ24">
        <v>4</v>
      </c>
      <c r="AK24">
        <f t="shared" ref="AK24:AK28" si="9">AI24-AJ24</f>
        <v>3</v>
      </c>
    </row>
    <row r="25" spans="1:37" x14ac:dyDescent="0.3">
      <c r="A25" t="s">
        <v>272</v>
      </c>
      <c r="B25" t="s">
        <v>33</v>
      </c>
      <c r="C25" t="s">
        <v>269</v>
      </c>
      <c r="E25" t="s">
        <v>269</v>
      </c>
      <c r="F25" t="s">
        <v>73</v>
      </c>
      <c r="G25" t="s">
        <v>272</v>
      </c>
      <c r="AB25" t="s">
        <v>13</v>
      </c>
      <c r="AC25" t="s">
        <v>288</v>
      </c>
      <c r="AD25" s="3">
        <v>9</v>
      </c>
      <c r="AE25">
        <v>5</v>
      </c>
      <c r="AF25">
        <v>3</v>
      </c>
      <c r="AG25">
        <v>0</v>
      </c>
      <c r="AH25">
        <f t="shared" si="8"/>
        <v>2</v>
      </c>
      <c r="AI25">
        <v>10</v>
      </c>
      <c r="AJ25">
        <v>9</v>
      </c>
      <c r="AK25">
        <f t="shared" si="9"/>
        <v>1</v>
      </c>
    </row>
    <row r="26" spans="1:37" x14ac:dyDescent="0.3">
      <c r="Q26" t="s">
        <v>49</v>
      </c>
      <c r="AB26" t="s">
        <v>14</v>
      </c>
      <c r="AC26" t="s">
        <v>295</v>
      </c>
      <c r="AD26" s="3">
        <v>6</v>
      </c>
      <c r="AE26">
        <v>5</v>
      </c>
      <c r="AF26">
        <v>2</v>
      </c>
      <c r="AG26">
        <v>0</v>
      </c>
      <c r="AH26">
        <f t="shared" si="8"/>
        <v>3</v>
      </c>
      <c r="AI26">
        <v>8</v>
      </c>
      <c r="AJ26">
        <v>10</v>
      </c>
      <c r="AK26">
        <f t="shared" si="9"/>
        <v>-2</v>
      </c>
    </row>
    <row r="27" spans="1:37" x14ac:dyDescent="0.3">
      <c r="A27" t="s">
        <v>19</v>
      </c>
      <c r="Q27" t="s">
        <v>282</v>
      </c>
      <c r="R27" t="s">
        <v>32</v>
      </c>
      <c r="S27" t="s">
        <v>277</v>
      </c>
      <c r="U27" t="s">
        <v>277</v>
      </c>
      <c r="V27" t="s">
        <v>28</v>
      </c>
      <c r="W27" t="s">
        <v>282</v>
      </c>
      <c r="AB27" t="s">
        <v>15</v>
      </c>
      <c r="AC27" t="s">
        <v>287</v>
      </c>
      <c r="AD27" s="3">
        <v>6</v>
      </c>
      <c r="AE27">
        <v>5</v>
      </c>
      <c r="AF27">
        <v>2</v>
      </c>
      <c r="AG27">
        <v>0</v>
      </c>
      <c r="AH27">
        <f t="shared" si="8"/>
        <v>3</v>
      </c>
      <c r="AI27">
        <v>5</v>
      </c>
      <c r="AJ27">
        <v>8</v>
      </c>
      <c r="AK27">
        <f t="shared" si="9"/>
        <v>-3</v>
      </c>
    </row>
    <row r="28" spans="1:37" x14ac:dyDescent="0.3">
      <c r="A28" t="s">
        <v>44</v>
      </c>
      <c r="B28" t="s">
        <v>158</v>
      </c>
      <c r="C28" t="s">
        <v>269</v>
      </c>
      <c r="Q28" t="s">
        <v>280</v>
      </c>
      <c r="R28" t="s">
        <v>30</v>
      </c>
      <c r="S28" t="s">
        <v>276</v>
      </c>
      <c r="U28" t="s">
        <v>276</v>
      </c>
      <c r="V28" t="s">
        <v>30</v>
      </c>
      <c r="W28" t="s">
        <v>280</v>
      </c>
      <c r="AB28" t="s">
        <v>16</v>
      </c>
      <c r="AC28" t="s">
        <v>124</v>
      </c>
      <c r="AD28" s="3">
        <v>3</v>
      </c>
      <c r="AE28">
        <v>5</v>
      </c>
      <c r="AF28">
        <v>1</v>
      </c>
      <c r="AG28">
        <v>0</v>
      </c>
      <c r="AH28">
        <f t="shared" si="8"/>
        <v>4</v>
      </c>
      <c r="AI28">
        <v>3</v>
      </c>
      <c r="AJ28">
        <v>9</v>
      </c>
      <c r="AK28">
        <f t="shared" si="9"/>
        <v>-6</v>
      </c>
    </row>
    <row r="30" spans="1:37" x14ac:dyDescent="0.3">
      <c r="A30" t="s">
        <v>263</v>
      </c>
      <c r="Q30" t="s">
        <v>19</v>
      </c>
    </row>
    <row r="31" spans="1:37" x14ac:dyDescent="0.3">
      <c r="A31" t="s">
        <v>49</v>
      </c>
      <c r="Q31" t="s">
        <v>282</v>
      </c>
      <c r="R31" t="s">
        <v>48</v>
      </c>
      <c r="S31" t="s">
        <v>276</v>
      </c>
      <c r="U31" t="s">
        <v>276</v>
      </c>
      <c r="V31" t="s">
        <v>33</v>
      </c>
      <c r="W31" t="s">
        <v>282</v>
      </c>
    </row>
    <row r="32" spans="1:37" x14ac:dyDescent="0.3">
      <c r="A32" t="s">
        <v>182</v>
      </c>
      <c r="B32" t="s">
        <v>30</v>
      </c>
      <c r="C32" t="s">
        <v>267</v>
      </c>
      <c r="E32" t="s">
        <v>267</v>
      </c>
      <c r="F32" t="s">
        <v>48</v>
      </c>
      <c r="G32" t="s">
        <v>182</v>
      </c>
    </row>
    <row r="33" spans="1:7" x14ac:dyDescent="0.3">
      <c r="A33" t="s">
        <v>271</v>
      </c>
      <c r="B33" t="s">
        <v>75</v>
      </c>
      <c r="C33" t="s">
        <v>265</v>
      </c>
      <c r="E33" t="s">
        <v>265</v>
      </c>
      <c r="F33" t="s">
        <v>275</v>
      </c>
      <c r="G33" t="s">
        <v>271</v>
      </c>
    </row>
    <row r="35" spans="1:7" x14ac:dyDescent="0.3">
      <c r="A35" t="s">
        <v>19</v>
      </c>
    </row>
    <row r="36" spans="1:7" x14ac:dyDescent="0.3">
      <c r="A36" t="s">
        <v>267</v>
      </c>
      <c r="B36" t="s">
        <v>30</v>
      </c>
      <c r="C36" t="s">
        <v>271</v>
      </c>
    </row>
    <row r="38" spans="1:7" x14ac:dyDescent="0.3">
      <c r="A38" t="s">
        <v>113</v>
      </c>
    </row>
    <row r="39" spans="1:7" x14ac:dyDescent="0.3">
      <c r="A39" t="s">
        <v>269</v>
      </c>
    </row>
    <row r="40" spans="1:7" x14ac:dyDescent="0.3">
      <c r="A40" t="s">
        <v>272</v>
      </c>
    </row>
    <row r="41" spans="1:7" x14ac:dyDescent="0.3">
      <c r="A41" t="s">
        <v>270</v>
      </c>
    </row>
    <row r="43" spans="1:7" x14ac:dyDescent="0.3">
      <c r="A43" t="s">
        <v>114</v>
      </c>
    </row>
    <row r="44" spans="1:7" x14ac:dyDescent="0.3">
      <c r="A44" t="s">
        <v>269</v>
      </c>
    </row>
    <row r="45" spans="1:7" x14ac:dyDescent="0.3">
      <c r="A45" t="s">
        <v>44</v>
      </c>
    </row>
    <row r="46" spans="1:7" x14ac:dyDescent="0.3">
      <c r="A46" t="s">
        <v>272</v>
      </c>
    </row>
    <row r="47" spans="1:7" x14ac:dyDescent="0.3">
      <c r="A47" t="s">
        <v>270</v>
      </c>
    </row>
    <row r="48" spans="1:7" x14ac:dyDescent="0.3">
      <c r="A48" t="s">
        <v>267</v>
      </c>
    </row>
  </sheetData>
  <sortState xmlns:xlrd2="http://schemas.microsoft.com/office/spreadsheetml/2017/richdata2" ref="B18:J21">
    <sortCondition descending="1" ref="C18:C21"/>
    <sortCondition descending="1" ref="E18:E2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7867-3A53-40B7-902F-3F584C6BD963}">
  <dimension ref="A1:X32"/>
  <sheetViews>
    <sheetView topLeftCell="C1" workbookViewId="0">
      <selection activeCell="K13" sqref="K13"/>
    </sheetView>
  </sheetViews>
  <sheetFormatPr defaultRowHeight="14.4" x14ac:dyDescent="0.3"/>
  <sheetData>
    <row r="1" spans="1:24" x14ac:dyDescent="0.3">
      <c r="A1" t="s">
        <v>762</v>
      </c>
      <c r="L1" t="s">
        <v>773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763</v>
      </c>
      <c r="X2">
        <v>1</v>
      </c>
    </row>
    <row r="3" spans="1:24" x14ac:dyDescent="0.3">
      <c r="A3" s="1" t="s">
        <v>11</v>
      </c>
      <c r="B3" t="s">
        <v>763</v>
      </c>
      <c r="C3" s="3">
        <v>17</v>
      </c>
      <c r="D3">
        <v>9</v>
      </c>
      <c r="E3">
        <v>5</v>
      </c>
      <c r="F3">
        <v>2</v>
      </c>
      <c r="G3">
        <f>D3-E3-F3</f>
        <v>2</v>
      </c>
      <c r="H3">
        <v>9</v>
      </c>
      <c r="I3">
        <v>6</v>
      </c>
      <c r="J3">
        <f>H3-I3</f>
        <v>3</v>
      </c>
      <c r="L3" s="1" t="s">
        <v>11</v>
      </c>
      <c r="M3" t="s">
        <v>163</v>
      </c>
      <c r="N3" s="3">
        <v>17</v>
      </c>
      <c r="O3">
        <v>10</v>
      </c>
      <c r="P3">
        <v>5</v>
      </c>
      <c r="Q3">
        <v>2</v>
      </c>
      <c r="R3">
        <f>O3-P3-Q3</f>
        <v>3</v>
      </c>
      <c r="S3">
        <v>13</v>
      </c>
      <c r="T3">
        <v>12</v>
      </c>
      <c r="U3">
        <f>S3-T3</f>
        <v>1</v>
      </c>
      <c r="W3" t="s">
        <v>163</v>
      </c>
      <c r="X3">
        <v>1</v>
      </c>
    </row>
    <row r="4" spans="1:24" x14ac:dyDescent="0.3">
      <c r="A4" s="1" t="s">
        <v>12</v>
      </c>
      <c r="B4" t="s">
        <v>764</v>
      </c>
      <c r="C4" s="3">
        <v>16</v>
      </c>
      <c r="D4">
        <v>9</v>
      </c>
      <c r="E4">
        <v>5</v>
      </c>
      <c r="F4">
        <v>1</v>
      </c>
      <c r="G4">
        <f t="shared" ref="G4:G12" si="0">D4-E4-F4</f>
        <v>3</v>
      </c>
      <c r="H4">
        <v>10</v>
      </c>
      <c r="I4">
        <v>8</v>
      </c>
      <c r="J4">
        <f t="shared" ref="J4:J12" si="1">H4-I4</f>
        <v>2</v>
      </c>
      <c r="L4" s="1" t="s">
        <v>12</v>
      </c>
      <c r="M4" t="s">
        <v>774</v>
      </c>
      <c r="N4" s="3">
        <v>15</v>
      </c>
      <c r="O4">
        <v>10</v>
      </c>
      <c r="P4">
        <v>4</v>
      </c>
      <c r="Q4">
        <v>3</v>
      </c>
      <c r="R4">
        <f t="shared" ref="R4:R8" si="2">O4-P4-Q4</f>
        <v>3</v>
      </c>
      <c r="S4">
        <v>18</v>
      </c>
      <c r="T4">
        <v>16</v>
      </c>
      <c r="U4">
        <f t="shared" ref="U4:U8" si="3">S4-T4</f>
        <v>2</v>
      </c>
    </row>
    <row r="5" spans="1:24" x14ac:dyDescent="0.3">
      <c r="A5" s="4" t="s">
        <v>13</v>
      </c>
      <c r="B5" t="s">
        <v>349</v>
      </c>
      <c r="C5" s="3">
        <v>15</v>
      </c>
      <c r="D5">
        <v>9</v>
      </c>
      <c r="E5">
        <v>4</v>
      </c>
      <c r="F5">
        <v>3</v>
      </c>
      <c r="G5">
        <f t="shared" si="0"/>
        <v>2</v>
      </c>
      <c r="H5">
        <v>8</v>
      </c>
      <c r="I5">
        <v>6</v>
      </c>
      <c r="J5">
        <f t="shared" si="1"/>
        <v>2</v>
      </c>
      <c r="L5" t="s">
        <v>13</v>
      </c>
      <c r="M5" t="s">
        <v>775</v>
      </c>
      <c r="N5" s="3">
        <v>15</v>
      </c>
      <c r="O5">
        <v>10</v>
      </c>
      <c r="P5">
        <v>4</v>
      </c>
      <c r="Q5">
        <v>3</v>
      </c>
      <c r="R5">
        <f t="shared" si="2"/>
        <v>3</v>
      </c>
      <c r="S5">
        <v>11</v>
      </c>
      <c r="T5">
        <v>11</v>
      </c>
      <c r="U5">
        <f t="shared" si="3"/>
        <v>0</v>
      </c>
    </row>
    <row r="6" spans="1:24" x14ac:dyDescent="0.3">
      <c r="A6" s="4" t="s">
        <v>14</v>
      </c>
      <c r="B6" t="s">
        <v>765</v>
      </c>
      <c r="C6" s="3">
        <v>14</v>
      </c>
      <c r="D6">
        <v>9</v>
      </c>
      <c r="E6">
        <v>4</v>
      </c>
      <c r="F6">
        <v>2</v>
      </c>
      <c r="G6">
        <f t="shared" si="0"/>
        <v>3</v>
      </c>
      <c r="H6">
        <v>9</v>
      </c>
      <c r="I6">
        <v>6</v>
      </c>
      <c r="J6">
        <f t="shared" si="1"/>
        <v>3</v>
      </c>
      <c r="L6" t="s">
        <v>14</v>
      </c>
      <c r="M6" t="s">
        <v>776</v>
      </c>
      <c r="N6" s="3">
        <v>14</v>
      </c>
      <c r="O6">
        <v>10</v>
      </c>
      <c r="P6">
        <v>4</v>
      </c>
      <c r="Q6">
        <v>2</v>
      </c>
      <c r="R6">
        <f t="shared" si="2"/>
        <v>4</v>
      </c>
      <c r="S6">
        <v>16</v>
      </c>
      <c r="T6">
        <v>14</v>
      </c>
      <c r="U6">
        <f t="shared" si="3"/>
        <v>2</v>
      </c>
    </row>
    <row r="7" spans="1:24" x14ac:dyDescent="0.3">
      <c r="A7" s="4" t="s">
        <v>15</v>
      </c>
      <c r="B7" t="s">
        <v>766</v>
      </c>
      <c r="C7" s="3">
        <v>14</v>
      </c>
      <c r="D7">
        <v>9</v>
      </c>
      <c r="E7">
        <v>4</v>
      </c>
      <c r="F7">
        <v>2</v>
      </c>
      <c r="G7">
        <f t="shared" si="0"/>
        <v>3</v>
      </c>
      <c r="H7">
        <v>8</v>
      </c>
      <c r="I7">
        <v>13</v>
      </c>
      <c r="J7">
        <f t="shared" si="1"/>
        <v>-5</v>
      </c>
      <c r="L7" t="s">
        <v>15</v>
      </c>
      <c r="M7" t="s">
        <v>337</v>
      </c>
      <c r="N7" s="3">
        <v>11</v>
      </c>
      <c r="O7">
        <v>10</v>
      </c>
      <c r="P7">
        <v>2</v>
      </c>
      <c r="Q7">
        <v>5</v>
      </c>
      <c r="R7">
        <f t="shared" si="2"/>
        <v>3</v>
      </c>
      <c r="S7">
        <v>14</v>
      </c>
      <c r="T7">
        <v>17</v>
      </c>
      <c r="U7">
        <f t="shared" si="3"/>
        <v>-3</v>
      </c>
    </row>
    <row r="8" spans="1:24" x14ac:dyDescent="0.3">
      <c r="A8" s="4" t="s">
        <v>16</v>
      </c>
      <c r="B8" t="s">
        <v>767</v>
      </c>
      <c r="C8" s="3">
        <v>12</v>
      </c>
      <c r="D8">
        <v>9</v>
      </c>
      <c r="E8">
        <v>3</v>
      </c>
      <c r="F8">
        <v>3</v>
      </c>
      <c r="G8">
        <f t="shared" si="0"/>
        <v>3</v>
      </c>
      <c r="H8">
        <v>8</v>
      </c>
      <c r="I8">
        <v>6</v>
      </c>
      <c r="J8">
        <f t="shared" si="1"/>
        <v>2</v>
      </c>
      <c r="L8" t="s">
        <v>16</v>
      </c>
      <c r="M8" t="s">
        <v>777</v>
      </c>
      <c r="N8" s="3">
        <v>9</v>
      </c>
      <c r="O8">
        <v>10</v>
      </c>
      <c r="P8">
        <v>2</v>
      </c>
      <c r="Q8">
        <v>3</v>
      </c>
      <c r="R8">
        <f t="shared" si="2"/>
        <v>5</v>
      </c>
      <c r="S8">
        <v>13</v>
      </c>
      <c r="T8">
        <v>15</v>
      </c>
      <c r="U8">
        <f t="shared" si="3"/>
        <v>-2</v>
      </c>
    </row>
    <row r="9" spans="1:24" x14ac:dyDescent="0.3">
      <c r="A9" t="s">
        <v>17</v>
      </c>
      <c r="B9" t="s">
        <v>768</v>
      </c>
      <c r="C9" s="3">
        <v>11</v>
      </c>
      <c r="D9">
        <v>9</v>
      </c>
      <c r="E9">
        <v>3</v>
      </c>
      <c r="F9">
        <v>2</v>
      </c>
      <c r="G9">
        <f t="shared" si="0"/>
        <v>4</v>
      </c>
      <c r="H9">
        <v>12</v>
      </c>
      <c r="I9">
        <v>8</v>
      </c>
      <c r="J9">
        <f t="shared" si="1"/>
        <v>4</v>
      </c>
    </row>
    <row r="10" spans="1:24" x14ac:dyDescent="0.3">
      <c r="A10" t="s">
        <v>18</v>
      </c>
      <c r="B10" t="s">
        <v>769</v>
      </c>
      <c r="C10" s="3">
        <v>10</v>
      </c>
      <c r="D10">
        <v>9</v>
      </c>
      <c r="E10">
        <v>2</v>
      </c>
      <c r="F10">
        <v>4</v>
      </c>
      <c r="G10">
        <f t="shared" si="0"/>
        <v>3</v>
      </c>
      <c r="H10">
        <v>8</v>
      </c>
      <c r="I10">
        <v>7</v>
      </c>
      <c r="J10">
        <f t="shared" si="1"/>
        <v>1</v>
      </c>
    </row>
    <row r="11" spans="1:24" x14ac:dyDescent="0.3">
      <c r="A11" s="2" t="s">
        <v>55</v>
      </c>
      <c r="B11" t="s">
        <v>770</v>
      </c>
      <c r="C11" s="3">
        <v>7</v>
      </c>
      <c r="D11">
        <v>9</v>
      </c>
      <c r="E11">
        <v>1</v>
      </c>
      <c r="F11">
        <v>4</v>
      </c>
      <c r="G11">
        <f t="shared" si="0"/>
        <v>4</v>
      </c>
      <c r="H11">
        <v>4</v>
      </c>
      <c r="I11">
        <v>6</v>
      </c>
      <c r="J11">
        <f t="shared" si="1"/>
        <v>-2</v>
      </c>
    </row>
    <row r="12" spans="1:24" x14ac:dyDescent="0.3">
      <c r="A12" s="2" t="s">
        <v>56</v>
      </c>
      <c r="B12" t="s">
        <v>771</v>
      </c>
      <c r="C12" s="3">
        <v>6</v>
      </c>
      <c r="D12">
        <v>9</v>
      </c>
      <c r="E12">
        <v>1</v>
      </c>
      <c r="F12">
        <v>3</v>
      </c>
      <c r="G12">
        <f t="shared" si="0"/>
        <v>5</v>
      </c>
      <c r="H12">
        <v>4</v>
      </c>
      <c r="I12">
        <v>14</v>
      </c>
      <c r="J12">
        <f t="shared" si="1"/>
        <v>-10</v>
      </c>
    </row>
    <row r="14" spans="1:24" x14ac:dyDescent="0.3">
      <c r="A14" t="s">
        <v>78</v>
      </c>
    </row>
    <row r="15" spans="1:24" x14ac:dyDescent="0.3">
      <c r="A15" t="str">
        <f>B8</f>
        <v>Águia Negra</v>
      </c>
      <c r="B15" t="s">
        <v>73</v>
      </c>
      <c r="C15" t="str">
        <f>B5</f>
        <v>Operário</v>
      </c>
      <c r="E15" t="str">
        <f>B5</f>
        <v>Operário</v>
      </c>
      <c r="F15" t="s">
        <v>75</v>
      </c>
      <c r="G15" t="str">
        <f>B8</f>
        <v>Águia Negra</v>
      </c>
    </row>
    <row r="16" spans="1:24" x14ac:dyDescent="0.3">
      <c r="A16" t="str">
        <f>B7</f>
        <v>Ivinhema</v>
      </c>
      <c r="B16" t="s">
        <v>33</v>
      </c>
      <c r="C16" t="str">
        <f>B6</f>
        <v>Corumbaense</v>
      </c>
      <c r="E16" t="str">
        <f>B6</f>
        <v>Corumbaense</v>
      </c>
      <c r="F16" t="s">
        <v>73</v>
      </c>
      <c r="G16" t="str">
        <f>B7</f>
        <v>Ivinhema</v>
      </c>
    </row>
    <row r="18" spans="1:7" x14ac:dyDescent="0.3">
      <c r="A18" t="s">
        <v>49</v>
      </c>
    </row>
    <row r="19" spans="1:7" x14ac:dyDescent="0.3">
      <c r="A19" t="s">
        <v>765</v>
      </c>
      <c r="B19" t="s">
        <v>73</v>
      </c>
      <c r="C19" t="str">
        <f>B3</f>
        <v>Dourados</v>
      </c>
      <c r="E19" t="str">
        <f>B3</f>
        <v>Dourados</v>
      </c>
      <c r="F19" t="s">
        <v>28</v>
      </c>
      <c r="G19" t="s">
        <v>765</v>
      </c>
    </row>
    <row r="20" spans="1:7" x14ac:dyDescent="0.3">
      <c r="A20" t="s">
        <v>349</v>
      </c>
      <c r="B20" t="s">
        <v>75</v>
      </c>
      <c r="C20" t="str">
        <f>B4</f>
        <v>Aquidauana</v>
      </c>
      <c r="E20" t="str">
        <f>B4</f>
        <v>Aquidauana</v>
      </c>
      <c r="F20" t="s">
        <v>772</v>
      </c>
      <c r="G20" t="s">
        <v>349</v>
      </c>
    </row>
    <row r="22" spans="1:7" x14ac:dyDescent="0.3">
      <c r="A22" t="s">
        <v>19</v>
      </c>
    </row>
    <row r="23" spans="1:7" x14ac:dyDescent="0.3">
      <c r="A23" t="s">
        <v>764</v>
      </c>
      <c r="B23" t="s">
        <v>75</v>
      </c>
      <c r="C23" t="s">
        <v>763</v>
      </c>
      <c r="E23" t="s">
        <v>763</v>
      </c>
      <c r="F23" t="s">
        <v>31</v>
      </c>
      <c r="G23" t="s">
        <v>764</v>
      </c>
    </row>
    <row r="25" spans="1:7" x14ac:dyDescent="0.3">
      <c r="A25" t="s">
        <v>113</v>
      </c>
    </row>
    <row r="26" spans="1:7" x14ac:dyDescent="0.3">
      <c r="A26" t="s">
        <v>763</v>
      </c>
    </row>
    <row r="27" spans="1:7" x14ac:dyDescent="0.3">
      <c r="A27" t="s">
        <v>764</v>
      </c>
    </row>
    <row r="29" spans="1:7" x14ac:dyDescent="0.3">
      <c r="A29" t="s">
        <v>114</v>
      </c>
    </row>
    <row r="30" spans="1:7" x14ac:dyDescent="0.3">
      <c r="A30" t="s">
        <v>763</v>
      </c>
    </row>
    <row r="31" spans="1:7" x14ac:dyDescent="0.3">
      <c r="A31" t="s">
        <v>764</v>
      </c>
    </row>
    <row r="32" spans="1:7" x14ac:dyDescent="0.3">
      <c r="A32" t="s">
        <v>349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AB07-3E99-4E12-B24F-CEFC121E791C}">
  <dimension ref="A1:X33"/>
  <sheetViews>
    <sheetView topLeftCell="A11" workbookViewId="0">
      <selection activeCell="H16" sqref="H16"/>
    </sheetView>
  </sheetViews>
  <sheetFormatPr defaultRowHeight="14.4" x14ac:dyDescent="0.3"/>
  <sheetData>
    <row r="1" spans="1:24" x14ac:dyDescent="0.3">
      <c r="A1" t="s">
        <v>550</v>
      </c>
      <c r="L1" t="s">
        <v>561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35</v>
      </c>
      <c r="W2" t="s">
        <v>554</v>
      </c>
      <c r="X2">
        <v>13</v>
      </c>
    </row>
    <row r="3" spans="1:24" x14ac:dyDescent="0.3">
      <c r="A3" s="1" t="s">
        <v>11</v>
      </c>
      <c r="B3" t="s">
        <v>551</v>
      </c>
      <c r="C3" s="3">
        <v>20</v>
      </c>
      <c r="D3">
        <v>9</v>
      </c>
      <c r="E3">
        <v>6</v>
      </c>
      <c r="F3">
        <v>2</v>
      </c>
      <c r="G3">
        <f>D3-E3-F3</f>
        <v>1</v>
      </c>
      <c r="H3">
        <v>14</v>
      </c>
      <c r="I3">
        <v>6</v>
      </c>
      <c r="J3">
        <f>H3-I3</f>
        <v>8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566</v>
      </c>
      <c r="X3">
        <v>1</v>
      </c>
    </row>
    <row r="4" spans="1:24" x14ac:dyDescent="0.3">
      <c r="A4" s="1" t="s">
        <v>12</v>
      </c>
      <c r="B4" t="s">
        <v>552</v>
      </c>
      <c r="C4" s="3">
        <v>14</v>
      </c>
      <c r="D4">
        <v>9</v>
      </c>
      <c r="E4">
        <v>4</v>
      </c>
      <c r="F4">
        <v>2</v>
      </c>
      <c r="G4">
        <f t="shared" ref="G4:G12" si="0">D4-E4-F4</f>
        <v>3</v>
      </c>
      <c r="H4">
        <v>12</v>
      </c>
      <c r="I4">
        <v>15</v>
      </c>
      <c r="J4">
        <f t="shared" ref="J4:J12" si="1">H4-I4</f>
        <v>-3</v>
      </c>
      <c r="L4" s="1" t="s">
        <v>11</v>
      </c>
      <c r="M4" t="s">
        <v>254</v>
      </c>
      <c r="N4" s="3">
        <v>9</v>
      </c>
      <c r="O4">
        <v>4</v>
      </c>
      <c r="P4">
        <v>3</v>
      </c>
      <c r="Q4">
        <v>0</v>
      </c>
      <c r="R4">
        <f>O4-P4-Q4</f>
        <v>1</v>
      </c>
      <c r="S4">
        <v>5</v>
      </c>
      <c r="T4">
        <v>4</v>
      </c>
      <c r="U4">
        <f>S4-T4</f>
        <v>1</v>
      </c>
    </row>
    <row r="5" spans="1:24" x14ac:dyDescent="0.3">
      <c r="A5" s="4" t="s">
        <v>13</v>
      </c>
      <c r="B5" t="s">
        <v>553</v>
      </c>
      <c r="C5" s="3">
        <v>13</v>
      </c>
      <c r="D5">
        <v>9</v>
      </c>
      <c r="E5">
        <v>4</v>
      </c>
      <c r="F5">
        <v>1</v>
      </c>
      <c r="G5">
        <f t="shared" si="0"/>
        <v>4</v>
      </c>
      <c r="H5">
        <v>17</v>
      </c>
      <c r="I5">
        <v>12</v>
      </c>
      <c r="J5">
        <f t="shared" si="1"/>
        <v>5</v>
      </c>
      <c r="L5" s="1" t="s">
        <v>12</v>
      </c>
      <c r="M5" t="s">
        <v>562</v>
      </c>
      <c r="N5" s="3">
        <v>7</v>
      </c>
      <c r="O5">
        <v>4</v>
      </c>
      <c r="P5">
        <v>2</v>
      </c>
      <c r="Q5">
        <v>1</v>
      </c>
      <c r="R5">
        <f t="shared" ref="R5:R8" si="2">O5-P5-Q5</f>
        <v>1</v>
      </c>
      <c r="S5">
        <v>4</v>
      </c>
      <c r="T5">
        <v>3</v>
      </c>
      <c r="U5">
        <f t="shared" ref="U5:U8" si="3">S5-T5</f>
        <v>1</v>
      </c>
    </row>
    <row r="6" spans="1:24" x14ac:dyDescent="0.3">
      <c r="A6" s="4" t="s">
        <v>14</v>
      </c>
      <c r="B6" t="s">
        <v>554</v>
      </c>
      <c r="C6" s="3">
        <v>13</v>
      </c>
      <c r="D6">
        <v>9</v>
      </c>
      <c r="E6">
        <v>4</v>
      </c>
      <c r="F6">
        <v>1</v>
      </c>
      <c r="G6">
        <f t="shared" si="0"/>
        <v>4</v>
      </c>
      <c r="H6">
        <v>14</v>
      </c>
      <c r="I6">
        <v>12</v>
      </c>
      <c r="J6">
        <f t="shared" si="1"/>
        <v>2</v>
      </c>
      <c r="L6" t="s">
        <v>13</v>
      </c>
      <c r="M6" t="s">
        <v>563</v>
      </c>
      <c r="N6" s="3">
        <v>6</v>
      </c>
      <c r="O6">
        <v>4</v>
      </c>
      <c r="P6">
        <v>2</v>
      </c>
      <c r="Q6">
        <v>0</v>
      </c>
      <c r="R6">
        <f t="shared" si="2"/>
        <v>2</v>
      </c>
      <c r="S6">
        <v>5</v>
      </c>
      <c r="T6">
        <v>4</v>
      </c>
      <c r="U6">
        <f t="shared" si="3"/>
        <v>1</v>
      </c>
    </row>
    <row r="7" spans="1:24" x14ac:dyDescent="0.3">
      <c r="A7" s="4" t="s">
        <v>15</v>
      </c>
      <c r="B7" t="s">
        <v>555</v>
      </c>
      <c r="C7" s="3">
        <v>13</v>
      </c>
      <c r="D7">
        <v>9</v>
      </c>
      <c r="E7">
        <v>4</v>
      </c>
      <c r="F7">
        <v>1</v>
      </c>
      <c r="G7">
        <f t="shared" si="0"/>
        <v>4</v>
      </c>
      <c r="H7">
        <v>12</v>
      </c>
      <c r="I7">
        <v>12</v>
      </c>
      <c r="J7">
        <f t="shared" si="1"/>
        <v>0</v>
      </c>
      <c r="L7" t="s">
        <v>14</v>
      </c>
      <c r="M7" t="s">
        <v>266</v>
      </c>
      <c r="N7" s="3">
        <v>4</v>
      </c>
      <c r="O7">
        <v>4</v>
      </c>
      <c r="P7">
        <v>1</v>
      </c>
      <c r="Q7">
        <v>1</v>
      </c>
      <c r="R7">
        <f t="shared" si="2"/>
        <v>2</v>
      </c>
      <c r="S7">
        <v>1</v>
      </c>
      <c r="T7">
        <v>3</v>
      </c>
      <c r="U7">
        <f t="shared" si="3"/>
        <v>-2</v>
      </c>
    </row>
    <row r="8" spans="1:24" x14ac:dyDescent="0.3">
      <c r="A8" s="4" t="s">
        <v>16</v>
      </c>
      <c r="B8" t="s">
        <v>556</v>
      </c>
      <c r="C8" s="3">
        <v>13</v>
      </c>
      <c r="D8">
        <v>9</v>
      </c>
      <c r="E8">
        <v>3</v>
      </c>
      <c r="F8">
        <v>4</v>
      </c>
      <c r="G8">
        <f t="shared" si="0"/>
        <v>2</v>
      </c>
      <c r="H8">
        <v>10</v>
      </c>
      <c r="I8">
        <v>10</v>
      </c>
      <c r="J8">
        <f t="shared" si="1"/>
        <v>0</v>
      </c>
      <c r="L8" t="s">
        <v>15</v>
      </c>
      <c r="M8" t="s">
        <v>564</v>
      </c>
      <c r="N8" s="3">
        <v>3</v>
      </c>
      <c r="O8">
        <v>4</v>
      </c>
      <c r="P8">
        <v>1</v>
      </c>
      <c r="Q8">
        <v>0</v>
      </c>
      <c r="R8">
        <f t="shared" si="2"/>
        <v>3</v>
      </c>
      <c r="S8">
        <v>8</v>
      </c>
      <c r="T8">
        <v>9</v>
      </c>
      <c r="U8">
        <f t="shared" si="3"/>
        <v>-1</v>
      </c>
    </row>
    <row r="9" spans="1:24" x14ac:dyDescent="0.3">
      <c r="A9" t="s">
        <v>17</v>
      </c>
      <c r="B9" t="s">
        <v>557</v>
      </c>
      <c r="C9" s="3">
        <v>11</v>
      </c>
      <c r="D9">
        <v>9</v>
      </c>
      <c r="E9">
        <v>3</v>
      </c>
      <c r="F9">
        <v>2</v>
      </c>
      <c r="G9">
        <f t="shared" si="0"/>
        <v>4</v>
      </c>
      <c r="H9">
        <v>12</v>
      </c>
      <c r="I9">
        <v>9</v>
      </c>
      <c r="J9">
        <f t="shared" si="1"/>
        <v>3</v>
      </c>
    </row>
    <row r="10" spans="1:24" x14ac:dyDescent="0.3">
      <c r="A10" t="s">
        <v>18</v>
      </c>
      <c r="B10" t="s">
        <v>558</v>
      </c>
      <c r="C10" s="3">
        <v>10</v>
      </c>
      <c r="D10">
        <v>9</v>
      </c>
      <c r="E10">
        <v>2</v>
      </c>
      <c r="F10">
        <v>4</v>
      </c>
      <c r="G10">
        <f t="shared" si="0"/>
        <v>3</v>
      </c>
      <c r="H10">
        <v>6</v>
      </c>
      <c r="I10">
        <v>10</v>
      </c>
      <c r="J10">
        <f t="shared" si="1"/>
        <v>-4</v>
      </c>
      <c r="L10" t="s">
        <v>36</v>
      </c>
    </row>
    <row r="11" spans="1:24" x14ac:dyDescent="0.3">
      <c r="A11" s="2" t="s">
        <v>55</v>
      </c>
      <c r="B11" t="s">
        <v>107</v>
      </c>
      <c r="C11" s="3">
        <v>9</v>
      </c>
      <c r="D11">
        <v>9</v>
      </c>
      <c r="E11">
        <v>3</v>
      </c>
      <c r="F11">
        <v>0</v>
      </c>
      <c r="G11">
        <f t="shared" si="0"/>
        <v>6</v>
      </c>
      <c r="H11">
        <v>7</v>
      </c>
      <c r="I11">
        <v>15</v>
      </c>
      <c r="J11">
        <f t="shared" si="1"/>
        <v>-8</v>
      </c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</row>
    <row r="12" spans="1:24" x14ac:dyDescent="0.3">
      <c r="A12" s="2" t="s">
        <v>56</v>
      </c>
      <c r="B12" t="s">
        <v>559</v>
      </c>
      <c r="C12" s="3">
        <v>9</v>
      </c>
      <c r="D12">
        <v>9</v>
      </c>
      <c r="E12">
        <v>2</v>
      </c>
      <c r="F12">
        <v>3</v>
      </c>
      <c r="G12">
        <f t="shared" si="0"/>
        <v>4</v>
      </c>
      <c r="H12">
        <v>6</v>
      </c>
      <c r="I12">
        <v>9</v>
      </c>
      <c r="J12">
        <f t="shared" si="1"/>
        <v>-3</v>
      </c>
      <c r="L12" s="1" t="s">
        <v>11</v>
      </c>
      <c r="M12" t="s">
        <v>565</v>
      </c>
      <c r="N12" s="3">
        <v>7</v>
      </c>
      <c r="O12">
        <v>4</v>
      </c>
      <c r="P12">
        <v>2</v>
      </c>
      <c r="Q12">
        <v>1</v>
      </c>
      <c r="R12">
        <f>O12-P12-Q12</f>
        <v>1</v>
      </c>
      <c r="S12">
        <v>6</v>
      </c>
      <c r="T12">
        <v>4</v>
      </c>
      <c r="U12">
        <f>S12-T12</f>
        <v>2</v>
      </c>
    </row>
    <row r="13" spans="1:24" x14ac:dyDescent="0.3">
      <c r="L13" s="1" t="s">
        <v>12</v>
      </c>
      <c r="M13" t="s">
        <v>566</v>
      </c>
      <c r="N13" s="3">
        <v>7</v>
      </c>
      <c r="O13">
        <v>4</v>
      </c>
      <c r="P13">
        <v>2</v>
      </c>
      <c r="Q13">
        <v>1</v>
      </c>
      <c r="R13">
        <f t="shared" ref="R13:R16" si="4">O13-P13-Q13</f>
        <v>1</v>
      </c>
      <c r="S13">
        <v>5</v>
      </c>
      <c r="T13">
        <v>6</v>
      </c>
      <c r="U13">
        <f t="shared" ref="U13:U16" si="5">S13-T13</f>
        <v>-1</v>
      </c>
    </row>
    <row r="14" spans="1:24" x14ac:dyDescent="0.3">
      <c r="A14" t="s">
        <v>78</v>
      </c>
      <c r="L14" t="s">
        <v>13</v>
      </c>
      <c r="M14" t="s">
        <v>567</v>
      </c>
      <c r="N14" s="3">
        <v>6</v>
      </c>
      <c r="O14">
        <v>4</v>
      </c>
      <c r="P14">
        <v>2</v>
      </c>
      <c r="Q14">
        <v>0</v>
      </c>
      <c r="R14">
        <f t="shared" si="4"/>
        <v>2</v>
      </c>
      <c r="S14">
        <v>8</v>
      </c>
      <c r="T14">
        <v>7</v>
      </c>
      <c r="U14">
        <f t="shared" si="5"/>
        <v>1</v>
      </c>
    </row>
    <row r="15" spans="1:24" x14ac:dyDescent="0.3">
      <c r="A15" t="str">
        <f>B5</f>
        <v>Cuiabá</v>
      </c>
      <c r="B15" t="s">
        <v>30</v>
      </c>
      <c r="C15" t="str">
        <f>B8</f>
        <v>Chapada</v>
      </c>
      <c r="L15" t="s">
        <v>14</v>
      </c>
      <c r="M15" t="s">
        <v>568</v>
      </c>
      <c r="N15" s="3">
        <v>6</v>
      </c>
      <c r="O15">
        <v>4</v>
      </c>
      <c r="P15">
        <v>2</v>
      </c>
      <c r="Q15">
        <v>0</v>
      </c>
      <c r="R15">
        <f t="shared" si="4"/>
        <v>2</v>
      </c>
      <c r="S15">
        <v>7</v>
      </c>
      <c r="T15">
        <v>7</v>
      </c>
      <c r="U15">
        <f t="shared" si="5"/>
        <v>0</v>
      </c>
    </row>
    <row r="16" spans="1:24" x14ac:dyDescent="0.3">
      <c r="A16" t="str">
        <f>B6</f>
        <v>CEOV Operário</v>
      </c>
      <c r="B16" t="s">
        <v>30</v>
      </c>
      <c r="C16" t="str">
        <f>B7</f>
        <v>Luverdense</v>
      </c>
      <c r="L16" t="s">
        <v>15</v>
      </c>
      <c r="M16" t="s">
        <v>569</v>
      </c>
      <c r="N16" s="3">
        <v>3</v>
      </c>
      <c r="O16">
        <v>4</v>
      </c>
      <c r="P16">
        <v>1</v>
      </c>
      <c r="Q16">
        <v>0</v>
      </c>
      <c r="R16">
        <f t="shared" si="4"/>
        <v>3</v>
      </c>
      <c r="S16">
        <v>6</v>
      </c>
      <c r="T16">
        <v>8</v>
      </c>
      <c r="U16">
        <f t="shared" si="5"/>
        <v>-2</v>
      </c>
    </row>
    <row r="18" spans="1:18" x14ac:dyDescent="0.3">
      <c r="A18" t="s">
        <v>49</v>
      </c>
      <c r="L18" t="s">
        <v>49</v>
      </c>
    </row>
    <row r="19" spans="1:18" x14ac:dyDescent="0.3">
      <c r="A19" t="s">
        <v>554</v>
      </c>
      <c r="B19" t="s">
        <v>48</v>
      </c>
      <c r="C19" t="str">
        <f>B3</f>
        <v>Nova Mutum</v>
      </c>
      <c r="E19" t="str">
        <f>B3</f>
        <v>Nova Mutum</v>
      </c>
      <c r="F19" t="s">
        <v>75</v>
      </c>
      <c r="G19" t="s">
        <v>554</v>
      </c>
      <c r="L19" t="str">
        <f>M13</f>
        <v>Uirapuru</v>
      </c>
      <c r="M19" t="s">
        <v>30</v>
      </c>
      <c r="N19" t="str">
        <f>M4</f>
        <v>Santa Cruz</v>
      </c>
      <c r="P19" t="str">
        <f>M4</f>
        <v>Santa Cruz</v>
      </c>
      <c r="Q19" t="s">
        <v>33</v>
      </c>
      <c r="R19" t="str">
        <f>M13</f>
        <v>Uirapuru</v>
      </c>
    </row>
    <row r="20" spans="1:18" x14ac:dyDescent="0.3">
      <c r="A20" t="s">
        <v>553</v>
      </c>
      <c r="B20" t="s">
        <v>31</v>
      </c>
      <c r="C20" t="str">
        <f>B4</f>
        <v>Mixto</v>
      </c>
      <c r="E20" t="str">
        <f>B4</f>
        <v>Mixto</v>
      </c>
      <c r="F20" t="s">
        <v>32</v>
      </c>
      <c r="G20" t="s">
        <v>553</v>
      </c>
      <c r="L20" t="str">
        <f>M5</f>
        <v>Grêmio Sorriso</v>
      </c>
      <c r="M20" t="s">
        <v>136</v>
      </c>
      <c r="N20" t="str">
        <f>M12</f>
        <v>Dom Bosco</v>
      </c>
      <c r="P20" t="str">
        <f>M12</f>
        <v>Dom Bosco</v>
      </c>
      <c r="Q20" t="s">
        <v>31</v>
      </c>
      <c r="R20" t="str">
        <f>M5</f>
        <v>Grêmio Sorriso</v>
      </c>
    </row>
    <row r="22" spans="1:18" x14ac:dyDescent="0.3">
      <c r="A22" t="s">
        <v>19</v>
      </c>
      <c r="L22" t="s">
        <v>19</v>
      </c>
    </row>
    <row r="23" spans="1:18" x14ac:dyDescent="0.3">
      <c r="A23" t="s">
        <v>553</v>
      </c>
      <c r="B23" t="s">
        <v>138</v>
      </c>
      <c r="C23" t="s">
        <v>554</v>
      </c>
      <c r="E23" t="s">
        <v>554</v>
      </c>
      <c r="F23" t="s">
        <v>560</v>
      </c>
      <c r="G23" t="s">
        <v>553</v>
      </c>
      <c r="L23" t="s">
        <v>566</v>
      </c>
      <c r="M23" t="s">
        <v>138</v>
      </c>
      <c r="N23" t="s">
        <v>565</v>
      </c>
      <c r="P23" t="s">
        <v>565</v>
      </c>
      <c r="Q23" t="s">
        <v>73</v>
      </c>
      <c r="R23" t="s">
        <v>566</v>
      </c>
    </row>
    <row r="25" spans="1:18" x14ac:dyDescent="0.3">
      <c r="A25" t="s">
        <v>113</v>
      </c>
    </row>
    <row r="26" spans="1:18" x14ac:dyDescent="0.3">
      <c r="A26" t="s">
        <v>554</v>
      </c>
    </row>
    <row r="27" spans="1:18" x14ac:dyDescent="0.3">
      <c r="A27" t="s">
        <v>551</v>
      </c>
    </row>
    <row r="29" spans="1:18" x14ac:dyDescent="0.3">
      <c r="A29" t="s">
        <v>114</v>
      </c>
    </row>
    <row r="30" spans="1:18" x14ac:dyDescent="0.3">
      <c r="A30" t="s">
        <v>554</v>
      </c>
    </row>
    <row r="31" spans="1:18" x14ac:dyDescent="0.3">
      <c r="A31" t="s">
        <v>553</v>
      </c>
    </row>
    <row r="32" spans="1:18" x14ac:dyDescent="0.3">
      <c r="A32" t="s">
        <v>551</v>
      </c>
    </row>
    <row r="33" spans="1:1" x14ac:dyDescent="0.3">
      <c r="A33" t="s">
        <v>552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CC81-BBA7-4E0B-AA0A-C8E08071B4E0}">
  <dimension ref="A1:AM41"/>
  <sheetViews>
    <sheetView topLeftCell="S15" workbookViewId="0">
      <selection activeCell="AB4" sqref="AB4:AB24"/>
    </sheetView>
  </sheetViews>
  <sheetFormatPr defaultRowHeight="14.4" x14ac:dyDescent="0.3"/>
  <sheetData>
    <row r="1" spans="1:39" x14ac:dyDescent="0.3">
      <c r="A1" t="s">
        <v>51</v>
      </c>
      <c r="L1" t="s">
        <v>54</v>
      </c>
      <c r="P1" t="s">
        <v>61</v>
      </c>
      <c r="AA1" t="s">
        <v>537</v>
      </c>
      <c r="AL1" t="s">
        <v>50</v>
      </c>
    </row>
    <row r="2" spans="1:39" x14ac:dyDescent="0.3">
      <c r="A2" t="s">
        <v>35</v>
      </c>
      <c r="L2" s="1" t="s">
        <v>11</v>
      </c>
      <c r="M2" t="s">
        <v>527</v>
      </c>
      <c r="P2" t="s">
        <v>35</v>
      </c>
      <c r="AA2" t="s">
        <v>35</v>
      </c>
      <c r="AL2" t="s">
        <v>529</v>
      </c>
      <c r="AM2">
        <v>11</v>
      </c>
    </row>
    <row r="3" spans="1:3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12</v>
      </c>
      <c r="M3" t="s">
        <v>533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AA3" t="s">
        <v>1</v>
      </c>
      <c r="AB3" t="s">
        <v>2</v>
      </c>
      <c r="AC3" t="s">
        <v>3</v>
      </c>
      <c r="AD3" t="s">
        <v>4</v>
      </c>
      <c r="AE3" t="s">
        <v>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L3" t="s">
        <v>24</v>
      </c>
      <c r="AM3">
        <v>1</v>
      </c>
    </row>
    <row r="4" spans="1:39" x14ac:dyDescent="0.3">
      <c r="A4" t="s">
        <v>11</v>
      </c>
      <c r="B4" t="s">
        <v>527</v>
      </c>
      <c r="C4" s="3">
        <v>11</v>
      </c>
      <c r="D4">
        <v>6</v>
      </c>
      <c r="E4">
        <v>3</v>
      </c>
      <c r="F4">
        <v>2</v>
      </c>
      <c r="G4">
        <f t="shared" ref="G4:G9" si="0">D4-E4-F4</f>
        <v>1</v>
      </c>
      <c r="H4">
        <v>10</v>
      </c>
      <c r="I4">
        <v>7</v>
      </c>
      <c r="J4">
        <f t="shared" ref="J4:J9" si="1">H4-I4</f>
        <v>3</v>
      </c>
      <c r="L4" s="1" t="s">
        <v>13</v>
      </c>
      <c r="M4" t="s">
        <v>525</v>
      </c>
      <c r="P4" s="1" t="s">
        <v>11</v>
      </c>
      <c r="Q4" t="s">
        <v>25</v>
      </c>
      <c r="R4" s="3">
        <v>6</v>
      </c>
      <c r="S4">
        <v>4</v>
      </c>
      <c r="T4">
        <v>2</v>
      </c>
      <c r="U4">
        <v>0</v>
      </c>
      <c r="V4">
        <f>S4-T4-U4</f>
        <v>2</v>
      </c>
      <c r="W4">
        <v>5</v>
      </c>
      <c r="X4">
        <v>4</v>
      </c>
      <c r="Y4">
        <f>W4-X4</f>
        <v>1</v>
      </c>
      <c r="AA4" s="1" t="s">
        <v>11</v>
      </c>
      <c r="AB4" t="s">
        <v>538</v>
      </c>
      <c r="AC4" s="3">
        <v>9</v>
      </c>
      <c r="AD4">
        <v>4</v>
      </c>
      <c r="AE4">
        <v>3</v>
      </c>
      <c r="AF4">
        <v>0</v>
      </c>
      <c r="AG4">
        <f>AD4-AE4-AF4</f>
        <v>1</v>
      </c>
      <c r="AH4">
        <v>3</v>
      </c>
      <c r="AI4">
        <v>1</v>
      </c>
      <c r="AJ4">
        <f>AH4-AI4</f>
        <v>2</v>
      </c>
      <c r="AL4" t="s">
        <v>546</v>
      </c>
      <c r="AM4">
        <v>1</v>
      </c>
    </row>
    <row r="5" spans="1:39" x14ac:dyDescent="0.3">
      <c r="A5" t="s">
        <v>12</v>
      </c>
      <c r="B5" t="s">
        <v>525</v>
      </c>
      <c r="C5" s="3">
        <v>11</v>
      </c>
      <c r="D5">
        <v>6</v>
      </c>
      <c r="E5">
        <v>3</v>
      </c>
      <c r="F5">
        <v>2</v>
      </c>
      <c r="G5">
        <f t="shared" si="0"/>
        <v>1</v>
      </c>
      <c r="H5">
        <v>7</v>
      </c>
      <c r="I5">
        <v>6</v>
      </c>
      <c r="J5">
        <f t="shared" si="1"/>
        <v>1</v>
      </c>
      <c r="L5" s="1" t="s">
        <v>14</v>
      </c>
      <c r="M5" t="s">
        <v>524</v>
      </c>
      <c r="P5" s="1" t="s">
        <v>12</v>
      </c>
      <c r="Q5" t="s">
        <v>62</v>
      </c>
      <c r="R5" s="3">
        <v>6</v>
      </c>
      <c r="S5">
        <v>4</v>
      </c>
      <c r="T5">
        <v>2</v>
      </c>
      <c r="U5">
        <v>0</v>
      </c>
      <c r="V5">
        <f t="shared" ref="V5:V6" si="2">S5-T5-U5</f>
        <v>2</v>
      </c>
      <c r="W5">
        <v>4</v>
      </c>
      <c r="X5">
        <v>4</v>
      </c>
      <c r="Y5">
        <f t="shared" ref="Y5:Y6" si="3">W5-X5</f>
        <v>0</v>
      </c>
      <c r="AA5" s="1" t="s">
        <v>12</v>
      </c>
      <c r="AB5" t="s">
        <v>539</v>
      </c>
      <c r="AC5" s="3">
        <v>7</v>
      </c>
      <c r="AD5">
        <v>4</v>
      </c>
      <c r="AE5">
        <v>2</v>
      </c>
      <c r="AF5">
        <v>1</v>
      </c>
      <c r="AG5">
        <f t="shared" ref="AG5:AG6" si="4">AD5-AE5-AF5</f>
        <v>1</v>
      </c>
      <c r="AH5">
        <v>4</v>
      </c>
      <c r="AI5">
        <v>3</v>
      </c>
      <c r="AJ5">
        <f t="shared" ref="AJ5:AJ6" si="5">AH5-AI5</f>
        <v>1</v>
      </c>
    </row>
    <row r="6" spans="1:39" x14ac:dyDescent="0.3">
      <c r="A6" t="s">
        <v>13</v>
      </c>
      <c r="B6" t="s">
        <v>524</v>
      </c>
      <c r="C6" s="3">
        <v>10</v>
      </c>
      <c r="D6">
        <v>6</v>
      </c>
      <c r="E6">
        <v>3</v>
      </c>
      <c r="F6">
        <v>1</v>
      </c>
      <c r="G6">
        <f t="shared" si="0"/>
        <v>2</v>
      </c>
      <c r="H6">
        <v>7</v>
      </c>
      <c r="I6">
        <v>5</v>
      </c>
      <c r="J6">
        <f t="shared" si="1"/>
        <v>2</v>
      </c>
      <c r="L6" s="1" t="s">
        <v>15</v>
      </c>
      <c r="M6" t="s">
        <v>531</v>
      </c>
      <c r="P6" t="s">
        <v>13</v>
      </c>
      <c r="Q6" t="s">
        <v>63</v>
      </c>
      <c r="R6" s="3">
        <v>6</v>
      </c>
      <c r="S6">
        <v>4</v>
      </c>
      <c r="T6">
        <v>2</v>
      </c>
      <c r="U6">
        <v>0</v>
      </c>
      <c r="V6">
        <f t="shared" si="2"/>
        <v>2</v>
      </c>
      <c r="W6">
        <v>4</v>
      </c>
      <c r="X6">
        <v>5</v>
      </c>
      <c r="Y6">
        <f t="shared" si="3"/>
        <v>-1</v>
      </c>
      <c r="AA6" t="s">
        <v>13</v>
      </c>
      <c r="AB6" t="s">
        <v>540</v>
      </c>
      <c r="AC6" s="3">
        <v>1</v>
      </c>
      <c r="AD6">
        <v>4</v>
      </c>
      <c r="AE6">
        <v>0</v>
      </c>
      <c r="AF6">
        <v>1</v>
      </c>
      <c r="AG6">
        <f t="shared" si="4"/>
        <v>3</v>
      </c>
      <c r="AH6">
        <v>2</v>
      </c>
      <c r="AI6">
        <v>5</v>
      </c>
      <c r="AJ6">
        <f t="shared" si="5"/>
        <v>-3</v>
      </c>
    </row>
    <row r="7" spans="1:39" x14ac:dyDescent="0.3">
      <c r="A7" t="s">
        <v>14</v>
      </c>
      <c r="B7" t="s">
        <v>528</v>
      </c>
      <c r="C7" s="3">
        <v>9</v>
      </c>
      <c r="D7">
        <v>6</v>
      </c>
      <c r="E7">
        <v>2</v>
      </c>
      <c r="F7">
        <v>3</v>
      </c>
      <c r="G7">
        <f t="shared" si="0"/>
        <v>1</v>
      </c>
      <c r="H7">
        <v>9</v>
      </c>
      <c r="I7">
        <v>7</v>
      </c>
      <c r="J7">
        <f t="shared" si="1"/>
        <v>2</v>
      </c>
      <c r="L7" s="1" t="s">
        <v>16</v>
      </c>
      <c r="M7" t="s">
        <v>528</v>
      </c>
      <c r="R7" s="3"/>
    </row>
    <row r="8" spans="1:39" x14ac:dyDescent="0.3">
      <c r="A8" t="s">
        <v>15</v>
      </c>
      <c r="B8" t="s">
        <v>529</v>
      </c>
      <c r="C8" s="3">
        <v>8</v>
      </c>
      <c r="D8">
        <v>6</v>
      </c>
      <c r="E8">
        <v>2</v>
      </c>
      <c r="F8">
        <v>2</v>
      </c>
      <c r="G8">
        <f t="shared" si="0"/>
        <v>2</v>
      </c>
      <c r="H8">
        <v>4</v>
      </c>
      <c r="I8">
        <v>4</v>
      </c>
      <c r="J8">
        <f t="shared" si="1"/>
        <v>0</v>
      </c>
      <c r="L8" s="1" t="s">
        <v>17</v>
      </c>
      <c r="M8" t="s">
        <v>60</v>
      </c>
      <c r="P8" t="s">
        <v>36</v>
      </c>
      <c r="AA8" t="s">
        <v>36</v>
      </c>
    </row>
    <row r="9" spans="1:39" x14ac:dyDescent="0.3">
      <c r="A9" t="s">
        <v>16</v>
      </c>
      <c r="B9" t="s">
        <v>526</v>
      </c>
      <c r="C9" s="3">
        <v>4</v>
      </c>
      <c r="D9">
        <v>6</v>
      </c>
      <c r="E9">
        <v>1</v>
      </c>
      <c r="F9">
        <v>1</v>
      </c>
      <c r="G9">
        <f t="shared" si="0"/>
        <v>4</v>
      </c>
      <c r="H9">
        <v>3</v>
      </c>
      <c r="I9">
        <v>12</v>
      </c>
      <c r="J9">
        <f t="shared" si="1"/>
        <v>-9</v>
      </c>
      <c r="L9" s="1" t="s">
        <v>18</v>
      </c>
      <c r="M9" t="s">
        <v>529</v>
      </c>
      <c r="P9" t="s">
        <v>1</v>
      </c>
      <c r="Q9" t="s">
        <v>2</v>
      </c>
      <c r="R9" t="s">
        <v>3</v>
      </c>
      <c r="S9" t="s">
        <v>4</v>
      </c>
      <c r="T9" t="s">
        <v>5</v>
      </c>
      <c r="U9" t="s">
        <v>6</v>
      </c>
      <c r="V9" t="s">
        <v>7</v>
      </c>
      <c r="W9" t="s">
        <v>8</v>
      </c>
      <c r="X9" t="s">
        <v>9</v>
      </c>
      <c r="Y9" t="s">
        <v>10</v>
      </c>
      <c r="AA9" t="s">
        <v>1</v>
      </c>
      <c r="AB9" t="s">
        <v>2</v>
      </c>
      <c r="AC9" t="s">
        <v>3</v>
      </c>
      <c r="AD9" t="s">
        <v>4</v>
      </c>
      <c r="AE9" t="s">
        <v>5</v>
      </c>
      <c r="AF9" t="s">
        <v>6</v>
      </c>
      <c r="AG9" t="s">
        <v>7</v>
      </c>
      <c r="AH9" t="s">
        <v>8</v>
      </c>
      <c r="AI9" t="s">
        <v>9</v>
      </c>
      <c r="AJ9" t="s">
        <v>10</v>
      </c>
    </row>
    <row r="10" spans="1:39" x14ac:dyDescent="0.3">
      <c r="L10" t="s">
        <v>55</v>
      </c>
      <c r="M10" t="s">
        <v>534</v>
      </c>
      <c r="P10" s="1" t="s">
        <v>11</v>
      </c>
      <c r="Q10" t="s">
        <v>64</v>
      </c>
      <c r="R10" s="3">
        <v>6</v>
      </c>
      <c r="S10">
        <v>4</v>
      </c>
      <c r="T10">
        <v>1</v>
      </c>
      <c r="U10">
        <v>3</v>
      </c>
      <c r="V10">
        <f>S10-T10-U10</f>
        <v>0</v>
      </c>
      <c r="W10">
        <v>3</v>
      </c>
      <c r="X10">
        <v>2</v>
      </c>
      <c r="Y10">
        <f>W10-X10</f>
        <v>1</v>
      </c>
      <c r="AA10" s="1" t="s">
        <v>11</v>
      </c>
      <c r="AB10" t="s">
        <v>541</v>
      </c>
      <c r="AC10" s="3">
        <v>8</v>
      </c>
      <c r="AD10">
        <v>4</v>
      </c>
      <c r="AE10">
        <v>2</v>
      </c>
      <c r="AF10">
        <v>2</v>
      </c>
      <c r="AG10">
        <f>AD10-AE10-AF10</f>
        <v>0</v>
      </c>
      <c r="AH10">
        <v>3</v>
      </c>
      <c r="AI10">
        <v>1</v>
      </c>
      <c r="AJ10">
        <f>AH10-AI10</f>
        <v>2</v>
      </c>
    </row>
    <row r="11" spans="1:39" x14ac:dyDescent="0.3">
      <c r="A11" t="s">
        <v>36</v>
      </c>
      <c r="L11" t="s">
        <v>56</v>
      </c>
      <c r="M11" t="s">
        <v>532</v>
      </c>
      <c r="P11" s="1" t="s">
        <v>12</v>
      </c>
      <c r="Q11" t="s">
        <v>65</v>
      </c>
      <c r="R11" s="3">
        <v>5</v>
      </c>
      <c r="S11">
        <v>4</v>
      </c>
      <c r="T11">
        <v>1</v>
      </c>
      <c r="U11">
        <v>2</v>
      </c>
      <c r="V11">
        <f t="shared" ref="V11:V12" si="6">S11-T11-U11</f>
        <v>1</v>
      </c>
      <c r="W11">
        <v>4</v>
      </c>
      <c r="X11">
        <v>4</v>
      </c>
      <c r="Y11">
        <f t="shared" ref="Y11:Y12" si="7">W11-X11</f>
        <v>0</v>
      </c>
      <c r="AA11" s="1" t="s">
        <v>12</v>
      </c>
      <c r="AB11" t="s">
        <v>542</v>
      </c>
      <c r="AC11" s="3">
        <v>5</v>
      </c>
      <c r="AD11">
        <v>4</v>
      </c>
      <c r="AE11">
        <v>1</v>
      </c>
      <c r="AF11">
        <v>2</v>
      </c>
      <c r="AG11">
        <f t="shared" ref="AG11:AG12" si="8">AD11-AE11-AF11</f>
        <v>1</v>
      </c>
      <c r="AH11">
        <v>4</v>
      </c>
      <c r="AI11">
        <v>5</v>
      </c>
      <c r="AJ11">
        <f t="shared" ref="AJ11:AJ12" si="9">AH11-AI11</f>
        <v>-1</v>
      </c>
    </row>
    <row r="12" spans="1:39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s="2" t="s">
        <v>57</v>
      </c>
      <c r="M12" t="s">
        <v>526</v>
      </c>
      <c r="P12" t="s">
        <v>13</v>
      </c>
      <c r="Q12" t="s">
        <v>66</v>
      </c>
      <c r="R12" s="3">
        <v>4</v>
      </c>
      <c r="S12">
        <v>4</v>
      </c>
      <c r="T12">
        <v>1</v>
      </c>
      <c r="U12">
        <v>1</v>
      </c>
      <c r="V12">
        <f t="shared" si="6"/>
        <v>2</v>
      </c>
      <c r="W12">
        <v>4</v>
      </c>
      <c r="X12">
        <v>5</v>
      </c>
      <c r="Y12">
        <f t="shared" si="7"/>
        <v>-1</v>
      </c>
      <c r="AA12" t="s">
        <v>13</v>
      </c>
      <c r="AB12" t="s">
        <v>51</v>
      </c>
      <c r="AC12" s="3">
        <v>3</v>
      </c>
      <c r="AD12">
        <v>4</v>
      </c>
      <c r="AE12">
        <v>1</v>
      </c>
      <c r="AF12">
        <v>0</v>
      </c>
      <c r="AG12">
        <f t="shared" si="8"/>
        <v>3</v>
      </c>
      <c r="AH12">
        <v>4</v>
      </c>
      <c r="AI12">
        <v>5</v>
      </c>
      <c r="AJ12">
        <f t="shared" si="9"/>
        <v>-1</v>
      </c>
    </row>
    <row r="13" spans="1:39" x14ac:dyDescent="0.3">
      <c r="A13" t="s">
        <v>11</v>
      </c>
      <c r="B13" t="s">
        <v>533</v>
      </c>
      <c r="C13" s="3">
        <v>11</v>
      </c>
      <c r="D13">
        <v>6</v>
      </c>
      <c r="E13">
        <v>3</v>
      </c>
      <c r="F13">
        <v>2</v>
      </c>
      <c r="G13">
        <f t="shared" ref="G13:G18" si="10">D13-E13-F13</f>
        <v>1</v>
      </c>
      <c r="H13">
        <v>9</v>
      </c>
      <c r="I13">
        <v>7</v>
      </c>
      <c r="J13">
        <f t="shared" ref="J13:J18" si="11">H13-I13</f>
        <v>2</v>
      </c>
      <c r="L13" s="2" t="s">
        <v>58</v>
      </c>
      <c r="M13" t="s">
        <v>530</v>
      </c>
    </row>
    <row r="14" spans="1:39" x14ac:dyDescent="0.3">
      <c r="A14" t="s">
        <v>12</v>
      </c>
      <c r="B14" t="s">
        <v>531</v>
      </c>
      <c r="C14" s="3">
        <v>9</v>
      </c>
      <c r="D14">
        <v>6</v>
      </c>
      <c r="E14">
        <v>3</v>
      </c>
      <c r="F14">
        <v>0</v>
      </c>
      <c r="G14">
        <f t="shared" si="10"/>
        <v>3</v>
      </c>
      <c r="H14">
        <v>7</v>
      </c>
      <c r="I14">
        <v>6</v>
      </c>
      <c r="J14">
        <f t="shared" si="11"/>
        <v>1</v>
      </c>
      <c r="P14" t="s">
        <v>52</v>
      </c>
      <c r="AA14" t="s">
        <v>52</v>
      </c>
    </row>
    <row r="15" spans="1:39" x14ac:dyDescent="0.3">
      <c r="A15" t="s">
        <v>13</v>
      </c>
      <c r="B15" t="s">
        <v>60</v>
      </c>
      <c r="C15" s="3">
        <v>8</v>
      </c>
      <c r="D15">
        <v>6</v>
      </c>
      <c r="E15">
        <v>2</v>
      </c>
      <c r="F15">
        <v>2</v>
      </c>
      <c r="G15">
        <f t="shared" si="10"/>
        <v>2</v>
      </c>
      <c r="H15">
        <v>4</v>
      </c>
      <c r="I15">
        <v>4</v>
      </c>
      <c r="J15">
        <f t="shared" si="11"/>
        <v>0</v>
      </c>
      <c r="P15" t="s">
        <v>1</v>
      </c>
      <c r="Q15" t="s">
        <v>2</v>
      </c>
      <c r="R15" t="s">
        <v>3</v>
      </c>
      <c r="S15" t="s">
        <v>4</v>
      </c>
      <c r="T15" t="s">
        <v>5</v>
      </c>
      <c r="U15" t="s">
        <v>6</v>
      </c>
      <c r="V15" t="s">
        <v>7</v>
      </c>
      <c r="W15" t="s">
        <v>8</v>
      </c>
      <c r="X15" t="s">
        <v>9</v>
      </c>
      <c r="Y15" t="s">
        <v>10</v>
      </c>
      <c r="AA15" t="s">
        <v>1</v>
      </c>
      <c r="AB15" t="s">
        <v>2</v>
      </c>
      <c r="AC15" t="s">
        <v>3</v>
      </c>
      <c r="AD15" t="s">
        <v>4</v>
      </c>
      <c r="AE15" t="s">
        <v>5</v>
      </c>
      <c r="AF15" t="s">
        <v>6</v>
      </c>
      <c r="AG15" t="s">
        <v>7</v>
      </c>
      <c r="AH15" t="s">
        <v>8</v>
      </c>
      <c r="AI15" t="s">
        <v>9</v>
      </c>
      <c r="AJ15" t="s">
        <v>10</v>
      </c>
    </row>
    <row r="16" spans="1:39" x14ac:dyDescent="0.3">
      <c r="A16" t="s">
        <v>14</v>
      </c>
      <c r="B16" t="s">
        <v>534</v>
      </c>
      <c r="C16" s="3">
        <v>7</v>
      </c>
      <c r="D16">
        <v>6</v>
      </c>
      <c r="E16">
        <v>2</v>
      </c>
      <c r="F16">
        <v>1</v>
      </c>
      <c r="G16">
        <f t="shared" si="10"/>
        <v>3</v>
      </c>
      <c r="H16">
        <v>10</v>
      </c>
      <c r="I16">
        <v>6</v>
      </c>
      <c r="J16">
        <f t="shared" si="11"/>
        <v>4</v>
      </c>
      <c r="P16" s="1" t="s">
        <v>11</v>
      </c>
      <c r="Q16" t="s">
        <v>67</v>
      </c>
      <c r="R16" s="3">
        <v>7</v>
      </c>
      <c r="S16">
        <v>4</v>
      </c>
      <c r="T16">
        <v>2</v>
      </c>
      <c r="U16">
        <v>1</v>
      </c>
      <c r="V16">
        <f>S16-T16-U16</f>
        <v>1</v>
      </c>
      <c r="W16">
        <v>4</v>
      </c>
      <c r="X16">
        <v>3</v>
      </c>
      <c r="Y16">
        <f>W16-X16</f>
        <v>1</v>
      </c>
      <c r="AA16" s="1" t="s">
        <v>11</v>
      </c>
      <c r="AB16" t="s">
        <v>543</v>
      </c>
      <c r="AC16" s="3">
        <v>6</v>
      </c>
      <c r="AD16">
        <v>4</v>
      </c>
      <c r="AE16">
        <v>1</v>
      </c>
      <c r="AF16">
        <v>3</v>
      </c>
      <c r="AG16">
        <f>AD16-AE16-AF16</f>
        <v>0</v>
      </c>
      <c r="AH16">
        <v>4</v>
      </c>
      <c r="AI16">
        <v>3</v>
      </c>
      <c r="AJ16">
        <f>AH16-AI16</f>
        <v>1</v>
      </c>
    </row>
    <row r="17" spans="1:36" x14ac:dyDescent="0.3">
      <c r="A17" t="s">
        <v>15</v>
      </c>
      <c r="B17" t="s">
        <v>532</v>
      </c>
      <c r="C17" s="3">
        <v>5</v>
      </c>
      <c r="D17">
        <v>6</v>
      </c>
      <c r="E17">
        <v>1</v>
      </c>
      <c r="F17">
        <v>2</v>
      </c>
      <c r="G17">
        <f t="shared" si="10"/>
        <v>3</v>
      </c>
      <c r="H17">
        <v>6</v>
      </c>
      <c r="I17">
        <v>8</v>
      </c>
      <c r="J17">
        <f t="shared" si="11"/>
        <v>-2</v>
      </c>
      <c r="P17" s="1" t="s">
        <v>12</v>
      </c>
      <c r="Q17" t="s">
        <v>68</v>
      </c>
      <c r="R17" s="3">
        <v>5</v>
      </c>
      <c r="S17">
        <v>4</v>
      </c>
      <c r="T17">
        <v>1</v>
      </c>
      <c r="U17">
        <v>2</v>
      </c>
      <c r="V17">
        <f t="shared" ref="V17:V18" si="12">S17-T17-U17</f>
        <v>1</v>
      </c>
      <c r="W17">
        <v>4</v>
      </c>
      <c r="X17">
        <v>3</v>
      </c>
      <c r="Y17">
        <f t="shared" ref="Y17:Y18" si="13">W17-X17</f>
        <v>1</v>
      </c>
      <c r="AA17" s="1" t="s">
        <v>12</v>
      </c>
      <c r="AB17" t="s">
        <v>544</v>
      </c>
      <c r="AC17" s="3">
        <v>5</v>
      </c>
      <c r="AD17">
        <v>4</v>
      </c>
      <c r="AE17">
        <v>1</v>
      </c>
      <c r="AF17">
        <v>2</v>
      </c>
      <c r="AG17">
        <f t="shared" ref="AG17:AG18" si="14">AD17-AE17-AF17</f>
        <v>1</v>
      </c>
      <c r="AH17">
        <v>5</v>
      </c>
      <c r="AI17">
        <v>8</v>
      </c>
      <c r="AJ17">
        <f t="shared" ref="AJ17:AJ18" si="15">AH17-AI17</f>
        <v>-3</v>
      </c>
    </row>
    <row r="18" spans="1:36" x14ac:dyDescent="0.3">
      <c r="A18" t="s">
        <v>16</v>
      </c>
      <c r="B18" t="s">
        <v>530</v>
      </c>
      <c r="C18" s="3">
        <v>4</v>
      </c>
      <c r="D18">
        <v>6</v>
      </c>
      <c r="E18">
        <v>0</v>
      </c>
      <c r="F18">
        <v>4</v>
      </c>
      <c r="G18">
        <f t="shared" si="10"/>
        <v>2</v>
      </c>
      <c r="H18">
        <v>5</v>
      </c>
      <c r="I18">
        <v>9</v>
      </c>
      <c r="J18">
        <f t="shared" si="11"/>
        <v>-4</v>
      </c>
      <c r="P18" s="2" t="s">
        <v>13</v>
      </c>
      <c r="Q18" t="s">
        <v>69</v>
      </c>
      <c r="R18" s="3">
        <v>4</v>
      </c>
      <c r="S18">
        <v>4</v>
      </c>
      <c r="T18">
        <v>1</v>
      </c>
      <c r="U18">
        <v>1</v>
      </c>
      <c r="V18">
        <f t="shared" si="12"/>
        <v>2</v>
      </c>
      <c r="W18">
        <v>1</v>
      </c>
      <c r="X18">
        <v>3</v>
      </c>
      <c r="Y18">
        <f t="shared" si="13"/>
        <v>-2</v>
      </c>
      <c r="AA18" t="s">
        <v>13</v>
      </c>
      <c r="AB18" t="s">
        <v>545</v>
      </c>
      <c r="AC18" s="3">
        <v>4</v>
      </c>
      <c r="AD18">
        <v>4</v>
      </c>
      <c r="AE18">
        <v>1</v>
      </c>
      <c r="AF18">
        <v>1</v>
      </c>
      <c r="AG18">
        <f t="shared" si="14"/>
        <v>2</v>
      </c>
      <c r="AH18">
        <v>7</v>
      </c>
      <c r="AI18">
        <v>5</v>
      </c>
      <c r="AJ18">
        <f t="shared" si="15"/>
        <v>2</v>
      </c>
    </row>
    <row r="20" spans="1:36" x14ac:dyDescent="0.3">
      <c r="A20" t="s">
        <v>59</v>
      </c>
      <c r="P20" t="s">
        <v>53</v>
      </c>
      <c r="AA20" t="s">
        <v>53</v>
      </c>
    </row>
    <row r="21" spans="1:36" x14ac:dyDescent="0.3">
      <c r="A21" t="str">
        <f>M2</f>
        <v>Santa Rosa</v>
      </c>
      <c r="B21" t="s">
        <v>112</v>
      </c>
      <c r="C21" t="str">
        <f>M9</f>
        <v>Tuna Luso</v>
      </c>
      <c r="P21" t="s">
        <v>1</v>
      </c>
      <c r="Q21" t="s">
        <v>2</v>
      </c>
      <c r="R21" t="s">
        <v>3</v>
      </c>
      <c r="S21" t="s">
        <v>4</v>
      </c>
      <c r="T21" t="s">
        <v>5</v>
      </c>
      <c r="U21" t="s">
        <v>6</v>
      </c>
      <c r="V21" t="s">
        <v>7</v>
      </c>
      <c r="W21" t="s">
        <v>8</v>
      </c>
      <c r="X21" t="s">
        <v>9</v>
      </c>
      <c r="Y21" t="s">
        <v>10</v>
      </c>
      <c r="AA21" t="s">
        <v>1</v>
      </c>
      <c r="AB21" t="s">
        <v>2</v>
      </c>
      <c r="AC21" t="s">
        <v>3</v>
      </c>
      <c r="AD21" t="s">
        <v>4</v>
      </c>
      <c r="AE21" t="s">
        <v>5</v>
      </c>
      <c r="AF21" t="s">
        <v>6</v>
      </c>
      <c r="AG21" t="s">
        <v>7</v>
      </c>
      <c r="AH21" t="s">
        <v>8</v>
      </c>
      <c r="AI21" t="s">
        <v>9</v>
      </c>
      <c r="AJ21" t="s">
        <v>10</v>
      </c>
    </row>
    <row r="22" spans="1:36" x14ac:dyDescent="0.3">
      <c r="A22" t="str">
        <f>M5</f>
        <v>Cametá</v>
      </c>
      <c r="B22" t="s">
        <v>535</v>
      </c>
      <c r="C22" t="str">
        <f>M6</f>
        <v>Bragantino</v>
      </c>
      <c r="P22" s="1" t="s">
        <v>11</v>
      </c>
      <c r="Q22" t="s">
        <v>24</v>
      </c>
      <c r="R22" s="3">
        <v>9</v>
      </c>
      <c r="S22">
        <v>4</v>
      </c>
      <c r="T22">
        <v>3</v>
      </c>
      <c r="U22">
        <v>0</v>
      </c>
      <c r="V22">
        <f>S22-T22-U22</f>
        <v>1</v>
      </c>
      <c r="W22">
        <v>5</v>
      </c>
      <c r="X22">
        <v>3</v>
      </c>
      <c r="Y22">
        <f>W22-X22</f>
        <v>2</v>
      </c>
      <c r="AA22" s="1" t="s">
        <v>11</v>
      </c>
      <c r="AB22" t="s">
        <v>546</v>
      </c>
      <c r="AC22" s="3">
        <v>9</v>
      </c>
      <c r="AD22">
        <v>4</v>
      </c>
      <c r="AE22">
        <v>3</v>
      </c>
      <c r="AF22">
        <v>0</v>
      </c>
      <c r="AG22">
        <f>AD22-AE22-AF22</f>
        <v>1</v>
      </c>
      <c r="AH22">
        <v>6</v>
      </c>
      <c r="AI22">
        <v>3</v>
      </c>
      <c r="AJ22">
        <f>AH22-AI22</f>
        <v>3</v>
      </c>
    </row>
    <row r="23" spans="1:36" x14ac:dyDescent="0.3">
      <c r="A23" t="str">
        <f>M3</f>
        <v>Paysandu</v>
      </c>
      <c r="B23" t="s">
        <v>29</v>
      </c>
      <c r="C23" t="str">
        <f>M8</f>
        <v>Águia de Marabá</v>
      </c>
      <c r="P23" s="1" t="s">
        <v>12</v>
      </c>
      <c r="Q23" t="s">
        <v>70</v>
      </c>
      <c r="R23" s="3">
        <v>6</v>
      </c>
      <c r="S23">
        <v>4</v>
      </c>
      <c r="T23">
        <v>2</v>
      </c>
      <c r="U23">
        <v>0</v>
      </c>
      <c r="V23">
        <f t="shared" ref="V23:V24" si="16">S23-T23-U23</f>
        <v>2</v>
      </c>
      <c r="W23">
        <v>4</v>
      </c>
      <c r="X23">
        <v>4</v>
      </c>
      <c r="Y23">
        <f t="shared" ref="Y23:Y24" si="17">W23-X23</f>
        <v>0</v>
      </c>
      <c r="AA23" s="1" t="s">
        <v>12</v>
      </c>
      <c r="AB23" t="s">
        <v>547</v>
      </c>
      <c r="AC23" s="3">
        <v>6</v>
      </c>
      <c r="AD23">
        <v>4</v>
      </c>
      <c r="AE23">
        <v>2</v>
      </c>
      <c r="AF23">
        <v>0</v>
      </c>
      <c r="AG23">
        <f t="shared" ref="AG23:AG24" si="18">AD23-AE23-AF23</f>
        <v>2</v>
      </c>
      <c r="AH23">
        <v>5</v>
      </c>
      <c r="AI23">
        <v>5</v>
      </c>
      <c r="AJ23">
        <f t="shared" ref="AJ23:AJ24" si="19">AH23-AI23</f>
        <v>0</v>
      </c>
    </row>
    <row r="24" spans="1:36" x14ac:dyDescent="0.3">
      <c r="A24" t="str">
        <f>M4</f>
        <v>Capitão Poço</v>
      </c>
      <c r="B24" t="s">
        <v>536</v>
      </c>
      <c r="C24" t="str">
        <f>M7</f>
        <v>São Raimundo</v>
      </c>
      <c r="P24" s="2" t="s">
        <v>13</v>
      </c>
      <c r="Q24" t="s">
        <v>71</v>
      </c>
      <c r="R24" s="3">
        <v>3</v>
      </c>
      <c r="S24">
        <v>4</v>
      </c>
      <c r="T24">
        <v>1</v>
      </c>
      <c r="U24">
        <v>0</v>
      </c>
      <c r="V24">
        <f t="shared" si="16"/>
        <v>3</v>
      </c>
      <c r="W24">
        <v>1</v>
      </c>
      <c r="X24">
        <v>3</v>
      </c>
      <c r="Y24">
        <f t="shared" si="17"/>
        <v>-2</v>
      </c>
      <c r="AA24" t="s">
        <v>13</v>
      </c>
      <c r="AB24" t="s">
        <v>403</v>
      </c>
      <c r="AC24" s="3">
        <v>3</v>
      </c>
      <c r="AD24">
        <v>4</v>
      </c>
      <c r="AE24">
        <v>1</v>
      </c>
      <c r="AF24">
        <v>0</v>
      </c>
      <c r="AG24">
        <f t="shared" si="18"/>
        <v>3</v>
      </c>
      <c r="AH24">
        <v>5</v>
      </c>
      <c r="AI24">
        <v>8</v>
      </c>
      <c r="AJ24">
        <f t="shared" si="19"/>
        <v>-3</v>
      </c>
    </row>
    <row r="26" spans="1:36" x14ac:dyDescent="0.3">
      <c r="A26" t="s">
        <v>49</v>
      </c>
      <c r="P26" t="s">
        <v>59</v>
      </c>
      <c r="AA26" t="s">
        <v>59</v>
      </c>
    </row>
    <row r="27" spans="1:36" x14ac:dyDescent="0.3">
      <c r="A27" t="s">
        <v>531</v>
      </c>
      <c r="B27" t="s">
        <v>73</v>
      </c>
      <c r="C27" t="s">
        <v>529</v>
      </c>
      <c r="P27" t="str">
        <f>Q11</f>
        <v>Carajás</v>
      </c>
      <c r="Q27" t="s">
        <v>33</v>
      </c>
      <c r="R27" t="str">
        <f>Q4</f>
        <v>Independente</v>
      </c>
      <c r="T27" t="str">
        <f>Q4</f>
        <v>Independente</v>
      </c>
      <c r="U27" t="s">
        <v>72</v>
      </c>
      <c r="V27" t="str">
        <f>Q11</f>
        <v>Carajás</v>
      </c>
      <c r="AA27" t="str">
        <f>AB11</f>
        <v>Belenense</v>
      </c>
      <c r="AB27" t="s">
        <v>28</v>
      </c>
      <c r="AC27" t="str">
        <f>AB4</f>
        <v>Altamira</v>
      </c>
      <c r="AE27" t="str">
        <f>AB4</f>
        <v>Altamira</v>
      </c>
      <c r="AF27" t="s">
        <v>31</v>
      </c>
      <c r="AG27" t="str">
        <f>AB11</f>
        <v>Belenense</v>
      </c>
    </row>
    <row r="28" spans="1:36" x14ac:dyDescent="0.3">
      <c r="A28" t="s">
        <v>60</v>
      </c>
      <c r="B28" t="s">
        <v>31</v>
      </c>
      <c r="C28" t="s">
        <v>528</v>
      </c>
      <c r="P28" t="str">
        <f>Q5</f>
        <v>Tapajós</v>
      </c>
      <c r="Q28" t="s">
        <v>73</v>
      </c>
      <c r="R28" t="str">
        <f>Q10</f>
        <v>Caeté</v>
      </c>
      <c r="T28" t="str">
        <f>Q10</f>
        <v>Caeté</v>
      </c>
      <c r="U28" t="s">
        <v>74</v>
      </c>
      <c r="V28" t="str">
        <f>Q5</f>
        <v>Tapajós</v>
      </c>
      <c r="AA28" t="str">
        <f>AB5</f>
        <v>Gavião Kyikatejê</v>
      </c>
      <c r="AB28" t="s">
        <v>30</v>
      </c>
      <c r="AC28" t="str">
        <f>AB10</f>
        <v>Esmac</v>
      </c>
      <c r="AE28" t="str">
        <f>AB10</f>
        <v>Esmac</v>
      </c>
      <c r="AF28" t="s">
        <v>548</v>
      </c>
      <c r="AG28" t="str">
        <f>AB5</f>
        <v>Gavião Kyikatejê</v>
      </c>
    </row>
    <row r="29" spans="1:36" x14ac:dyDescent="0.3">
      <c r="P29" t="str">
        <f>Q23</f>
        <v>Urumajó</v>
      </c>
      <c r="Q29" t="s">
        <v>75</v>
      </c>
      <c r="R29" t="str">
        <f>Q16</f>
        <v>Atlético Paraense</v>
      </c>
      <c r="T29" t="str">
        <f>Q16</f>
        <v>Atlético Paraense</v>
      </c>
      <c r="U29" t="s">
        <v>30</v>
      </c>
      <c r="V29" t="str">
        <f>Q23</f>
        <v>Urumajó</v>
      </c>
      <c r="AA29" t="str">
        <f>AB23</f>
        <v>Tesla</v>
      </c>
      <c r="AB29" t="s">
        <v>111</v>
      </c>
      <c r="AC29" t="str">
        <f>AB16</f>
        <v>Pinheirense</v>
      </c>
      <c r="AE29" t="str">
        <f>AB16</f>
        <v>Pinheirense</v>
      </c>
      <c r="AF29" t="s">
        <v>30</v>
      </c>
      <c r="AG29" t="str">
        <f>AB23</f>
        <v>Tesla</v>
      </c>
    </row>
    <row r="30" spans="1:36" x14ac:dyDescent="0.3">
      <c r="A30" t="s">
        <v>19</v>
      </c>
      <c r="P30" t="str">
        <f>Q17</f>
        <v>Paragominas</v>
      </c>
      <c r="Q30" t="s">
        <v>32</v>
      </c>
      <c r="R30" t="str">
        <f>Q22</f>
        <v>Santos</v>
      </c>
      <c r="T30" t="str">
        <f>Q22</f>
        <v>Santos</v>
      </c>
      <c r="U30" t="s">
        <v>48</v>
      </c>
      <c r="V30" t="str">
        <f>Q17</f>
        <v>Paragominas</v>
      </c>
      <c r="AA30" t="str">
        <f>AB17</f>
        <v>Sport Belém</v>
      </c>
      <c r="AB30" t="s">
        <v>75</v>
      </c>
      <c r="AC30" t="str">
        <f>AB22</f>
        <v>Vila Rica</v>
      </c>
      <c r="AE30" t="str">
        <f>AB22</f>
        <v>Vila Rica</v>
      </c>
      <c r="AF30" t="s">
        <v>196</v>
      </c>
      <c r="AG30" t="str">
        <f>AB17</f>
        <v>Sport Belém</v>
      </c>
    </row>
    <row r="31" spans="1:36" x14ac:dyDescent="0.3">
      <c r="A31" t="s">
        <v>529</v>
      </c>
      <c r="B31" t="s">
        <v>30</v>
      </c>
      <c r="C31" t="s">
        <v>60</v>
      </c>
      <c r="E31" t="s">
        <v>60</v>
      </c>
      <c r="F31" t="s">
        <v>75</v>
      </c>
      <c r="G31" t="s">
        <v>529</v>
      </c>
    </row>
    <row r="32" spans="1:36" x14ac:dyDescent="0.3">
      <c r="P32" t="s">
        <v>49</v>
      </c>
      <c r="AA32" t="s">
        <v>49</v>
      </c>
    </row>
    <row r="33" spans="1:33" x14ac:dyDescent="0.3">
      <c r="A33" t="s">
        <v>113</v>
      </c>
      <c r="P33" t="s">
        <v>64</v>
      </c>
      <c r="Q33" t="s">
        <v>28</v>
      </c>
      <c r="R33" t="s">
        <v>25</v>
      </c>
      <c r="T33" t="s">
        <v>25</v>
      </c>
      <c r="U33" t="s">
        <v>30</v>
      </c>
      <c r="V33" t="s">
        <v>64</v>
      </c>
      <c r="AA33" t="s">
        <v>539</v>
      </c>
      <c r="AB33" t="s">
        <v>32</v>
      </c>
      <c r="AC33" t="s">
        <v>538</v>
      </c>
      <c r="AE33" t="s">
        <v>538</v>
      </c>
      <c r="AF33" t="s">
        <v>134</v>
      </c>
      <c r="AG33" t="s">
        <v>539</v>
      </c>
    </row>
    <row r="34" spans="1:33" x14ac:dyDescent="0.3">
      <c r="A34" t="s">
        <v>529</v>
      </c>
      <c r="P34" t="s">
        <v>67</v>
      </c>
      <c r="Q34" t="s">
        <v>75</v>
      </c>
      <c r="R34" t="s">
        <v>24</v>
      </c>
      <c r="T34" t="s">
        <v>24</v>
      </c>
      <c r="U34" t="s">
        <v>30</v>
      </c>
      <c r="V34" t="s">
        <v>67</v>
      </c>
      <c r="AA34" t="s">
        <v>546</v>
      </c>
      <c r="AB34" t="s">
        <v>75</v>
      </c>
      <c r="AC34" t="s">
        <v>543</v>
      </c>
      <c r="AE34" t="s">
        <v>543</v>
      </c>
      <c r="AF34" t="s">
        <v>549</v>
      </c>
      <c r="AG34" t="s">
        <v>546</v>
      </c>
    </row>
    <row r="35" spans="1:33" x14ac:dyDescent="0.3">
      <c r="A35" t="s">
        <v>60</v>
      </c>
    </row>
    <row r="36" spans="1:33" x14ac:dyDescent="0.3">
      <c r="P36" t="s">
        <v>19</v>
      </c>
      <c r="AA36" t="s">
        <v>19</v>
      </c>
    </row>
    <row r="37" spans="1:33" x14ac:dyDescent="0.3">
      <c r="A37" t="s">
        <v>114</v>
      </c>
      <c r="P37" t="s">
        <v>24</v>
      </c>
      <c r="Q37" t="s">
        <v>31</v>
      </c>
      <c r="R37" t="s">
        <v>25</v>
      </c>
      <c r="AA37" t="s">
        <v>546</v>
      </c>
      <c r="AB37" t="s">
        <v>28</v>
      </c>
      <c r="AC37" t="s">
        <v>538</v>
      </c>
      <c r="AE37" t="s">
        <v>538</v>
      </c>
      <c r="AF37" t="s">
        <v>29</v>
      </c>
      <c r="AG37" t="s">
        <v>546</v>
      </c>
    </row>
    <row r="38" spans="1:33" x14ac:dyDescent="0.3">
      <c r="A38" t="s">
        <v>529</v>
      </c>
    </row>
    <row r="39" spans="1:33" x14ac:dyDescent="0.3">
      <c r="A39" t="s">
        <v>60</v>
      </c>
    </row>
    <row r="40" spans="1:33" x14ac:dyDescent="0.3">
      <c r="A40" t="s">
        <v>531</v>
      </c>
    </row>
    <row r="41" spans="1:33" x14ac:dyDescent="0.3">
      <c r="A41" t="s">
        <v>528</v>
      </c>
    </row>
  </sheetData>
  <sortState xmlns:xlrd2="http://schemas.microsoft.com/office/spreadsheetml/2017/richdata2" ref="B13:J18">
    <sortCondition descending="1" ref="C13:C18"/>
    <sortCondition descending="1" ref="E13:E18"/>
    <sortCondition descending="1" ref="J13:J18"/>
    <sortCondition descending="1" ref="H13:H1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F2AA-EA32-43ED-8137-4C74B59FB666}">
  <dimension ref="A1:AI28"/>
  <sheetViews>
    <sheetView topLeftCell="P1" workbookViewId="0">
      <selection activeCell="W1" sqref="W1:AF10"/>
    </sheetView>
  </sheetViews>
  <sheetFormatPr defaultRowHeight="14.4" x14ac:dyDescent="0.3"/>
  <sheetData>
    <row r="1" spans="1:35" x14ac:dyDescent="0.3">
      <c r="A1" t="s">
        <v>607</v>
      </c>
      <c r="L1" t="s">
        <v>615</v>
      </c>
      <c r="W1" t="s">
        <v>626</v>
      </c>
      <c r="AH1" t="s">
        <v>50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609</v>
      </c>
      <c r="AI2">
        <v>5</v>
      </c>
    </row>
    <row r="3" spans="1:35" x14ac:dyDescent="0.3">
      <c r="A3" s="1" t="s">
        <v>11</v>
      </c>
      <c r="B3" t="s">
        <v>608</v>
      </c>
      <c r="C3" s="3">
        <v>18</v>
      </c>
      <c r="D3">
        <v>9</v>
      </c>
      <c r="E3">
        <v>5</v>
      </c>
      <c r="F3">
        <v>3</v>
      </c>
      <c r="G3">
        <f>D3-E3-F3</f>
        <v>1</v>
      </c>
      <c r="H3">
        <v>14</v>
      </c>
      <c r="I3">
        <v>1</v>
      </c>
      <c r="J3">
        <f>H3-I3</f>
        <v>13</v>
      </c>
      <c r="L3" s="1" t="s">
        <v>11</v>
      </c>
      <c r="M3" t="s">
        <v>616</v>
      </c>
      <c r="N3" s="3">
        <v>22</v>
      </c>
      <c r="O3">
        <v>11</v>
      </c>
      <c r="P3">
        <v>7</v>
      </c>
      <c r="Q3">
        <v>1</v>
      </c>
      <c r="R3">
        <f>O3-P3-Q3</f>
        <v>3</v>
      </c>
      <c r="S3">
        <v>18</v>
      </c>
      <c r="T3">
        <v>13</v>
      </c>
      <c r="U3">
        <f>S3-T3</f>
        <v>5</v>
      </c>
      <c r="W3" s="1" t="s">
        <v>11</v>
      </c>
      <c r="X3" t="s">
        <v>290</v>
      </c>
      <c r="Y3" s="3">
        <v>10</v>
      </c>
      <c r="Z3">
        <v>4</v>
      </c>
      <c r="AA3">
        <v>3</v>
      </c>
      <c r="AB3">
        <v>1</v>
      </c>
      <c r="AC3">
        <f>Z3-AA3-AB3</f>
        <v>0</v>
      </c>
      <c r="AD3">
        <v>9</v>
      </c>
      <c r="AE3">
        <v>2</v>
      </c>
      <c r="AF3">
        <f>AD3-AE3</f>
        <v>7</v>
      </c>
      <c r="AH3" t="s">
        <v>619</v>
      </c>
      <c r="AI3">
        <v>2</v>
      </c>
    </row>
    <row r="4" spans="1:35" x14ac:dyDescent="0.3">
      <c r="A4" s="1" t="s">
        <v>12</v>
      </c>
      <c r="B4" t="s">
        <v>609</v>
      </c>
      <c r="C4" s="3">
        <v>17</v>
      </c>
      <c r="D4">
        <v>9</v>
      </c>
      <c r="E4">
        <v>4</v>
      </c>
      <c r="F4">
        <v>5</v>
      </c>
      <c r="G4">
        <f t="shared" ref="G4:G12" si="0">D4-E4-F4</f>
        <v>0</v>
      </c>
      <c r="H4">
        <v>14</v>
      </c>
      <c r="I4">
        <v>5</v>
      </c>
      <c r="J4">
        <f t="shared" ref="J4:J12" si="1">H4-I4</f>
        <v>9</v>
      </c>
      <c r="L4" s="1" t="s">
        <v>12</v>
      </c>
      <c r="M4" t="s">
        <v>223</v>
      </c>
      <c r="N4" s="3">
        <v>21</v>
      </c>
      <c r="O4">
        <v>11</v>
      </c>
      <c r="P4">
        <v>6</v>
      </c>
      <c r="Q4">
        <v>3</v>
      </c>
      <c r="R4">
        <f t="shared" ref="R4:R14" si="2">O4-P4-Q4</f>
        <v>2</v>
      </c>
      <c r="S4">
        <v>20</v>
      </c>
      <c r="T4">
        <v>11</v>
      </c>
      <c r="U4">
        <f t="shared" ref="U4:U14" si="3">S4-T4</f>
        <v>9</v>
      </c>
      <c r="W4" s="1" t="s">
        <v>12</v>
      </c>
      <c r="X4" t="s">
        <v>627</v>
      </c>
      <c r="Y4" s="3">
        <v>7</v>
      </c>
      <c r="Z4">
        <v>4</v>
      </c>
      <c r="AA4">
        <v>2</v>
      </c>
      <c r="AB4">
        <v>1</v>
      </c>
      <c r="AC4">
        <f t="shared" ref="AC4:AC7" si="4">Z4-AA4-AB4</f>
        <v>1</v>
      </c>
      <c r="AD4">
        <v>7</v>
      </c>
      <c r="AE4">
        <v>4</v>
      </c>
      <c r="AF4">
        <f t="shared" ref="AF4:AF7" si="5">AD4-AE4</f>
        <v>3</v>
      </c>
      <c r="AH4" t="s">
        <v>290</v>
      </c>
      <c r="AI4">
        <v>1</v>
      </c>
    </row>
    <row r="5" spans="1:35" x14ac:dyDescent="0.3">
      <c r="A5" s="1" t="s">
        <v>13</v>
      </c>
      <c r="B5" t="s">
        <v>610</v>
      </c>
      <c r="C5" s="3">
        <v>16</v>
      </c>
      <c r="D5">
        <v>9</v>
      </c>
      <c r="E5">
        <v>4</v>
      </c>
      <c r="F5">
        <v>4</v>
      </c>
      <c r="G5">
        <f t="shared" si="0"/>
        <v>1</v>
      </c>
      <c r="H5">
        <v>11</v>
      </c>
      <c r="I5">
        <v>9</v>
      </c>
      <c r="J5">
        <f t="shared" si="1"/>
        <v>2</v>
      </c>
      <c r="L5" s="4" t="s">
        <v>13</v>
      </c>
      <c r="M5" t="s">
        <v>617</v>
      </c>
      <c r="N5" s="3">
        <v>21</v>
      </c>
      <c r="O5">
        <v>11</v>
      </c>
      <c r="P5">
        <v>6</v>
      </c>
      <c r="Q5">
        <v>3</v>
      </c>
      <c r="R5">
        <f t="shared" si="2"/>
        <v>2</v>
      </c>
      <c r="S5">
        <v>19</v>
      </c>
      <c r="T5">
        <v>10</v>
      </c>
      <c r="U5">
        <f t="shared" si="3"/>
        <v>9</v>
      </c>
      <c r="W5" t="s">
        <v>13</v>
      </c>
      <c r="X5" t="s">
        <v>24</v>
      </c>
      <c r="Y5" s="3">
        <v>6</v>
      </c>
      <c r="Z5">
        <v>4</v>
      </c>
      <c r="AA5">
        <v>2</v>
      </c>
      <c r="AB5">
        <v>0</v>
      </c>
      <c r="AC5">
        <f t="shared" si="4"/>
        <v>2</v>
      </c>
      <c r="AD5">
        <v>5</v>
      </c>
      <c r="AE5">
        <v>5</v>
      </c>
      <c r="AF5">
        <f t="shared" si="5"/>
        <v>0</v>
      </c>
    </row>
    <row r="6" spans="1:35" x14ac:dyDescent="0.3">
      <c r="A6" s="1" t="s">
        <v>14</v>
      </c>
      <c r="B6" t="s">
        <v>611</v>
      </c>
      <c r="C6" s="3">
        <v>14</v>
      </c>
      <c r="D6">
        <v>9</v>
      </c>
      <c r="E6">
        <v>4</v>
      </c>
      <c r="F6">
        <v>2</v>
      </c>
      <c r="G6">
        <f t="shared" si="0"/>
        <v>3</v>
      </c>
      <c r="H6">
        <v>8</v>
      </c>
      <c r="I6">
        <v>10</v>
      </c>
      <c r="J6">
        <f t="shared" si="1"/>
        <v>-2</v>
      </c>
      <c r="L6" s="4" t="s">
        <v>14</v>
      </c>
      <c r="M6" t="s">
        <v>489</v>
      </c>
      <c r="N6" s="3">
        <v>17</v>
      </c>
      <c r="O6">
        <v>11</v>
      </c>
      <c r="P6">
        <v>5</v>
      </c>
      <c r="Q6">
        <v>2</v>
      </c>
      <c r="R6">
        <f t="shared" si="2"/>
        <v>4</v>
      </c>
      <c r="S6">
        <v>15</v>
      </c>
      <c r="T6">
        <v>11</v>
      </c>
      <c r="U6">
        <f t="shared" si="3"/>
        <v>4</v>
      </c>
      <c r="W6" t="s">
        <v>14</v>
      </c>
      <c r="X6" t="s">
        <v>628</v>
      </c>
      <c r="Y6" s="3">
        <v>6</v>
      </c>
      <c r="Z6">
        <v>4</v>
      </c>
      <c r="AA6">
        <v>2</v>
      </c>
      <c r="AB6">
        <v>0</v>
      </c>
      <c r="AC6">
        <f t="shared" si="4"/>
        <v>2</v>
      </c>
      <c r="AD6">
        <v>4</v>
      </c>
      <c r="AE6">
        <v>6</v>
      </c>
      <c r="AF6">
        <f t="shared" si="5"/>
        <v>-2</v>
      </c>
    </row>
    <row r="7" spans="1:35" x14ac:dyDescent="0.3">
      <c r="A7" t="s">
        <v>15</v>
      </c>
      <c r="B7" t="s">
        <v>612</v>
      </c>
      <c r="C7" s="3">
        <v>12</v>
      </c>
      <c r="D7">
        <v>9</v>
      </c>
      <c r="E7">
        <v>3</v>
      </c>
      <c r="F7">
        <v>3</v>
      </c>
      <c r="G7">
        <f t="shared" si="0"/>
        <v>3</v>
      </c>
      <c r="H7">
        <v>10</v>
      </c>
      <c r="I7">
        <v>8</v>
      </c>
      <c r="J7">
        <f t="shared" si="1"/>
        <v>2</v>
      </c>
      <c r="L7" s="4" t="s">
        <v>15</v>
      </c>
      <c r="M7" t="s">
        <v>618</v>
      </c>
      <c r="N7" s="3">
        <v>16</v>
      </c>
      <c r="O7">
        <v>11</v>
      </c>
      <c r="P7">
        <v>5</v>
      </c>
      <c r="Q7">
        <v>1</v>
      </c>
      <c r="R7">
        <f t="shared" si="2"/>
        <v>5</v>
      </c>
      <c r="S7">
        <v>18</v>
      </c>
      <c r="T7">
        <v>13</v>
      </c>
      <c r="U7">
        <f t="shared" si="3"/>
        <v>5</v>
      </c>
      <c r="W7" t="s">
        <v>15</v>
      </c>
      <c r="X7" t="s">
        <v>629</v>
      </c>
      <c r="Y7" s="3">
        <v>0</v>
      </c>
      <c r="Z7">
        <v>4</v>
      </c>
      <c r="AA7">
        <v>0</v>
      </c>
      <c r="AB7">
        <v>0</v>
      </c>
      <c r="AC7">
        <f t="shared" si="4"/>
        <v>4</v>
      </c>
      <c r="AD7">
        <v>3</v>
      </c>
      <c r="AE7">
        <v>11</v>
      </c>
      <c r="AF7">
        <f t="shared" si="5"/>
        <v>-8</v>
      </c>
    </row>
    <row r="8" spans="1:35" x14ac:dyDescent="0.3">
      <c r="A8" t="s">
        <v>16</v>
      </c>
      <c r="B8" t="s">
        <v>106</v>
      </c>
      <c r="C8" s="3">
        <v>12</v>
      </c>
      <c r="D8">
        <v>9</v>
      </c>
      <c r="E8">
        <v>3</v>
      </c>
      <c r="F8">
        <v>3</v>
      </c>
      <c r="G8">
        <f t="shared" si="0"/>
        <v>3</v>
      </c>
      <c r="H8">
        <v>10</v>
      </c>
      <c r="I8">
        <v>9</v>
      </c>
      <c r="J8">
        <f t="shared" si="1"/>
        <v>1</v>
      </c>
      <c r="L8" s="4" t="s">
        <v>16</v>
      </c>
      <c r="M8" t="s">
        <v>619</v>
      </c>
      <c r="N8" s="3">
        <v>16</v>
      </c>
      <c r="O8">
        <v>11</v>
      </c>
      <c r="P8">
        <v>5</v>
      </c>
      <c r="Q8">
        <v>1</v>
      </c>
      <c r="R8">
        <f t="shared" si="2"/>
        <v>5</v>
      </c>
      <c r="S8">
        <v>14</v>
      </c>
      <c r="T8">
        <v>15</v>
      </c>
      <c r="U8">
        <f t="shared" si="3"/>
        <v>-1</v>
      </c>
    </row>
    <row r="9" spans="1:35" x14ac:dyDescent="0.3">
      <c r="A9" t="s">
        <v>17</v>
      </c>
      <c r="B9" t="s">
        <v>613</v>
      </c>
      <c r="C9" s="3">
        <v>12</v>
      </c>
      <c r="D9">
        <v>9</v>
      </c>
      <c r="E9">
        <v>3</v>
      </c>
      <c r="F9">
        <v>3</v>
      </c>
      <c r="G9">
        <f>D9-E9-F9</f>
        <v>3</v>
      </c>
      <c r="H9">
        <v>6</v>
      </c>
      <c r="I9">
        <v>12</v>
      </c>
      <c r="J9">
        <f t="shared" si="1"/>
        <v>-6</v>
      </c>
      <c r="L9" t="s">
        <v>17</v>
      </c>
      <c r="M9" t="s">
        <v>620</v>
      </c>
      <c r="N9" s="3">
        <v>15</v>
      </c>
      <c r="O9">
        <v>11</v>
      </c>
      <c r="P9">
        <v>5</v>
      </c>
      <c r="Q9">
        <v>0</v>
      </c>
      <c r="R9">
        <f>O9-P9-Q9</f>
        <v>6</v>
      </c>
      <c r="S9">
        <v>14</v>
      </c>
      <c r="T9">
        <v>15</v>
      </c>
      <c r="U9">
        <f t="shared" si="3"/>
        <v>-1</v>
      </c>
      <c r="W9" t="s">
        <v>19</v>
      </c>
    </row>
    <row r="10" spans="1:35" x14ac:dyDescent="0.3">
      <c r="A10" t="s">
        <v>18</v>
      </c>
      <c r="B10" t="s">
        <v>266</v>
      </c>
      <c r="C10" s="3">
        <v>9</v>
      </c>
      <c r="D10">
        <v>9</v>
      </c>
      <c r="E10">
        <v>2</v>
      </c>
      <c r="F10">
        <v>3</v>
      </c>
      <c r="G10">
        <f t="shared" si="0"/>
        <v>4</v>
      </c>
      <c r="H10">
        <v>9</v>
      </c>
      <c r="I10">
        <v>12</v>
      </c>
      <c r="J10">
        <f t="shared" si="1"/>
        <v>-3</v>
      </c>
      <c r="L10" t="s">
        <v>18</v>
      </c>
      <c r="M10" t="s">
        <v>621</v>
      </c>
      <c r="N10" s="3">
        <v>15</v>
      </c>
      <c r="O10">
        <v>11</v>
      </c>
      <c r="P10">
        <v>5</v>
      </c>
      <c r="Q10">
        <v>0</v>
      </c>
      <c r="R10">
        <f t="shared" si="2"/>
        <v>6</v>
      </c>
      <c r="S10">
        <v>16</v>
      </c>
      <c r="T10">
        <v>20</v>
      </c>
      <c r="U10">
        <f t="shared" si="3"/>
        <v>-4</v>
      </c>
      <c r="W10" t="str">
        <f>X3</f>
        <v>Internacional</v>
      </c>
      <c r="X10" t="s">
        <v>31</v>
      </c>
      <c r="Y10" t="str">
        <f>X4</f>
        <v>Sabugy</v>
      </c>
    </row>
    <row r="11" spans="1:35" x14ac:dyDescent="0.3">
      <c r="A11" s="2" t="s">
        <v>55</v>
      </c>
      <c r="B11" t="s">
        <v>614</v>
      </c>
      <c r="C11" s="3">
        <v>6</v>
      </c>
      <c r="D11">
        <v>9</v>
      </c>
      <c r="E11">
        <v>1</v>
      </c>
      <c r="F11">
        <v>3</v>
      </c>
      <c r="G11">
        <f t="shared" si="0"/>
        <v>5</v>
      </c>
      <c r="H11">
        <v>5</v>
      </c>
      <c r="I11">
        <v>12</v>
      </c>
      <c r="J11">
        <f t="shared" si="1"/>
        <v>-7</v>
      </c>
      <c r="L11" t="s">
        <v>55</v>
      </c>
      <c r="M11" t="s">
        <v>44</v>
      </c>
      <c r="N11" s="3">
        <v>13</v>
      </c>
      <c r="O11">
        <v>11</v>
      </c>
      <c r="P11">
        <v>4</v>
      </c>
      <c r="Q11">
        <v>1</v>
      </c>
      <c r="R11">
        <f t="shared" si="2"/>
        <v>6</v>
      </c>
      <c r="S11">
        <v>12</v>
      </c>
      <c r="T11">
        <v>21</v>
      </c>
      <c r="U11">
        <f t="shared" si="3"/>
        <v>-9</v>
      </c>
    </row>
    <row r="12" spans="1:35" x14ac:dyDescent="0.3">
      <c r="A12" s="2" t="s">
        <v>56</v>
      </c>
      <c r="B12" t="s">
        <v>169</v>
      </c>
      <c r="C12" s="3">
        <v>3</v>
      </c>
      <c r="D12">
        <v>9</v>
      </c>
      <c r="E12">
        <v>0</v>
      </c>
      <c r="F12">
        <v>3</v>
      </c>
      <c r="G12">
        <f t="shared" si="0"/>
        <v>6</v>
      </c>
      <c r="H12">
        <v>6</v>
      </c>
      <c r="I12">
        <v>15</v>
      </c>
      <c r="J12">
        <f t="shared" si="1"/>
        <v>-9</v>
      </c>
      <c r="L12" t="s">
        <v>56</v>
      </c>
      <c r="M12" t="s">
        <v>622</v>
      </c>
      <c r="N12" s="3">
        <v>13</v>
      </c>
      <c r="O12">
        <v>11</v>
      </c>
      <c r="P12">
        <v>3</v>
      </c>
      <c r="Q12">
        <v>4</v>
      </c>
      <c r="R12">
        <f t="shared" si="2"/>
        <v>4</v>
      </c>
      <c r="S12">
        <v>14</v>
      </c>
      <c r="T12">
        <v>13</v>
      </c>
      <c r="U12">
        <f t="shared" si="3"/>
        <v>1</v>
      </c>
    </row>
    <row r="13" spans="1:35" x14ac:dyDescent="0.3">
      <c r="L13" s="2" t="s">
        <v>57</v>
      </c>
      <c r="M13" t="s">
        <v>623</v>
      </c>
      <c r="N13" s="3">
        <v>10</v>
      </c>
      <c r="O13">
        <v>11</v>
      </c>
      <c r="P13">
        <v>3</v>
      </c>
      <c r="Q13">
        <v>1</v>
      </c>
      <c r="R13">
        <f>O13-P13-Q13</f>
        <v>7</v>
      </c>
      <c r="S13">
        <v>7</v>
      </c>
      <c r="T13">
        <v>18</v>
      </c>
      <c r="U13">
        <f>S13-T13</f>
        <v>-11</v>
      </c>
    </row>
    <row r="14" spans="1:35" x14ac:dyDescent="0.3">
      <c r="A14" t="s">
        <v>49</v>
      </c>
      <c r="L14" s="2" t="s">
        <v>58</v>
      </c>
      <c r="M14" t="s">
        <v>624</v>
      </c>
      <c r="N14" s="3">
        <v>9</v>
      </c>
      <c r="O14">
        <v>11</v>
      </c>
      <c r="P14">
        <v>2</v>
      </c>
      <c r="Q14">
        <v>3</v>
      </c>
      <c r="R14">
        <f t="shared" si="2"/>
        <v>6</v>
      </c>
      <c r="S14">
        <v>7</v>
      </c>
      <c r="T14">
        <v>14</v>
      </c>
      <c r="U14">
        <f t="shared" si="3"/>
        <v>-7</v>
      </c>
    </row>
    <row r="15" spans="1:35" x14ac:dyDescent="0.3">
      <c r="A15" t="str">
        <f>B6</f>
        <v>Treze</v>
      </c>
      <c r="B15" t="s">
        <v>32</v>
      </c>
      <c r="C15" t="str">
        <f>B3</f>
        <v>Serra Branca</v>
      </c>
      <c r="E15" t="str">
        <f>B3</f>
        <v>Serra Branca</v>
      </c>
      <c r="F15" t="s">
        <v>73</v>
      </c>
      <c r="G15" t="str">
        <f>B6</f>
        <v>Treze</v>
      </c>
    </row>
    <row r="16" spans="1:35" x14ac:dyDescent="0.3">
      <c r="A16" t="str">
        <f>B5</f>
        <v>Pombal</v>
      </c>
      <c r="B16" t="s">
        <v>111</v>
      </c>
      <c r="C16" t="str">
        <f>B4</f>
        <v>Sousa</v>
      </c>
      <c r="E16" t="str">
        <f>B4</f>
        <v>Sousa</v>
      </c>
      <c r="F16" t="s">
        <v>30</v>
      </c>
      <c r="G16" t="str">
        <f>B5</f>
        <v>Pombal</v>
      </c>
      <c r="L16" t="s">
        <v>78</v>
      </c>
    </row>
    <row r="17" spans="1:18" x14ac:dyDescent="0.3">
      <c r="L17" t="str">
        <f>M5</f>
        <v>São Paulo Crystal</v>
      </c>
      <c r="M17" t="s">
        <v>33</v>
      </c>
      <c r="N17" t="str">
        <f>M8</f>
        <v>Miramar</v>
      </c>
    </row>
    <row r="18" spans="1:18" x14ac:dyDescent="0.3">
      <c r="A18" t="s">
        <v>19</v>
      </c>
      <c r="L18" t="str">
        <f>M6</f>
        <v>Sport</v>
      </c>
      <c r="M18" t="s">
        <v>454</v>
      </c>
      <c r="N18" t="str">
        <f>M7</f>
        <v>Desportiva Guarabira</v>
      </c>
    </row>
    <row r="19" spans="1:18" x14ac:dyDescent="0.3">
      <c r="A19" t="s">
        <v>611</v>
      </c>
      <c r="B19" t="s">
        <v>28</v>
      </c>
      <c r="C19" t="s">
        <v>609</v>
      </c>
      <c r="E19" t="s">
        <v>609</v>
      </c>
      <c r="F19" t="s">
        <v>32</v>
      </c>
      <c r="G19" t="s">
        <v>611</v>
      </c>
    </row>
    <row r="20" spans="1:18" x14ac:dyDescent="0.3">
      <c r="L20" t="s">
        <v>49</v>
      </c>
    </row>
    <row r="21" spans="1:18" x14ac:dyDescent="0.3">
      <c r="A21" t="s">
        <v>113</v>
      </c>
      <c r="L21" t="s">
        <v>489</v>
      </c>
      <c r="M21" t="s">
        <v>28</v>
      </c>
      <c r="N21" t="str">
        <f>M3</f>
        <v>Picuiense</v>
      </c>
      <c r="P21" t="str">
        <f>M3</f>
        <v>Picuiense</v>
      </c>
      <c r="Q21" t="s">
        <v>625</v>
      </c>
      <c r="R21" t="s">
        <v>489</v>
      </c>
    </row>
    <row r="22" spans="1:18" x14ac:dyDescent="0.3">
      <c r="A22" t="s">
        <v>609</v>
      </c>
      <c r="L22" t="s">
        <v>619</v>
      </c>
      <c r="M22" t="s">
        <v>48</v>
      </c>
      <c r="N22" t="str">
        <f>M4</f>
        <v>Serrano</v>
      </c>
      <c r="P22" t="str">
        <f>M4</f>
        <v>Serrano</v>
      </c>
      <c r="Q22" t="s">
        <v>33</v>
      </c>
      <c r="R22" t="s">
        <v>619</v>
      </c>
    </row>
    <row r="23" spans="1:18" x14ac:dyDescent="0.3">
      <c r="A23" t="s">
        <v>611</v>
      </c>
    </row>
    <row r="24" spans="1:18" x14ac:dyDescent="0.3">
      <c r="L24" t="s">
        <v>19</v>
      </c>
    </row>
    <row r="25" spans="1:18" x14ac:dyDescent="0.3">
      <c r="A25" t="s">
        <v>114</v>
      </c>
      <c r="L25" t="s">
        <v>619</v>
      </c>
      <c r="M25" t="s">
        <v>31</v>
      </c>
      <c r="N25" t="s">
        <v>489</v>
      </c>
    </row>
    <row r="26" spans="1:18" x14ac:dyDescent="0.3">
      <c r="A26" t="s">
        <v>609</v>
      </c>
    </row>
    <row r="27" spans="1:18" x14ac:dyDescent="0.3">
      <c r="A27" t="s">
        <v>611</v>
      </c>
    </row>
    <row r="28" spans="1:18" x14ac:dyDescent="0.3">
      <c r="A28" t="s">
        <v>608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7E21-B486-4F4E-AE58-FCCE66E32F55}">
  <dimension ref="A1:X31"/>
  <sheetViews>
    <sheetView workbookViewId="0">
      <selection activeCell="I18" sqref="I18"/>
    </sheetView>
  </sheetViews>
  <sheetFormatPr defaultRowHeight="14.4" x14ac:dyDescent="0.3"/>
  <sheetData>
    <row r="1" spans="1:24" x14ac:dyDescent="0.3">
      <c r="A1" t="s">
        <v>486</v>
      </c>
      <c r="L1" t="s">
        <v>523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490</v>
      </c>
      <c r="X2">
        <v>1</v>
      </c>
    </row>
    <row r="3" spans="1:24" x14ac:dyDescent="0.3">
      <c r="A3" s="1" t="s">
        <v>11</v>
      </c>
      <c r="B3" t="s">
        <v>487</v>
      </c>
      <c r="C3" s="3">
        <v>12</v>
      </c>
      <c r="D3">
        <v>7</v>
      </c>
      <c r="E3">
        <v>4</v>
      </c>
      <c r="F3">
        <v>0</v>
      </c>
      <c r="G3">
        <f>D3-E3-F3</f>
        <v>3</v>
      </c>
      <c r="H3">
        <v>5</v>
      </c>
      <c r="I3">
        <v>3</v>
      </c>
      <c r="J3">
        <f>H3-I3</f>
        <v>2</v>
      </c>
      <c r="L3" s="1" t="s">
        <v>11</v>
      </c>
      <c r="M3" t="s">
        <v>23</v>
      </c>
      <c r="N3" s="3">
        <v>40</v>
      </c>
      <c r="O3">
        <v>17</v>
      </c>
      <c r="P3">
        <v>13</v>
      </c>
      <c r="Q3">
        <v>1</v>
      </c>
      <c r="R3">
        <f>O3-P3-Q3</f>
        <v>3</v>
      </c>
      <c r="S3">
        <v>32</v>
      </c>
      <c r="T3">
        <v>13</v>
      </c>
      <c r="U3">
        <f>S3-T3</f>
        <v>19</v>
      </c>
      <c r="W3" t="s">
        <v>23</v>
      </c>
      <c r="X3">
        <v>2</v>
      </c>
    </row>
    <row r="4" spans="1:24" x14ac:dyDescent="0.3">
      <c r="A4" s="1" t="s">
        <v>12</v>
      </c>
      <c r="B4" t="s">
        <v>488</v>
      </c>
      <c r="C4" s="3">
        <v>12</v>
      </c>
      <c r="D4">
        <v>7</v>
      </c>
      <c r="E4">
        <v>4</v>
      </c>
      <c r="F4">
        <v>0</v>
      </c>
      <c r="G4">
        <f t="shared" ref="G4:G10" si="0">D4-E4-F4</f>
        <v>3</v>
      </c>
      <c r="H4">
        <v>7</v>
      </c>
      <c r="I4">
        <v>9</v>
      </c>
      <c r="J4">
        <f t="shared" ref="J4:J10" si="1">H4-I4</f>
        <v>-2</v>
      </c>
      <c r="L4" s="1" t="s">
        <v>12</v>
      </c>
      <c r="M4" t="s">
        <v>780</v>
      </c>
      <c r="N4" s="3">
        <v>31</v>
      </c>
      <c r="O4">
        <v>17</v>
      </c>
      <c r="P4">
        <v>10</v>
      </c>
      <c r="Q4">
        <v>1</v>
      </c>
      <c r="R4">
        <f t="shared" ref="R4:R20" si="2">O4-P4-Q4</f>
        <v>6</v>
      </c>
      <c r="S4">
        <v>32</v>
      </c>
      <c r="T4">
        <v>23</v>
      </c>
      <c r="U4">
        <f t="shared" ref="U4:U20" si="3">S4-T4</f>
        <v>9</v>
      </c>
    </row>
    <row r="5" spans="1:24" x14ac:dyDescent="0.3">
      <c r="A5" s="4" t="s">
        <v>13</v>
      </c>
      <c r="B5" t="s">
        <v>489</v>
      </c>
      <c r="C5" s="3">
        <v>12</v>
      </c>
      <c r="D5">
        <v>7</v>
      </c>
      <c r="E5">
        <v>3</v>
      </c>
      <c r="F5">
        <v>3</v>
      </c>
      <c r="G5">
        <f t="shared" si="0"/>
        <v>1</v>
      </c>
      <c r="H5">
        <v>8</v>
      </c>
      <c r="I5">
        <v>4</v>
      </c>
      <c r="J5">
        <f t="shared" si="1"/>
        <v>4</v>
      </c>
      <c r="L5" s="1" t="s">
        <v>13</v>
      </c>
      <c r="M5" t="s">
        <v>495</v>
      </c>
      <c r="N5" s="3">
        <v>31</v>
      </c>
      <c r="O5">
        <v>17</v>
      </c>
      <c r="P5">
        <v>10</v>
      </c>
      <c r="Q5">
        <v>1</v>
      </c>
      <c r="R5">
        <f t="shared" si="2"/>
        <v>6</v>
      </c>
      <c r="S5">
        <v>29</v>
      </c>
      <c r="T5">
        <v>22</v>
      </c>
      <c r="U5">
        <f t="shared" si="3"/>
        <v>7</v>
      </c>
    </row>
    <row r="6" spans="1:24" x14ac:dyDescent="0.3">
      <c r="A6" s="4" t="s">
        <v>14</v>
      </c>
      <c r="B6" t="s">
        <v>490</v>
      </c>
      <c r="C6" s="3">
        <v>11</v>
      </c>
      <c r="D6">
        <v>7</v>
      </c>
      <c r="E6">
        <v>3</v>
      </c>
      <c r="F6">
        <v>2</v>
      </c>
      <c r="G6">
        <f t="shared" si="0"/>
        <v>2</v>
      </c>
      <c r="H6">
        <v>7</v>
      </c>
      <c r="I6">
        <v>6</v>
      </c>
      <c r="J6">
        <f t="shared" si="1"/>
        <v>1</v>
      </c>
      <c r="L6" t="s">
        <v>14</v>
      </c>
      <c r="M6" t="s">
        <v>496</v>
      </c>
      <c r="N6" s="3">
        <v>29</v>
      </c>
      <c r="O6">
        <v>17</v>
      </c>
      <c r="P6">
        <v>9</v>
      </c>
      <c r="Q6">
        <v>2</v>
      </c>
      <c r="R6">
        <f t="shared" si="2"/>
        <v>6</v>
      </c>
      <c r="S6">
        <v>20</v>
      </c>
      <c r="T6">
        <v>20</v>
      </c>
      <c r="U6">
        <f t="shared" si="3"/>
        <v>0</v>
      </c>
    </row>
    <row r="7" spans="1:24" x14ac:dyDescent="0.3">
      <c r="A7" s="4" t="s">
        <v>15</v>
      </c>
      <c r="B7" t="s">
        <v>254</v>
      </c>
      <c r="C7" s="3">
        <v>10</v>
      </c>
      <c r="D7">
        <v>7</v>
      </c>
      <c r="E7">
        <v>2</v>
      </c>
      <c r="F7">
        <v>4</v>
      </c>
      <c r="G7">
        <f t="shared" si="0"/>
        <v>1</v>
      </c>
      <c r="H7">
        <v>2</v>
      </c>
      <c r="I7">
        <v>1</v>
      </c>
      <c r="J7">
        <f t="shared" si="1"/>
        <v>1</v>
      </c>
      <c r="L7" t="s">
        <v>15</v>
      </c>
      <c r="M7" t="s">
        <v>497</v>
      </c>
      <c r="N7" s="3">
        <v>28</v>
      </c>
      <c r="O7">
        <v>17</v>
      </c>
      <c r="P7">
        <v>8</v>
      </c>
      <c r="Q7">
        <v>4</v>
      </c>
      <c r="R7">
        <f t="shared" si="2"/>
        <v>5</v>
      </c>
      <c r="S7">
        <v>27</v>
      </c>
      <c r="T7">
        <v>25</v>
      </c>
      <c r="U7">
        <f t="shared" si="3"/>
        <v>2</v>
      </c>
    </row>
    <row r="8" spans="1:24" x14ac:dyDescent="0.3">
      <c r="A8" s="4" t="s">
        <v>16</v>
      </c>
      <c r="B8" t="s">
        <v>491</v>
      </c>
      <c r="C8" s="3">
        <v>8</v>
      </c>
      <c r="D8">
        <v>7</v>
      </c>
      <c r="E8">
        <v>2</v>
      </c>
      <c r="F8">
        <v>2</v>
      </c>
      <c r="G8">
        <f t="shared" si="0"/>
        <v>3</v>
      </c>
      <c r="H8">
        <v>8</v>
      </c>
      <c r="I8">
        <v>7</v>
      </c>
      <c r="J8">
        <f t="shared" si="1"/>
        <v>1</v>
      </c>
      <c r="L8" t="s">
        <v>16</v>
      </c>
      <c r="M8" t="s">
        <v>498</v>
      </c>
      <c r="N8" s="3">
        <v>27</v>
      </c>
      <c r="O8">
        <v>17</v>
      </c>
      <c r="P8">
        <v>8</v>
      </c>
      <c r="Q8">
        <v>3</v>
      </c>
      <c r="R8">
        <f t="shared" si="2"/>
        <v>6</v>
      </c>
      <c r="S8">
        <v>22</v>
      </c>
      <c r="T8">
        <v>22</v>
      </c>
      <c r="U8">
        <f t="shared" si="3"/>
        <v>0</v>
      </c>
    </row>
    <row r="9" spans="1:24" x14ac:dyDescent="0.3">
      <c r="A9" t="s">
        <v>17</v>
      </c>
      <c r="B9" t="s">
        <v>492</v>
      </c>
      <c r="C9" s="3">
        <v>8</v>
      </c>
      <c r="D9">
        <v>7</v>
      </c>
      <c r="E9">
        <v>2</v>
      </c>
      <c r="F9">
        <v>2</v>
      </c>
      <c r="G9">
        <f t="shared" si="0"/>
        <v>3</v>
      </c>
      <c r="H9">
        <v>4</v>
      </c>
      <c r="I9">
        <v>4</v>
      </c>
      <c r="J9">
        <f t="shared" si="1"/>
        <v>0</v>
      </c>
      <c r="L9" t="s">
        <v>17</v>
      </c>
      <c r="M9" t="s">
        <v>499</v>
      </c>
      <c r="N9" s="3">
        <v>24</v>
      </c>
      <c r="O9">
        <v>17</v>
      </c>
      <c r="P9">
        <v>7</v>
      </c>
      <c r="Q9">
        <v>3</v>
      </c>
      <c r="R9">
        <f t="shared" si="2"/>
        <v>7</v>
      </c>
      <c r="S9">
        <v>24</v>
      </c>
      <c r="T9">
        <v>24</v>
      </c>
      <c r="U9">
        <f t="shared" si="3"/>
        <v>0</v>
      </c>
    </row>
    <row r="10" spans="1:24" x14ac:dyDescent="0.3">
      <c r="A10" s="2" t="s">
        <v>18</v>
      </c>
      <c r="B10" t="s">
        <v>476</v>
      </c>
      <c r="C10" s="3">
        <v>4</v>
      </c>
      <c r="D10">
        <v>7</v>
      </c>
      <c r="E10">
        <v>1</v>
      </c>
      <c r="F10">
        <v>1</v>
      </c>
      <c r="G10">
        <f t="shared" si="0"/>
        <v>5</v>
      </c>
      <c r="H10">
        <v>1</v>
      </c>
      <c r="I10">
        <v>8</v>
      </c>
      <c r="J10">
        <f t="shared" si="1"/>
        <v>-7</v>
      </c>
      <c r="L10" t="s">
        <v>18</v>
      </c>
      <c r="M10" t="s">
        <v>468</v>
      </c>
      <c r="N10" s="3">
        <v>24</v>
      </c>
      <c r="O10">
        <v>17</v>
      </c>
      <c r="P10">
        <v>7</v>
      </c>
      <c r="Q10">
        <v>3</v>
      </c>
      <c r="R10">
        <f t="shared" si="2"/>
        <v>7</v>
      </c>
      <c r="S10">
        <v>23</v>
      </c>
      <c r="T10">
        <v>23</v>
      </c>
      <c r="U10">
        <f t="shared" si="3"/>
        <v>0</v>
      </c>
    </row>
    <row r="11" spans="1:24" x14ac:dyDescent="0.3">
      <c r="L11" t="s">
        <v>55</v>
      </c>
      <c r="M11" t="s">
        <v>500</v>
      </c>
      <c r="N11" s="3">
        <v>23</v>
      </c>
      <c r="O11">
        <v>17</v>
      </c>
      <c r="P11">
        <v>7</v>
      </c>
      <c r="Q11">
        <v>2</v>
      </c>
      <c r="R11">
        <f t="shared" si="2"/>
        <v>8</v>
      </c>
      <c r="S11">
        <v>30</v>
      </c>
      <c r="T11">
        <v>29</v>
      </c>
      <c r="U11">
        <f t="shared" si="3"/>
        <v>1</v>
      </c>
    </row>
    <row r="12" spans="1:24" x14ac:dyDescent="0.3">
      <c r="A12" t="s">
        <v>78</v>
      </c>
      <c r="L12" t="s">
        <v>56</v>
      </c>
      <c r="M12" t="s">
        <v>182</v>
      </c>
      <c r="N12" s="3">
        <v>23</v>
      </c>
      <c r="O12">
        <v>17</v>
      </c>
      <c r="P12">
        <v>7</v>
      </c>
      <c r="Q12">
        <v>2</v>
      </c>
      <c r="R12">
        <f t="shared" si="2"/>
        <v>8</v>
      </c>
      <c r="S12">
        <v>22</v>
      </c>
      <c r="T12">
        <v>21</v>
      </c>
      <c r="U12">
        <f t="shared" si="3"/>
        <v>1</v>
      </c>
    </row>
    <row r="13" spans="1:24" x14ac:dyDescent="0.3">
      <c r="A13" t="str">
        <f>B8</f>
        <v>Náutico</v>
      </c>
      <c r="B13" t="s">
        <v>75</v>
      </c>
      <c r="C13" t="str">
        <f>B5</f>
        <v>Sport</v>
      </c>
      <c r="E13" t="str">
        <f>B5</f>
        <v>Sport</v>
      </c>
      <c r="F13" t="s">
        <v>31</v>
      </c>
      <c r="G13" t="str">
        <f>B8</f>
        <v>Náutico</v>
      </c>
      <c r="L13" t="s">
        <v>57</v>
      </c>
      <c r="M13" t="s">
        <v>501</v>
      </c>
      <c r="N13" s="3">
        <v>22</v>
      </c>
      <c r="O13">
        <v>17</v>
      </c>
      <c r="P13">
        <v>7</v>
      </c>
      <c r="Q13">
        <v>1</v>
      </c>
      <c r="R13">
        <f t="shared" si="2"/>
        <v>9</v>
      </c>
      <c r="S13">
        <v>21</v>
      </c>
      <c r="T13">
        <v>27</v>
      </c>
      <c r="U13">
        <f t="shared" si="3"/>
        <v>-6</v>
      </c>
    </row>
    <row r="14" spans="1:24" x14ac:dyDescent="0.3">
      <c r="A14" t="str">
        <f>B7</f>
        <v>Santa Cruz</v>
      </c>
      <c r="B14" t="s">
        <v>33</v>
      </c>
      <c r="C14" t="str">
        <f>B6</f>
        <v>Decisão</v>
      </c>
      <c r="E14" t="str">
        <f>B6</f>
        <v>Decisão</v>
      </c>
      <c r="F14" t="s">
        <v>30</v>
      </c>
      <c r="G14" t="str">
        <f>B7</f>
        <v>Santa Cruz</v>
      </c>
      <c r="L14" t="s">
        <v>58</v>
      </c>
      <c r="M14" t="s">
        <v>502</v>
      </c>
      <c r="N14" s="3">
        <v>22</v>
      </c>
      <c r="O14">
        <v>17</v>
      </c>
      <c r="P14">
        <v>6</v>
      </c>
      <c r="Q14">
        <v>4</v>
      </c>
      <c r="R14">
        <f t="shared" si="2"/>
        <v>7</v>
      </c>
      <c r="S14">
        <v>28</v>
      </c>
      <c r="T14">
        <v>30</v>
      </c>
      <c r="U14">
        <f t="shared" si="3"/>
        <v>-2</v>
      </c>
    </row>
    <row r="15" spans="1:24" x14ac:dyDescent="0.3">
      <c r="L15" t="s">
        <v>91</v>
      </c>
      <c r="M15" t="s">
        <v>503</v>
      </c>
      <c r="N15" s="3">
        <v>20</v>
      </c>
      <c r="O15">
        <v>17</v>
      </c>
      <c r="P15">
        <v>6</v>
      </c>
      <c r="Q15">
        <v>2</v>
      </c>
      <c r="R15">
        <f t="shared" si="2"/>
        <v>9</v>
      </c>
      <c r="S15">
        <v>27</v>
      </c>
      <c r="T15">
        <v>29</v>
      </c>
      <c r="U15">
        <f t="shared" si="3"/>
        <v>-2</v>
      </c>
    </row>
    <row r="16" spans="1:24" x14ac:dyDescent="0.3">
      <c r="A16" t="s">
        <v>49</v>
      </c>
      <c r="L16" t="s">
        <v>92</v>
      </c>
      <c r="M16" t="s">
        <v>504</v>
      </c>
      <c r="N16" s="3">
        <v>20</v>
      </c>
      <c r="O16">
        <v>17</v>
      </c>
      <c r="P16">
        <v>6</v>
      </c>
      <c r="Q16">
        <v>2</v>
      </c>
      <c r="R16">
        <f t="shared" si="2"/>
        <v>9</v>
      </c>
      <c r="S16">
        <v>23</v>
      </c>
      <c r="T16">
        <v>30</v>
      </c>
      <c r="U16">
        <f t="shared" si="3"/>
        <v>-7</v>
      </c>
    </row>
    <row r="17" spans="1:21" x14ac:dyDescent="0.3">
      <c r="A17" t="s">
        <v>490</v>
      </c>
      <c r="B17" t="s">
        <v>28</v>
      </c>
      <c r="C17" t="str">
        <f>B3</f>
        <v>Retrô</v>
      </c>
      <c r="E17" t="str">
        <f>B3</f>
        <v>Retrô</v>
      </c>
      <c r="F17" t="s">
        <v>33</v>
      </c>
      <c r="G17" t="s">
        <v>490</v>
      </c>
      <c r="L17" t="s">
        <v>93</v>
      </c>
      <c r="M17" t="s">
        <v>476</v>
      </c>
      <c r="N17" s="3">
        <v>20</v>
      </c>
      <c r="O17">
        <v>17</v>
      </c>
      <c r="P17">
        <v>6</v>
      </c>
      <c r="Q17">
        <v>2</v>
      </c>
      <c r="R17">
        <f t="shared" si="2"/>
        <v>9</v>
      </c>
      <c r="S17">
        <v>20</v>
      </c>
      <c r="T17">
        <v>28</v>
      </c>
      <c r="U17">
        <f t="shared" si="3"/>
        <v>-8</v>
      </c>
    </row>
    <row r="18" spans="1:21" x14ac:dyDescent="0.3">
      <c r="A18" t="s">
        <v>489</v>
      </c>
      <c r="B18" t="s">
        <v>75</v>
      </c>
      <c r="C18" t="str">
        <f>B4</f>
        <v>Maguary</v>
      </c>
      <c r="E18" t="str">
        <f>B4</f>
        <v>Maguary</v>
      </c>
      <c r="F18" t="s">
        <v>48</v>
      </c>
      <c r="G18" t="s">
        <v>489</v>
      </c>
      <c r="L18" t="s">
        <v>94</v>
      </c>
      <c r="M18" t="s">
        <v>266</v>
      </c>
      <c r="N18" s="3">
        <v>19</v>
      </c>
      <c r="O18">
        <v>17</v>
      </c>
      <c r="P18">
        <v>5</v>
      </c>
      <c r="Q18">
        <v>4</v>
      </c>
      <c r="R18">
        <f t="shared" si="2"/>
        <v>8</v>
      </c>
      <c r="S18">
        <v>21</v>
      </c>
      <c r="T18">
        <v>29</v>
      </c>
      <c r="U18">
        <f t="shared" si="3"/>
        <v>-8</v>
      </c>
    </row>
    <row r="19" spans="1:21" x14ac:dyDescent="0.3">
      <c r="L19" t="s">
        <v>493</v>
      </c>
      <c r="M19" t="s">
        <v>246</v>
      </c>
      <c r="N19" s="3">
        <v>18</v>
      </c>
      <c r="O19">
        <v>17</v>
      </c>
      <c r="P19">
        <v>6</v>
      </c>
      <c r="Q19">
        <v>0</v>
      </c>
      <c r="R19">
        <f t="shared" si="2"/>
        <v>11</v>
      </c>
      <c r="S19">
        <v>24</v>
      </c>
      <c r="T19">
        <v>25</v>
      </c>
      <c r="U19">
        <f t="shared" si="3"/>
        <v>-1</v>
      </c>
    </row>
    <row r="20" spans="1:21" x14ac:dyDescent="0.3">
      <c r="A20" t="s">
        <v>19</v>
      </c>
      <c r="L20" t="s">
        <v>494</v>
      </c>
      <c r="M20" t="s">
        <v>505</v>
      </c>
      <c r="N20" s="3">
        <v>18</v>
      </c>
      <c r="O20">
        <v>17</v>
      </c>
      <c r="P20">
        <v>5</v>
      </c>
      <c r="Q20">
        <v>3</v>
      </c>
      <c r="R20">
        <f t="shared" si="2"/>
        <v>9</v>
      </c>
      <c r="S20">
        <v>22</v>
      </c>
      <c r="T20">
        <v>27</v>
      </c>
      <c r="U20">
        <f t="shared" si="3"/>
        <v>-5</v>
      </c>
    </row>
    <row r="21" spans="1:21" x14ac:dyDescent="0.3">
      <c r="A21" t="s">
        <v>488</v>
      </c>
      <c r="B21" t="s">
        <v>33</v>
      </c>
      <c r="C21" t="s">
        <v>490</v>
      </c>
      <c r="E21" t="s">
        <v>490</v>
      </c>
      <c r="F21" t="s">
        <v>75</v>
      </c>
      <c r="G21" t="s">
        <v>488</v>
      </c>
    </row>
    <row r="23" spans="1:21" x14ac:dyDescent="0.3">
      <c r="A23" t="s">
        <v>113</v>
      </c>
    </row>
    <row r="24" spans="1:21" x14ac:dyDescent="0.3">
      <c r="A24" t="s">
        <v>490</v>
      </c>
    </row>
    <row r="25" spans="1:21" x14ac:dyDescent="0.3">
      <c r="A25" t="s">
        <v>488</v>
      </c>
    </row>
    <row r="27" spans="1:21" x14ac:dyDescent="0.3">
      <c r="A27" t="s">
        <v>114</v>
      </c>
    </row>
    <row r="28" spans="1:21" x14ac:dyDescent="0.3">
      <c r="A28" t="s">
        <v>490</v>
      </c>
    </row>
    <row r="29" spans="1:21" x14ac:dyDescent="0.3">
      <c r="A29" t="s">
        <v>488</v>
      </c>
    </row>
    <row r="30" spans="1:21" x14ac:dyDescent="0.3">
      <c r="A30" t="s">
        <v>487</v>
      </c>
    </row>
    <row r="31" spans="1:21" x14ac:dyDescent="0.3">
      <c r="A31" t="s">
        <v>489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5538-83EE-48A9-82F1-0E23BA167B9E}">
  <dimension ref="A1:X26"/>
  <sheetViews>
    <sheetView topLeftCell="D1" workbookViewId="0">
      <selection activeCell="L1" sqref="L1:U14"/>
    </sheetView>
  </sheetViews>
  <sheetFormatPr defaultRowHeight="14.4" x14ac:dyDescent="0.3"/>
  <sheetData>
    <row r="1" spans="1:24" x14ac:dyDescent="0.3">
      <c r="A1" t="s">
        <v>687</v>
      </c>
      <c r="L1" t="s">
        <v>694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688</v>
      </c>
      <c r="X2">
        <v>1</v>
      </c>
    </row>
    <row r="3" spans="1:24" x14ac:dyDescent="0.3">
      <c r="A3" s="1" t="s">
        <v>11</v>
      </c>
      <c r="B3" t="s">
        <v>688</v>
      </c>
      <c r="C3" s="3">
        <v>11</v>
      </c>
      <c r="D3">
        <v>7</v>
      </c>
      <c r="E3">
        <v>3</v>
      </c>
      <c r="F3">
        <v>2</v>
      </c>
      <c r="G3">
        <f>D3-E3-F3</f>
        <v>2</v>
      </c>
      <c r="H3">
        <v>8</v>
      </c>
      <c r="I3">
        <v>7</v>
      </c>
      <c r="J3">
        <f>H3-I3</f>
        <v>1</v>
      </c>
      <c r="L3" s="1" t="s">
        <v>11</v>
      </c>
      <c r="M3" t="s">
        <v>89</v>
      </c>
      <c r="N3" s="3">
        <v>10</v>
      </c>
      <c r="O3">
        <v>5</v>
      </c>
      <c r="P3">
        <v>3</v>
      </c>
      <c r="Q3">
        <v>1</v>
      </c>
      <c r="R3">
        <f>O3-P3-Q3</f>
        <v>1</v>
      </c>
      <c r="S3">
        <v>9</v>
      </c>
      <c r="T3">
        <v>5</v>
      </c>
      <c r="U3">
        <f>S3-T3</f>
        <v>4</v>
      </c>
      <c r="W3" t="s">
        <v>695</v>
      </c>
      <c r="X3">
        <v>3</v>
      </c>
    </row>
    <row r="4" spans="1:24" x14ac:dyDescent="0.3">
      <c r="A4" s="1" t="s">
        <v>12</v>
      </c>
      <c r="B4" t="s">
        <v>266</v>
      </c>
      <c r="C4" s="3">
        <v>10</v>
      </c>
      <c r="D4">
        <v>7</v>
      </c>
      <c r="E4">
        <v>3</v>
      </c>
      <c r="F4">
        <v>1</v>
      </c>
      <c r="G4">
        <f t="shared" ref="G4:G10" si="0">D4-E4-F4</f>
        <v>3</v>
      </c>
      <c r="H4">
        <v>7</v>
      </c>
      <c r="I4">
        <v>7</v>
      </c>
      <c r="J4">
        <f t="shared" ref="J4:J10" si="1">H4-I4</f>
        <v>0</v>
      </c>
      <c r="L4" s="1" t="s">
        <v>12</v>
      </c>
      <c r="M4" t="s">
        <v>695</v>
      </c>
      <c r="N4" s="3">
        <v>9</v>
      </c>
      <c r="O4">
        <v>5</v>
      </c>
      <c r="P4">
        <v>3</v>
      </c>
      <c r="Q4">
        <v>0</v>
      </c>
      <c r="R4">
        <f t="shared" ref="R4:R8" si="2">O4-P4-Q4</f>
        <v>2</v>
      </c>
      <c r="S4">
        <v>9</v>
      </c>
      <c r="T4">
        <v>6</v>
      </c>
      <c r="U4">
        <f t="shared" ref="U4:U8" si="3">S4-T4</f>
        <v>3</v>
      </c>
    </row>
    <row r="5" spans="1:24" x14ac:dyDescent="0.3">
      <c r="A5" s="1" t="s">
        <v>13</v>
      </c>
      <c r="B5" t="s">
        <v>689</v>
      </c>
      <c r="C5" s="3">
        <v>10</v>
      </c>
      <c r="D5">
        <v>7</v>
      </c>
      <c r="E5">
        <v>2</v>
      </c>
      <c r="F5">
        <v>4</v>
      </c>
      <c r="G5">
        <f t="shared" si="0"/>
        <v>1</v>
      </c>
      <c r="H5">
        <v>7</v>
      </c>
      <c r="I5">
        <v>5</v>
      </c>
      <c r="J5">
        <f t="shared" si="1"/>
        <v>2</v>
      </c>
      <c r="L5" s="1" t="s">
        <v>13</v>
      </c>
      <c r="M5" t="s">
        <v>696</v>
      </c>
      <c r="N5" s="3">
        <v>7</v>
      </c>
      <c r="O5">
        <v>5</v>
      </c>
      <c r="P5">
        <v>2</v>
      </c>
      <c r="Q5">
        <v>1</v>
      </c>
      <c r="R5">
        <f t="shared" si="2"/>
        <v>2</v>
      </c>
      <c r="S5">
        <v>9</v>
      </c>
      <c r="T5">
        <v>6</v>
      </c>
      <c r="U5">
        <f t="shared" si="3"/>
        <v>3</v>
      </c>
    </row>
    <row r="6" spans="1:24" x14ac:dyDescent="0.3">
      <c r="A6" s="1" t="s">
        <v>14</v>
      </c>
      <c r="B6" t="s">
        <v>690</v>
      </c>
      <c r="C6" s="3">
        <v>10</v>
      </c>
      <c r="D6">
        <v>7</v>
      </c>
      <c r="E6">
        <v>2</v>
      </c>
      <c r="F6">
        <v>4</v>
      </c>
      <c r="G6">
        <f t="shared" si="0"/>
        <v>1</v>
      </c>
      <c r="H6">
        <v>7</v>
      </c>
      <c r="I6">
        <v>5</v>
      </c>
      <c r="J6">
        <f t="shared" si="1"/>
        <v>2</v>
      </c>
      <c r="L6" s="1" t="s">
        <v>14</v>
      </c>
      <c r="M6" t="s">
        <v>697</v>
      </c>
      <c r="N6" s="3">
        <v>7</v>
      </c>
      <c r="O6">
        <v>5</v>
      </c>
      <c r="P6">
        <v>2</v>
      </c>
      <c r="Q6">
        <v>1</v>
      </c>
      <c r="R6">
        <f t="shared" si="2"/>
        <v>2</v>
      </c>
      <c r="S6">
        <v>4</v>
      </c>
      <c r="T6">
        <v>6</v>
      </c>
      <c r="U6">
        <f t="shared" si="3"/>
        <v>-2</v>
      </c>
    </row>
    <row r="7" spans="1:24" x14ac:dyDescent="0.3">
      <c r="A7" t="s">
        <v>15</v>
      </c>
      <c r="B7" t="s">
        <v>691</v>
      </c>
      <c r="C7" s="3">
        <v>10</v>
      </c>
      <c r="D7">
        <v>7</v>
      </c>
      <c r="E7">
        <v>2</v>
      </c>
      <c r="F7">
        <v>4</v>
      </c>
      <c r="G7">
        <f t="shared" si="0"/>
        <v>1</v>
      </c>
      <c r="H7">
        <v>8</v>
      </c>
      <c r="I7">
        <v>8</v>
      </c>
      <c r="J7">
        <f t="shared" si="1"/>
        <v>0</v>
      </c>
      <c r="L7" t="s">
        <v>15</v>
      </c>
      <c r="M7" t="s">
        <v>698</v>
      </c>
      <c r="N7" s="3">
        <v>6</v>
      </c>
      <c r="O7">
        <v>5</v>
      </c>
      <c r="P7">
        <v>2</v>
      </c>
      <c r="Q7">
        <v>0</v>
      </c>
      <c r="R7">
        <f t="shared" si="2"/>
        <v>3</v>
      </c>
      <c r="S7">
        <v>7</v>
      </c>
      <c r="T7">
        <v>11</v>
      </c>
      <c r="U7">
        <f t="shared" si="3"/>
        <v>-4</v>
      </c>
    </row>
    <row r="8" spans="1:24" x14ac:dyDescent="0.3">
      <c r="A8" t="s">
        <v>16</v>
      </c>
      <c r="B8" t="s">
        <v>200</v>
      </c>
      <c r="C8" s="3">
        <v>9</v>
      </c>
      <c r="D8">
        <v>7</v>
      </c>
      <c r="E8">
        <v>2</v>
      </c>
      <c r="F8">
        <v>3</v>
      </c>
      <c r="G8">
        <f t="shared" si="0"/>
        <v>2</v>
      </c>
      <c r="H8">
        <v>3</v>
      </c>
      <c r="I8">
        <v>4</v>
      </c>
      <c r="J8">
        <f t="shared" si="1"/>
        <v>-1</v>
      </c>
      <c r="L8" t="s">
        <v>16</v>
      </c>
      <c r="M8" t="s">
        <v>163</v>
      </c>
      <c r="N8" s="3">
        <v>4</v>
      </c>
      <c r="O8">
        <v>5</v>
      </c>
      <c r="P8">
        <v>1</v>
      </c>
      <c r="Q8">
        <v>1</v>
      </c>
      <c r="R8">
        <f t="shared" si="2"/>
        <v>3</v>
      </c>
      <c r="S8">
        <v>4</v>
      </c>
      <c r="T8">
        <v>8</v>
      </c>
      <c r="U8">
        <f t="shared" si="3"/>
        <v>-4</v>
      </c>
    </row>
    <row r="9" spans="1:24" x14ac:dyDescent="0.3">
      <c r="A9" s="2" t="s">
        <v>17</v>
      </c>
      <c r="B9" t="s">
        <v>692</v>
      </c>
      <c r="C9" s="3">
        <v>8</v>
      </c>
      <c r="D9">
        <v>7</v>
      </c>
      <c r="E9">
        <v>2</v>
      </c>
      <c r="F9">
        <v>2</v>
      </c>
      <c r="G9">
        <f t="shared" si="0"/>
        <v>3</v>
      </c>
      <c r="H9">
        <v>6</v>
      </c>
      <c r="I9">
        <v>7</v>
      </c>
      <c r="J9">
        <f t="shared" si="1"/>
        <v>-1</v>
      </c>
    </row>
    <row r="10" spans="1:24" x14ac:dyDescent="0.3">
      <c r="A10" s="2" t="s">
        <v>18</v>
      </c>
      <c r="B10" t="s">
        <v>693</v>
      </c>
      <c r="C10" s="3">
        <v>5</v>
      </c>
      <c r="D10">
        <v>7</v>
      </c>
      <c r="E10">
        <v>1</v>
      </c>
      <c r="F10">
        <v>2</v>
      </c>
      <c r="G10">
        <f t="shared" si="0"/>
        <v>4</v>
      </c>
      <c r="H10">
        <v>4</v>
      </c>
      <c r="I10">
        <v>7</v>
      </c>
      <c r="J10">
        <f t="shared" si="1"/>
        <v>-3</v>
      </c>
      <c r="L10" t="s">
        <v>49</v>
      </c>
    </row>
    <row r="11" spans="1:24" x14ac:dyDescent="0.3">
      <c r="L11" t="str">
        <f>M6</f>
        <v>Caiçara</v>
      </c>
      <c r="M11" t="s">
        <v>28</v>
      </c>
      <c r="N11" t="str">
        <f>M3</f>
        <v>Flamengo</v>
      </c>
      <c r="P11" t="str">
        <f>M3</f>
        <v>Flamengo</v>
      </c>
      <c r="Q11" t="s">
        <v>73</v>
      </c>
      <c r="R11" t="str">
        <f>M6</f>
        <v>Caiçara</v>
      </c>
    </row>
    <row r="12" spans="1:24" x14ac:dyDescent="0.3">
      <c r="A12" t="s">
        <v>49</v>
      </c>
      <c r="L12" t="str">
        <f>M5</f>
        <v>River</v>
      </c>
      <c r="M12" t="s">
        <v>29</v>
      </c>
      <c r="N12" t="str">
        <f>M4</f>
        <v>4 de Julho</v>
      </c>
      <c r="P12" t="str">
        <f>M4</f>
        <v>4 de Julho</v>
      </c>
      <c r="Q12" t="s">
        <v>75</v>
      </c>
      <c r="R12" t="str">
        <f>M5</f>
        <v>River</v>
      </c>
    </row>
    <row r="13" spans="1:24" x14ac:dyDescent="0.3">
      <c r="A13" t="str">
        <f>B6</f>
        <v>Piauí</v>
      </c>
      <c r="B13" t="s">
        <v>29</v>
      </c>
      <c r="C13" t="str">
        <f>B3</f>
        <v>Teresina</v>
      </c>
      <c r="E13" t="str">
        <f>B3</f>
        <v>Teresina</v>
      </c>
      <c r="F13" t="s">
        <v>138</v>
      </c>
      <c r="G13" t="str">
        <f>B6</f>
        <v>Piauí</v>
      </c>
    </row>
    <row r="14" spans="1:24" x14ac:dyDescent="0.3">
      <c r="A14" t="str">
        <f>B5</f>
        <v>Oeirense</v>
      </c>
      <c r="B14" t="s">
        <v>73</v>
      </c>
      <c r="C14" t="str">
        <f>B4</f>
        <v>Atlético</v>
      </c>
      <c r="E14" t="str">
        <f>B4</f>
        <v>Atlético</v>
      </c>
      <c r="F14" t="s">
        <v>32</v>
      </c>
      <c r="G14" t="str">
        <f>B5</f>
        <v>Oeirense</v>
      </c>
      <c r="L14" t="s">
        <v>19</v>
      </c>
    </row>
    <row r="15" spans="1:24" x14ac:dyDescent="0.3">
      <c r="L15" t="s">
        <v>695</v>
      </c>
      <c r="M15" t="s">
        <v>132</v>
      </c>
      <c r="N15" t="s">
        <v>697</v>
      </c>
    </row>
    <row r="16" spans="1:24" x14ac:dyDescent="0.3">
      <c r="A16" t="s">
        <v>19</v>
      </c>
    </row>
    <row r="17" spans="1:7" x14ac:dyDescent="0.3">
      <c r="A17" t="s">
        <v>688</v>
      </c>
      <c r="B17" t="s">
        <v>48</v>
      </c>
      <c r="C17" t="s">
        <v>266</v>
      </c>
      <c r="E17" t="s">
        <v>266</v>
      </c>
      <c r="F17" t="s">
        <v>28</v>
      </c>
      <c r="G17" t="s">
        <v>688</v>
      </c>
    </row>
    <row r="19" spans="1:7" x14ac:dyDescent="0.3">
      <c r="A19" t="s">
        <v>113</v>
      </c>
    </row>
    <row r="20" spans="1:7" x14ac:dyDescent="0.3">
      <c r="A20" t="s">
        <v>688</v>
      </c>
    </row>
    <row r="21" spans="1:7" x14ac:dyDescent="0.3">
      <c r="A21" t="s">
        <v>266</v>
      </c>
    </row>
    <row r="23" spans="1:7" x14ac:dyDescent="0.3">
      <c r="A23" t="s">
        <v>114</v>
      </c>
    </row>
    <row r="24" spans="1:7" x14ac:dyDescent="0.3">
      <c r="A24" t="s">
        <v>688</v>
      </c>
    </row>
    <row r="25" spans="1:7" x14ac:dyDescent="0.3">
      <c r="A25" t="s">
        <v>266</v>
      </c>
    </row>
    <row r="26" spans="1:7" x14ac:dyDescent="0.3">
      <c r="A26" t="s">
        <v>690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78EF-089F-4D0D-93F4-54FF27193408}">
  <dimension ref="A1:AT50"/>
  <sheetViews>
    <sheetView topLeftCell="X8" workbookViewId="0">
      <selection activeCell="AH1" sqref="AH1:AQ30"/>
    </sheetView>
  </sheetViews>
  <sheetFormatPr defaultRowHeight="14.4" x14ac:dyDescent="0.3"/>
  <sheetData>
    <row r="1" spans="1:46" x14ac:dyDescent="0.3">
      <c r="A1" t="s">
        <v>338</v>
      </c>
      <c r="L1" t="s">
        <v>353</v>
      </c>
      <c r="W1" t="s">
        <v>362</v>
      </c>
      <c r="AH1" t="s">
        <v>352</v>
      </c>
      <c r="AS1" t="s">
        <v>50</v>
      </c>
    </row>
    <row r="2" spans="1:46" x14ac:dyDescent="0.3">
      <c r="A2" t="s">
        <v>35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35</v>
      </c>
      <c r="AH2" t="s">
        <v>35</v>
      </c>
      <c r="AS2" t="s">
        <v>345</v>
      </c>
      <c r="AT2">
        <v>1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11</v>
      </c>
      <c r="M3" t="s">
        <v>151</v>
      </c>
      <c r="N3" s="3">
        <v>21</v>
      </c>
      <c r="O3">
        <v>9</v>
      </c>
      <c r="P3">
        <v>7</v>
      </c>
      <c r="Q3">
        <v>0</v>
      </c>
      <c r="R3">
        <f>O3-P3-Q3</f>
        <v>2</v>
      </c>
      <c r="S3">
        <v>21</v>
      </c>
      <c r="T3">
        <v>11</v>
      </c>
      <c r="U3">
        <f>S3-T3</f>
        <v>10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S3" t="s">
        <v>357</v>
      </c>
      <c r="AT3">
        <v>1</v>
      </c>
    </row>
    <row r="4" spans="1:46" x14ac:dyDescent="0.3">
      <c r="A4" s="1" t="s">
        <v>11</v>
      </c>
      <c r="B4" t="s">
        <v>339</v>
      </c>
      <c r="C4" s="3">
        <v>10</v>
      </c>
      <c r="D4">
        <v>6</v>
      </c>
      <c r="E4">
        <v>3</v>
      </c>
      <c r="F4">
        <v>1</v>
      </c>
      <c r="G4">
        <f>D4-E4-F4</f>
        <v>2</v>
      </c>
      <c r="H4">
        <v>7</v>
      </c>
      <c r="I4">
        <v>4</v>
      </c>
      <c r="J4">
        <f>H4-I4</f>
        <v>3</v>
      </c>
      <c r="L4" s="1" t="s">
        <v>12</v>
      </c>
      <c r="M4" t="s">
        <v>354</v>
      </c>
      <c r="N4" s="3">
        <v>19</v>
      </c>
      <c r="O4">
        <v>9</v>
      </c>
      <c r="P4">
        <v>6</v>
      </c>
      <c r="Q4">
        <v>1</v>
      </c>
      <c r="R4">
        <f t="shared" ref="R4:R12" si="0">O4-P4-Q4</f>
        <v>2</v>
      </c>
      <c r="S4">
        <v>18</v>
      </c>
      <c r="T4">
        <v>12</v>
      </c>
      <c r="U4">
        <f t="shared" ref="U4:U12" si="1">S4-T4</f>
        <v>6</v>
      </c>
      <c r="W4" s="1" t="s">
        <v>11</v>
      </c>
      <c r="X4" t="s">
        <v>363</v>
      </c>
      <c r="Y4" s="3">
        <v>12</v>
      </c>
      <c r="Z4">
        <v>6</v>
      </c>
      <c r="AA4">
        <v>3</v>
      </c>
      <c r="AB4">
        <v>3</v>
      </c>
      <c r="AC4">
        <f>Z4-AA4-AB4</f>
        <v>0</v>
      </c>
      <c r="AD4">
        <v>8</v>
      </c>
      <c r="AE4">
        <v>5</v>
      </c>
      <c r="AF4">
        <f>AD4-AE4</f>
        <v>3</v>
      </c>
      <c r="AH4" s="1" t="s">
        <v>11</v>
      </c>
      <c r="AI4" t="s">
        <v>344</v>
      </c>
      <c r="AJ4" s="3">
        <v>12</v>
      </c>
      <c r="AK4">
        <v>5</v>
      </c>
      <c r="AL4">
        <v>4</v>
      </c>
      <c r="AM4">
        <v>0</v>
      </c>
      <c r="AN4">
        <f>AK4-AL4-AM4</f>
        <v>1</v>
      </c>
      <c r="AO4">
        <v>7</v>
      </c>
      <c r="AP4">
        <v>3</v>
      </c>
      <c r="AQ4">
        <f>AO4-AP4</f>
        <v>4</v>
      </c>
      <c r="AS4" t="s">
        <v>37</v>
      </c>
      <c r="AT4">
        <v>1</v>
      </c>
    </row>
    <row r="5" spans="1:46" x14ac:dyDescent="0.3">
      <c r="A5" s="1" t="s">
        <v>12</v>
      </c>
      <c r="B5" t="s">
        <v>340</v>
      </c>
      <c r="C5" s="3">
        <v>9</v>
      </c>
      <c r="D5">
        <v>6</v>
      </c>
      <c r="E5">
        <v>3</v>
      </c>
      <c r="F5">
        <v>0</v>
      </c>
      <c r="G5">
        <f t="shared" ref="G5:G9" si="2">D5-E5-F5</f>
        <v>3</v>
      </c>
      <c r="H5">
        <v>6</v>
      </c>
      <c r="I5">
        <v>7</v>
      </c>
      <c r="J5">
        <f t="shared" ref="J5:J9" si="3">H5-I5</f>
        <v>-1</v>
      </c>
      <c r="L5" s="1" t="s">
        <v>13</v>
      </c>
      <c r="M5" t="s">
        <v>169</v>
      </c>
      <c r="N5" s="3">
        <v>18</v>
      </c>
      <c r="O5">
        <v>9</v>
      </c>
      <c r="P5">
        <v>6</v>
      </c>
      <c r="Q5">
        <v>0</v>
      </c>
      <c r="R5">
        <f t="shared" si="0"/>
        <v>3</v>
      </c>
      <c r="S5">
        <v>15</v>
      </c>
      <c r="T5">
        <v>11</v>
      </c>
      <c r="U5">
        <f t="shared" si="1"/>
        <v>4</v>
      </c>
      <c r="W5" s="1" t="s">
        <v>12</v>
      </c>
      <c r="X5" t="s">
        <v>364</v>
      </c>
      <c r="Y5" s="3">
        <v>11</v>
      </c>
      <c r="Z5">
        <v>6</v>
      </c>
      <c r="AA5">
        <v>3</v>
      </c>
      <c r="AB5">
        <v>2</v>
      </c>
      <c r="AC5">
        <f t="shared" ref="AC5:AC7" si="4">Z5-AA5-AB5</f>
        <v>1</v>
      </c>
      <c r="AD5">
        <v>6</v>
      </c>
      <c r="AE5">
        <v>3</v>
      </c>
      <c r="AF5">
        <f t="shared" ref="AF5:AF7" si="5">AD5-AE5</f>
        <v>3</v>
      </c>
      <c r="AH5" s="1" t="s">
        <v>12</v>
      </c>
      <c r="AI5" t="s">
        <v>342</v>
      </c>
      <c r="AJ5" s="3">
        <v>12</v>
      </c>
      <c r="AK5">
        <v>5</v>
      </c>
      <c r="AL5">
        <v>4</v>
      </c>
      <c r="AM5">
        <v>0</v>
      </c>
      <c r="AN5">
        <f t="shared" ref="AN5:AN9" si="6">AK5-AL5-AM5</f>
        <v>1</v>
      </c>
      <c r="AO5">
        <v>7</v>
      </c>
      <c r="AP5">
        <v>4</v>
      </c>
      <c r="AQ5">
        <f t="shared" ref="AQ5:AQ9" si="7">AO5-AP5</f>
        <v>3</v>
      </c>
      <c r="AS5" t="s">
        <v>151</v>
      </c>
      <c r="AT5">
        <v>1</v>
      </c>
    </row>
    <row r="6" spans="1:46" x14ac:dyDescent="0.3">
      <c r="A6" s="1" t="s">
        <v>13</v>
      </c>
      <c r="B6" t="s">
        <v>341</v>
      </c>
      <c r="C6" s="3">
        <v>9</v>
      </c>
      <c r="D6">
        <v>6</v>
      </c>
      <c r="E6">
        <v>2</v>
      </c>
      <c r="F6">
        <v>3</v>
      </c>
      <c r="G6">
        <f t="shared" si="2"/>
        <v>1</v>
      </c>
      <c r="H6">
        <v>5</v>
      </c>
      <c r="I6">
        <v>5</v>
      </c>
      <c r="J6">
        <f t="shared" si="3"/>
        <v>0</v>
      </c>
      <c r="L6" s="1" t="s">
        <v>14</v>
      </c>
      <c r="M6" t="s">
        <v>355</v>
      </c>
      <c r="N6" s="3">
        <v>16</v>
      </c>
      <c r="O6">
        <v>9</v>
      </c>
      <c r="P6">
        <v>5</v>
      </c>
      <c r="Q6">
        <v>1</v>
      </c>
      <c r="R6">
        <f t="shared" si="0"/>
        <v>3</v>
      </c>
      <c r="S6">
        <v>13</v>
      </c>
      <c r="T6">
        <v>10</v>
      </c>
      <c r="U6">
        <f t="shared" si="1"/>
        <v>3</v>
      </c>
      <c r="W6" s="1" t="s">
        <v>13</v>
      </c>
      <c r="X6" t="s">
        <v>365</v>
      </c>
      <c r="Y6" s="3">
        <v>7</v>
      </c>
      <c r="Z6">
        <v>6</v>
      </c>
      <c r="AA6">
        <v>2</v>
      </c>
      <c r="AB6">
        <v>1</v>
      </c>
      <c r="AC6">
        <f t="shared" si="4"/>
        <v>3</v>
      </c>
      <c r="AD6">
        <v>5</v>
      </c>
      <c r="AE6">
        <v>5</v>
      </c>
      <c r="AF6">
        <f t="shared" si="5"/>
        <v>0</v>
      </c>
      <c r="AH6" s="1" t="s">
        <v>13</v>
      </c>
      <c r="AI6" t="s">
        <v>359</v>
      </c>
      <c r="AJ6" s="3">
        <v>7</v>
      </c>
      <c r="AK6">
        <v>5</v>
      </c>
      <c r="AL6">
        <v>2</v>
      </c>
      <c r="AM6">
        <v>1</v>
      </c>
      <c r="AN6">
        <f t="shared" si="6"/>
        <v>2</v>
      </c>
      <c r="AO6">
        <v>4</v>
      </c>
      <c r="AP6">
        <v>3</v>
      </c>
      <c r="AQ6">
        <f t="shared" si="7"/>
        <v>1</v>
      </c>
    </row>
    <row r="7" spans="1:46" x14ac:dyDescent="0.3">
      <c r="A7" s="1" t="s">
        <v>14</v>
      </c>
      <c r="B7" t="s">
        <v>342</v>
      </c>
      <c r="C7" s="3">
        <v>8</v>
      </c>
      <c r="D7">
        <v>6</v>
      </c>
      <c r="E7">
        <v>2</v>
      </c>
      <c r="F7">
        <v>2</v>
      </c>
      <c r="G7">
        <f t="shared" si="2"/>
        <v>2</v>
      </c>
      <c r="H7">
        <v>6</v>
      </c>
      <c r="I7">
        <v>6</v>
      </c>
      <c r="J7">
        <f t="shared" si="3"/>
        <v>0</v>
      </c>
      <c r="L7" s="1" t="s">
        <v>15</v>
      </c>
      <c r="M7" t="s">
        <v>356</v>
      </c>
      <c r="N7" s="3">
        <v>15</v>
      </c>
      <c r="O7">
        <v>9</v>
      </c>
      <c r="P7">
        <v>5</v>
      </c>
      <c r="Q7">
        <v>0</v>
      </c>
      <c r="R7">
        <f t="shared" si="0"/>
        <v>4</v>
      </c>
      <c r="S7">
        <v>12</v>
      </c>
      <c r="T7">
        <v>11</v>
      </c>
      <c r="U7">
        <f t="shared" si="1"/>
        <v>1</v>
      </c>
      <c r="W7" t="s">
        <v>14</v>
      </c>
      <c r="X7" t="s">
        <v>366</v>
      </c>
      <c r="Y7" s="3">
        <v>3</v>
      </c>
      <c r="Z7">
        <v>6</v>
      </c>
      <c r="AA7">
        <v>1</v>
      </c>
      <c r="AB7">
        <v>0</v>
      </c>
      <c r="AC7">
        <f t="shared" si="4"/>
        <v>5</v>
      </c>
      <c r="AD7">
        <v>2</v>
      </c>
      <c r="AE7">
        <v>8</v>
      </c>
      <c r="AF7">
        <f t="shared" si="5"/>
        <v>-6</v>
      </c>
      <c r="AH7" s="1" t="s">
        <v>14</v>
      </c>
      <c r="AI7" t="s">
        <v>169</v>
      </c>
      <c r="AJ7" s="3">
        <v>6</v>
      </c>
      <c r="AK7">
        <v>5</v>
      </c>
      <c r="AL7">
        <v>2</v>
      </c>
      <c r="AM7">
        <v>0</v>
      </c>
      <c r="AN7">
        <f t="shared" si="6"/>
        <v>3</v>
      </c>
      <c r="AO7">
        <v>5</v>
      </c>
      <c r="AP7">
        <v>8</v>
      </c>
      <c r="AQ7">
        <f t="shared" si="7"/>
        <v>-3</v>
      </c>
    </row>
    <row r="8" spans="1:46" x14ac:dyDescent="0.3">
      <c r="A8" s="5" t="s">
        <v>15</v>
      </c>
      <c r="B8" t="s">
        <v>343</v>
      </c>
      <c r="C8" s="3">
        <v>6</v>
      </c>
      <c r="D8">
        <v>6</v>
      </c>
      <c r="E8">
        <v>1</v>
      </c>
      <c r="F8">
        <v>3</v>
      </c>
      <c r="G8">
        <f t="shared" si="2"/>
        <v>2</v>
      </c>
      <c r="H8">
        <v>4</v>
      </c>
      <c r="I8">
        <v>6</v>
      </c>
      <c r="J8">
        <f t="shared" si="3"/>
        <v>-2</v>
      </c>
      <c r="L8" s="1" t="s">
        <v>16</v>
      </c>
      <c r="M8" t="s">
        <v>357</v>
      </c>
      <c r="N8" s="3">
        <v>12</v>
      </c>
      <c r="O8">
        <v>9</v>
      </c>
      <c r="P8">
        <v>4</v>
      </c>
      <c r="Q8">
        <v>0</v>
      </c>
      <c r="R8">
        <f t="shared" si="0"/>
        <v>5</v>
      </c>
      <c r="S8">
        <v>13</v>
      </c>
      <c r="T8">
        <v>15</v>
      </c>
      <c r="U8">
        <f t="shared" si="1"/>
        <v>-2</v>
      </c>
      <c r="AH8" t="s">
        <v>15</v>
      </c>
      <c r="AI8" t="s">
        <v>346</v>
      </c>
      <c r="AJ8" s="3">
        <v>4</v>
      </c>
      <c r="AK8">
        <v>5</v>
      </c>
      <c r="AL8">
        <v>1</v>
      </c>
      <c r="AM8">
        <v>1</v>
      </c>
      <c r="AN8">
        <f>AK8-AL8-AM8</f>
        <v>3</v>
      </c>
      <c r="AO8">
        <v>8</v>
      </c>
      <c r="AP8">
        <v>9</v>
      </c>
      <c r="AQ8">
        <f>AO8-AP8</f>
        <v>-1</v>
      </c>
    </row>
    <row r="9" spans="1:46" x14ac:dyDescent="0.3">
      <c r="A9" s="5" t="s">
        <v>16</v>
      </c>
      <c r="B9" t="s">
        <v>344</v>
      </c>
      <c r="C9" s="3">
        <v>6</v>
      </c>
      <c r="D9">
        <v>6</v>
      </c>
      <c r="E9">
        <v>1</v>
      </c>
      <c r="F9">
        <v>3</v>
      </c>
      <c r="G9">
        <f t="shared" si="2"/>
        <v>2</v>
      </c>
      <c r="H9">
        <v>3</v>
      </c>
      <c r="I9">
        <v>5</v>
      </c>
      <c r="J9">
        <f t="shared" si="3"/>
        <v>-2</v>
      </c>
      <c r="L9" s="1" t="s">
        <v>17</v>
      </c>
      <c r="M9" t="s">
        <v>358</v>
      </c>
      <c r="N9" s="3">
        <v>9</v>
      </c>
      <c r="O9">
        <v>9</v>
      </c>
      <c r="P9">
        <v>3</v>
      </c>
      <c r="Q9">
        <v>0</v>
      </c>
      <c r="R9">
        <f>O9-P9-Q9</f>
        <v>6</v>
      </c>
      <c r="S9">
        <v>10</v>
      </c>
      <c r="T9">
        <v>16</v>
      </c>
      <c r="U9">
        <f>S9-T9</f>
        <v>-6</v>
      </c>
      <c r="W9" t="s">
        <v>36</v>
      </c>
      <c r="AH9" t="s">
        <v>16</v>
      </c>
      <c r="AI9" t="s">
        <v>341</v>
      </c>
      <c r="AJ9" s="3">
        <v>3</v>
      </c>
      <c r="AK9">
        <v>5</v>
      </c>
      <c r="AL9">
        <v>1</v>
      </c>
      <c r="AM9">
        <v>0</v>
      </c>
      <c r="AN9">
        <f t="shared" si="6"/>
        <v>4</v>
      </c>
      <c r="AO9">
        <v>3</v>
      </c>
      <c r="AP9">
        <v>7</v>
      </c>
      <c r="AQ9">
        <f t="shared" si="7"/>
        <v>-4</v>
      </c>
    </row>
    <row r="10" spans="1:46" x14ac:dyDescent="0.3">
      <c r="L10" s="1" t="s">
        <v>18</v>
      </c>
      <c r="M10" t="s">
        <v>359</v>
      </c>
      <c r="N10" s="3">
        <v>9</v>
      </c>
      <c r="O10">
        <v>9</v>
      </c>
      <c r="P10">
        <v>2</v>
      </c>
      <c r="Q10">
        <v>3</v>
      </c>
      <c r="R10">
        <f t="shared" si="0"/>
        <v>4</v>
      </c>
      <c r="S10">
        <v>8</v>
      </c>
      <c r="T10">
        <v>8</v>
      </c>
      <c r="U10">
        <f t="shared" si="1"/>
        <v>0</v>
      </c>
      <c r="W10" t="s">
        <v>1</v>
      </c>
      <c r="X10" t="s">
        <v>2</v>
      </c>
      <c r="Y10" t="s">
        <v>3</v>
      </c>
      <c r="Z10" t="s">
        <v>4</v>
      </c>
      <c r="AA10" t="s">
        <v>5</v>
      </c>
      <c r="AB10" t="s">
        <v>6</v>
      </c>
      <c r="AC10" t="s">
        <v>7</v>
      </c>
      <c r="AD10" t="s">
        <v>8</v>
      </c>
      <c r="AE10" t="s">
        <v>9</v>
      </c>
      <c r="AF10" t="s">
        <v>10</v>
      </c>
    </row>
    <row r="11" spans="1:46" x14ac:dyDescent="0.3">
      <c r="A11" t="s">
        <v>36</v>
      </c>
      <c r="L11" s="2" t="s">
        <v>55</v>
      </c>
      <c r="M11" t="s">
        <v>360</v>
      </c>
      <c r="N11" s="3">
        <v>7</v>
      </c>
      <c r="O11">
        <v>9</v>
      </c>
      <c r="P11">
        <v>2</v>
      </c>
      <c r="Q11">
        <v>1</v>
      </c>
      <c r="R11">
        <f t="shared" si="0"/>
        <v>6</v>
      </c>
      <c r="S11">
        <v>7</v>
      </c>
      <c r="T11">
        <v>14</v>
      </c>
      <c r="U11">
        <f t="shared" si="1"/>
        <v>-7</v>
      </c>
      <c r="W11" s="1" t="s">
        <v>11</v>
      </c>
      <c r="X11" t="s">
        <v>37</v>
      </c>
      <c r="Y11" s="3">
        <v>11</v>
      </c>
      <c r="Z11">
        <v>6</v>
      </c>
      <c r="AA11">
        <v>3</v>
      </c>
      <c r="AB11">
        <v>2</v>
      </c>
      <c r="AC11">
        <f>Z11-AA11-AB11</f>
        <v>1</v>
      </c>
      <c r="AD11">
        <v>13</v>
      </c>
      <c r="AE11">
        <v>12</v>
      </c>
      <c r="AF11">
        <f>AD11-AE11</f>
        <v>1</v>
      </c>
      <c r="AH11" t="s">
        <v>36</v>
      </c>
    </row>
    <row r="12" spans="1:46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s="2" t="s">
        <v>56</v>
      </c>
      <c r="M12" t="s">
        <v>361</v>
      </c>
      <c r="N12" s="3">
        <v>5</v>
      </c>
      <c r="O12">
        <v>9</v>
      </c>
      <c r="P12">
        <v>1</v>
      </c>
      <c r="Q12">
        <v>2</v>
      </c>
      <c r="R12">
        <f t="shared" si="0"/>
        <v>6</v>
      </c>
      <c r="S12">
        <v>5</v>
      </c>
      <c r="T12">
        <v>14</v>
      </c>
      <c r="U12">
        <f t="shared" si="1"/>
        <v>-9</v>
      </c>
      <c r="W12" s="1" t="s">
        <v>12</v>
      </c>
      <c r="X12" t="s">
        <v>367</v>
      </c>
      <c r="Y12" s="3">
        <v>8</v>
      </c>
      <c r="Z12">
        <v>6</v>
      </c>
      <c r="AA12">
        <v>2</v>
      </c>
      <c r="AB12">
        <v>2</v>
      </c>
      <c r="AC12">
        <f t="shared" ref="AC12:AC14" si="8">Z12-AA12-AB12</f>
        <v>2</v>
      </c>
      <c r="AD12">
        <v>10</v>
      </c>
      <c r="AE12">
        <v>7</v>
      </c>
      <c r="AF12">
        <f t="shared" ref="AF12:AF14" si="9">AD12-AE12</f>
        <v>3</v>
      </c>
      <c r="AH12" t="s">
        <v>1</v>
      </c>
      <c r="AI12" t="s">
        <v>2</v>
      </c>
      <c r="AJ12" t="s">
        <v>3</v>
      </c>
      <c r="AK12" t="s">
        <v>4</v>
      </c>
      <c r="AL12" t="s">
        <v>5</v>
      </c>
      <c r="AM12" t="s">
        <v>6</v>
      </c>
      <c r="AN12" t="s">
        <v>7</v>
      </c>
      <c r="AO12" t="s">
        <v>8</v>
      </c>
      <c r="AP12" t="s">
        <v>9</v>
      </c>
      <c r="AQ12" t="s">
        <v>10</v>
      </c>
    </row>
    <row r="13" spans="1:46" x14ac:dyDescent="0.3">
      <c r="A13" s="1" t="s">
        <v>11</v>
      </c>
      <c r="B13" t="s">
        <v>345</v>
      </c>
      <c r="C13" s="3">
        <v>13</v>
      </c>
      <c r="D13">
        <v>6</v>
      </c>
      <c r="E13">
        <v>4</v>
      </c>
      <c r="F13">
        <v>1</v>
      </c>
      <c r="G13">
        <f>D13-E13-F13</f>
        <v>1</v>
      </c>
      <c r="H13">
        <v>9</v>
      </c>
      <c r="I13">
        <v>2</v>
      </c>
      <c r="J13">
        <f>H13-I13</f>
        <v>7</v>
      </c>
      <c r="W13" s="1" t="s">
        <v>13</v>
      </c>
      <c r="X13" t="s">
        <v>368</v>
      </c>
      <c r="Y13" s="3">
        <v>7</v>
      </c>
      <c r="Z13">
        <v>6</v>
      </c>
      <c r="AA13">
        <v>1</v>
      </c>
      <c r="AB13">
        <v>4</v>
      </c>
      <c r="AC13">
        <f t="shared" si="8"/>
        <v>1</v>
      </c>
      <c r="AD13">
        <v>8</v>
      </c>
      <c r="AE13">
        <v>9</v>
      </c>
      <c r="AF13">
        <f t="shared" si="9"/>
        <v>-1</v>
      </c>
      <c r="AH13" s="1" t="s">
        <v>11</v>
      </c>
      <c r="AI13" t="s">
        <v>343</v>
      </c>
      <c r="AJ13" s="3">
        <v>10</v>
      </c>
      <c r="AK13">
        <v>5</v>
      </c>
      <c r="AL13">
        <v>3</v>
      </c>
      <c r="AM13">
        <v>1</v>
      </c>
      <c r="AN13">
        <f>AK13-AL13-AM13</f>
        <v>1</v>
      </c>
      <c r="AO13">
        <v>4</v>
      </c>
      <c r="AP13">
        <v>2</v>
      </c>
      <c r="AQ13">
        <f>AO13-AP13</f>
        <v>2</v>
      </c>
    </row>
    <row r="14" spans="1:46" x14ac:dyDescent="0.3">
      <c r="A14" s="1" t="s">
        <v>12</v>
      </c>
      <c r="B14" t="s">
        <v>346</v>
      </c>
      <c r="C14" s="3">
        <v>9</v>
      </c>
      <c r="D14">
        <v>6</v>
      </c>
      <c r="E14">
        <v>2</v>
      </c>
      <c r="F14">
        <v>3</v>
      </c>
      <c r="G14">
        <f t="shared" ref="G14:G18" si="10">D14-E14-F14</f>
        <v>1</v>
      </c>
      <c r="H14">
        <v>4</v>
      </c>
      <c r="I14">
        <v>4</v>
      </c>
      <c r="J14">
        <f t="shared" ref="J14:J18" si="11">H14-I14</f>
        <v>0</v>
      </c>
      <c r="L14" t="s">
        <v>59</v>
      </c>
      <c r="W14" t="s">
        <v>14</v>
      </c>
      <c r="X14" t="s">
        <v>369</v>
      </c>
      <c r="Y14" s="3">
        <v>5</v>
      </c>
      <c r="Z14">
        <v>6</v>
      </c>
      <c r="AA14">
        <v>1</v>
      </c>
      <c r="AB14">
        <v>2</v>
      </c>
      <c r="AC14">
        <f t="shared" si="8"/>
        <v>3</v>
      </c>
      <c r="AD14">
        <v>7</v>
      </c>
      <c r="AE14">
        <v>10</v>
      </c>
      <c r="AF14">
        <f t="shared" si="9"/>
        <v>-3</v>
      </c>
      <c r="AH14" s="1" t="s">
        <v>12</v>
      </c>
      <c r="AI14" t="s">
        <v>356</v>
      </c>
      <c r="AJ14" s="3">
        <v>9</v>
      </c>
      <c r="AK14">
        <v>5</v>
      </c>
      <c r="AL14">
        <v>3</v>
      </c>
      <c r="AM14">
        <v>0</v>
      </c>
      <c r="AN14">
        <f t="shared" ref="AN14:AN16" si="12">AK14-AL14-AM14</f>
        <v>2</v>
      </c>
      <c r="AO14">
        <v>8</v>
      </c>
      <c r="AP14">
        <v>6</v>
      </c>
      <c r="AQ14">
        <f t="shared" ref="AQ14:AQ16" si="13">AO14-AP14</f>
        <v>2</v>
      </c>
    </row>
    <row r="15" spans="1:46" x14ac:dyDescent="0.3">
      <c r="A15" s="1" t="s">
        <v>13</v>
      </c>
      <c r="B15" t="s">
        <v>347</v>
      </c>
      <c r="C15" s="3">
        <v>8</v>
      </c>
      <c r="D15">
        <v>6</v>
      </c>
      <c r="E15">
        <v>2</v>
      </c>
      <c r="F15">
        <v>2</v>
      </c>
      <c r="G15">
        <f t="shared" si="10"/>
        <v>2</v>
      </c>
      <c r="H15">
        <v>8</v>
      </c>
      <c r="I15">
        <v>6</v>
      </c>
      <c r="J15">
        <f t="shared" si="11"/>
        <v>2</v>
      </c>
      <c r="L15" t="str">
        <f>M10</f>
        <v>Patriotas</v>
      </c>
      <c r="M15" t="s">
        <v>75</v>
      </c>
      <c r="N15" t="str">
        <f>M3</f>
        <v>Rio Branco</v>
      </c>
      <c r="P15" t="str">
        <f>M3</f>
        <v>Rio Branco</v>
      </c>
      <c r="Q15" t="s">
        <v>30</v>
      </c>
      <c r="R15" t="str">
        <f>M10</f>
        <v>Patriotas</v>
      </c>
      <c r="AH15" s="1" t="s">
        <v>13</v>
      </c>
      <c r="AI15" t="s">
        <v>349</v>
      </c>
      <c r="AJ15" s="3">
        <v>9</v>
      </c>
      <c r="AK15">
        <v>5</v>
      </c>
      <c r="AL15">
        <v>3</v>
      </c>
      <c r="AM15">
        <v>0</v>
      </c>
      <c r="AN15">
        <f t="shared" si="12"/>
        <v>2</v>
      </c>
      <c r="AO15">
        <v>6</v>
      </c>
      <c r="AP15">
        <v>5</v>
      </c>
      <c r="AQ15">
        <f t="shared" si="13"/>
        <v>1</v>
      </c>
    </row>
    <row r="16" spans="1:46" x14ac:dyDescent="0.3">
      <c r="A16" s="1" t="s">
        <v>14</v>
      </c>
      <c r="B16" t="s">
        <v>348</v>
      </c>
      <c r="C16" s="3">
        <v>6</v>
      </c>
      <c r="D16">
        <v>6</v>
      </c>
      <c r="E16">
        <v>2</v>
      </c>
      <c r="F16">
        <v>0</v>
      </c>
      <c r="G16">
        <f t="shared" si="10"/>
        <v>4</v>
      </c>
      <c r="H16">
        <v>5</v>
      </c>
      <c r="I16">
        <v>9</v>
      </c>
      <c r="J16">
        <f t="shared" si="11"/>
        <v>-4</v>
      </c>
      <c r="L16" t="str">
        <f>M9</f>
        <v>Prudentópolis</v>
      </c>
      <c r="M16" t="s">
        <v>28</v>
      </c>
      <c r="N16" t="str">
        <f>M4</f>
        <v>Toledo</v>
      </c>
      <c r="P16" t="str">
        <f>M4</f>
        <v>Toledo</v>
      </c>
      <c r="Q16" t="s">
        <v>108</v>
      </c>
      <c r="R16" t="str">
        <f>M9</f>
        <v>Prudentópolis</v>
      </c>
      <c r="W16" t="s">
        <v>52</v>
      </c>
      <c r="AH16" s="1" t="s">
        <v>14</v>
      </c>
      <c r="AI16" t="s">
        <v>151</v>
      </c>
      <c r="AJ16" s="3">
        <v>7</v>
      </c>
      <c r="AK16">
        <v>5</v>
      </c>
      <c r="AL16">
        <v>2</v>
      </c>
      <c r="AM16">
        <v>1</v>
      </c>
      <c r="AN16">
        <f t="shared" si="12"/>
        <v>2</v>
      </c>
      <c r="AO16">
        <v>5</v>
      </c>
      <c r="AP16">
        <v>4</v>
      </c>
      <c r="AQ16">
        <f t="shared" si="13"/>
        <v>1</v>
      </c>
    </row>
    <row r="17" spans="1:43" x14ac:dyDescent="0.3">
      <c r="A17" s="5" t="s">
        <v>15</v>
      </c>
      <c r="B17" t="s">
        <v>349</v>
      </c>
      <c r="C17" s="3">
        <v>6</v>
      </c>
      <c r="D17">
        <v>6</v>
      </c>
      <c r="E17">
        <v>1</v>
      </c>
      <c r="F17">
        <v>3</v>
      </c>
      <c r="G17">
        <f t="shared" si="10"/>
        <v>2</v>
      </c>
      <c r="H17">
        <v>2</v>
      </c>
      <c r="I17">
        <v>3</v>
      </c>
      <c r="J17">
        <f t="shared" si="11"/>
        <v>-1</v>
      </c>
      <c r="L17" t="str">
        <f>M8</f>
        <v>Araucária</v>
      </c>
      <c r="M17" t="s">
        <v>75</v>
      </c>
      <c r="N17" t="str">
        <f>M5</f>
        <v>Nacional</v>
      </c>
      <c r="P17" t="str">
        <f>M5</f>
        <v>Nacional</v>
      </c>
      <c r="Q17" t="s">
        <v>111</v>
      </c>
      <c r="R17" t="str">
        <f>M8</f>
        <v>Araucária</v>
      </c>
      <c r="W17" t="s">
        <v>1</v>
      </c>
      <c r="X17" t="s">
        <v>2</v>
      </c>
      <c r="Y17" t="s">
        <v>3</v>
      </c>
      <c r="Z17" t="s">
        <v>4</v>
      </c>
      <c r="AA17" t="s">
        <v>5</v>
      </c>
      <c r="AB17" t="s">
        <v>6</v>
      </c>
      <c r="AC17" t="s">
        <v>7</v>
      </c>
      <c r="AD17" t="s">
        <v>8</v>
      </c>
      <c r="AE17" t="s">
        <v>9</v>
      </c>
      <c r="AF17" t="s">
        <v>10</v>
      </c>
      <c r="AH17" t="s">
        <v>15</v>
      </c>
      <c r="AI17" t="s">
        <v>348</v>
      </c>
      <c r="AJ17" s="3">
        <v>6</v>
      </c>
      <c r="AK17">
        <v>5</v>
      </c>
      <c r="AL17">
        <v>2</v>
      </c>
      <c r="AM17">
        <v>0</v>
      </c>
      <c r="AN17">
        <f>AK17-AL17-AM17</f>
        <v>3</v>
      </c>
      <c r="AO17">
        <v>5</v>
      </c>
      <c r="AP17">
        <v>7</v>
      </c>
      <c r="AQ17">
        <f>AO17-AP17</f>
        <v>-2</v>
      </c>
    </row>
    <row r="18" spans="1:43" x14ac:dyDescent="0.3">
      <c r="A18" s="5" t="s">
        <v>16</v>
      </c>
      <c r="B18" t="s">
        <v>350</v>
      </c>
      <c r="C18" s="3">
        <v>6</v>
      </c>
      <c r="D18">
        <v>6</v>
      </c>
      <c r="E18">
        <v>1</v>
      </c>
      <c r="F18">
        <v>3</v>
      </c>
      <c r="G18">
        <f t="shared" si="10"/>
        <v>2</v>
      </c>
      <c r="H18">
        <v>5</v>
      </c>
      <c r="I18">
        <v>7</v>
      </c>
      <c r="J18">
        <f t="shared" si="11"/>
        <v>-2</v>
      </c>
      <c r="L18" t="str">
        <f>M7</f>
        <v>Batel</v>
      </c>
      <c r="M18" t="s">
        <v>75</v>
      </c>
      <c r="N18" t="str">
        <f>M6</f>
        <v>Laranja Mecânica</v>
      </c>
      <c r="P18" t="str">
        <f>M6</f>
        <v>Laranja Mecânica</v>
      </c>
      <c r="Q18" t="s">
        <v>29</v>
      </c>
      <c r="R18" t="str">
        <f>M7</f>
        <v>Batel</v>
      </c>
      <c r="W18" s="1" t="s">
        <v>11</v>
      </c>
      <c r="X18" t="s">
        <v>370</v>
      </c>
      <c r="Y18" s="3">
        <v>13</v>
      </c>
      <c r="Z18">
        <v>6</v>
      </c>
      <c r="AA18">
        <v>4</v>
      </c>
      <c r="AB18">
        <v>1</v>
      </c>
      <c r="AC18">
        <f>Z18-AA18-AB18</f>
        <v>1</v>
      </c>
      <c r="AD18">
        <v>10</v>
      </c>
      <c r="AE18">
        <v>4</v>
      </c>
      <c r="AF18">
        <f>AD18-AE18</f>
        <v>6</v>
      </c>
      <c r="AH18" t="s">
        <v>16</v>
      </c>
      <c r="AI18" t="s">
        <v>350</v>
      </c>
      <c r="AJ18" s="3">
        <v>2</v>
      </c>
      <c r="AK18">
        <v>5</v>
      </c>
      <c r="AL18">
        <v>0</v>
      </c>
      <c r="AM18">
        <v>2</v>
      </c>
      <c r="AN18">
        <f t="shared" ref="AN18" si="14">AK18-AL18-AM18</f>
        <v>3</v>
      </c>
      <c r="AO18">
        <v>3</v>
      </c>
      <c r="AP18">
        <v>7</v>
      </c>
      <c r="AQ18">
        <f t="shared" ref="AQ18" si="15">AO18-AP18</f>
        <v>-4</v>
      </c>
    </row>
    <row r="19" spans="1:43" x14ac:dyDescent="0.3">
      <c r="W19" s="1" t="s">
        <v>12</v>
      </c>
      <c r="X19" t="s">
        <v>371</v>
      </c>
      <c r="Y19" s="3">
        <v>12</v>
      </c>
      <c r="Z19">
        <v>6</v>
      </c>
      <c r="AA19">
        <v>4</v>
      </c>
      <c r="AB19">
        <v>0</v>
      </c>
      <c r="AC19">
        <f t="shared" ref="AC19:AC21" si="16">Z19-AA19-AB19</f>
        <v>2</v>
      </c>
      <c r="AD19">
        <v>9</v>
      </c>
      <c r="AE19">
        <v>5</v>
      </c>
      <c r="AF19">
        <f t="shared" ref="AF19:AF21" si="17">AD19-AE19</f>
        <v>4</v>
      </c>
    </row>
    <row r="20" spans="1:43" x14ac:dyDescent="0.3">
      <c r="A20" t="s">
        <v>59</v>
      </c>
      <c r="L20" t="s">
        <v>49</v>
      </c>
      <c r="W20" t="s">
        <v>13</v>
      </c>
      <c r="X20" t="s">
        <v>372</v>
      </c>
      <c r="Y20" s="3">
        <v>5</v>
      </c>
      <c r="Z20">
        <v>6</v>
      </c>
      <c r="AA20">
        <v>1</v>
      </c>
      <c r="AB20">
        <v>2</v>
      </c>
      <c r="AC20">
        <f t="shared" si="16"/>
        <v>3</v>
      </c>
      <c r="AD20">
        <v>2</v>
      </c>
      <c r="AE20">
        <v>7</v>
      </c>
      <c r="AF20">
        <f t="shared" si="17"/>
        <v>-5</v>
      </c>
      <c r="AH20" t="s">
        <v>59</v>
      </c>
    </row>
    <row r="21" spans="1:43" x14ac:dyDescent="0.3">
      <c r="A21" t="str">
        <f>B7</f>
        <v>Londrina</v>
      </c>
      <c r="B21" t="s">
        <v>111</v>
      </c>
      <c r="C21" t="str">
        <f>B4</f>
        <v>Cascavel</v>
      </c>
      <c r="E21" t="str">
        <f>B4</f>
        <v>Cascavel</v>
      </c>
      <c r="F21" t="s">
        <v>48</v>
      </c>
      <c r="G21" t="str">
        <f>B7</f>
        <v>Londrina</v>
      </c>
      <c r="L21" t="s">
        <v>358</v>
      </c>
      <c r="M21" t="s">
        <v>73</v>
      </c>
      <c r="N21" t="s">
        <v>151</v>
      </c>
      <c r="P21" t="s">
        <v>151</v>
      </c>
      <c r="Q21" t="s">
        <v>109</v>
      </c>
      <c r="R21" t="s">
        <v>358</v>
      </c>
      <c r="W21" t="s">
        <v>14</v>
      </c>
      <c r="X21" t="s">
        <v>373</v>
      </c>
      <c r="Y21" s="3">
        <v>3</v>
      </c>
      <c r="Z21">
        <v>6</v>
      </c>
      <c r="AA21">
        <v>0</v>
      </c>
      <c r="AB21">
        <v>3</v>
      </c>
      <c r="AC21">
        <f t="shared" si="16"/>
        <v>3</v>
      </c>
      <c r="AD21">
        <v>2</v>
      </c>
      <c r="AE21">
        <v>7</v>
      </c>
      <c r="AF21">
        <f t="shared" si="17"/>
        <v>-5</v>
      </c>
      <c r="AH21" t="str">
        <f>AI16</f>
        <v>Rio Branco</v>
      </c>
      <c r="AI21" t="s">
        <v>137</v>
      </c>
      <c r="AJ21" t="str">
        <f>AI4</f>
        <v>São Joseense</v>
      </c>
      <c r="AL21" t="str">
        <f>AI4</f>
        <v>São Joseense</v>
      </c>
      <c r="AM21" t="s">
        <v>31</v>
      </c>
      <c r="AN21" t="str">
        <f>AI16</f>
        <v>Rio Branco</v>
      </c>
    </row>
    <row r="22" spans="1:43" x14ac:dyDescent="0.3">
      <c r="A22" t="str">
        <f>B6</f>
        <v>Athletico</v>
      </c>
      <c r="B22" t="s">
        <v>33</v>
      </c>
      <c r="C22" t="str">
        <f>B5</f>
        <v>Maringá</v>
      </c>
      <c r="E22" t="str">
        <f>B5</f>
        <v>Maringá</v>
      </c>
      <c r="F22" t="s">
        <v>75</v>
      </c>
      <c r="G22" t="str">
        <f>B6</f>
        <v>Athletico</v>
      </c>
      <c r="L22" t="s">
        <v>357</v>
      </c>
      <c r="M22" t="s">
        <v>30</v>
      </c>
      <c r="N22" t="s">
        <v>356</v>
      </c>
      <c r="P22" t="s">
        <v>356</v>
      </c>
      <c r="Q22" t="s">
        <v>138</v>
      </c>
      <c r="R22" t="s">
        <v>357</v>
      </c>
      <c r="AH22" t="str">
        <f>AI15</f>
        <v>Operário</v>
      </c>
      <c r="AI22" t="s">
        <v>32</v>
      </c>
      <c r="AJ22" t="str">
        <f>AI5</f>
        <v>Londrina</v>
      </c>
      <c r="AL22" t="str">
        <f>AI5</f>
        <v>Londrina</v>
      </c>
      <c r="AM22" t="s">
        <v>73</v>
      </c>
      <c r="AN22" t="str">
        <f>AI15</f>
        <v>Operário</v>
      </c>
    </row>
    <row r="23" spans="1:43" x14ac:dyDescent="0.3">
      <c r="A23" t="str">
        <f>B16</f>
        <v>Azuriz</v>
      </c>
      <c r="B23" t="s">
        <v>75</v>
      </c>
      <c r="C23" t="str">
        <f>B13</f>
        <v>Andraus</v>
      </c>
      <c r="E23" t="str">
        <f>B13</f>
        <v>Andraus</v>
      </c>
      <c r="F23" t="s">
        <v>351</v>
      </c>
      <c r="G23" t="str">
        <f>B16</f>
        <v>Azuriz</v>
      </c>
      <c r="W23" t="s">
        <v>59</v>
      </c>
      <c r="AH23" t="str">
        <f>AI14</f>
        <v>Batel</v>
      </c>
      <c r="AI23" t="s">
        <v>32</v>
      </c>
      <c r="AJ23" t="str">
        <f>AI6</f>
        <v>Patriotas</v>
      </c>
      <c r="AL23" t="str">
        <f>AI6</f>
        <v>Patriotas</v>
      </c>
      <c r="AM23" t="s">
        <v>29</v>
      </c>
      <c r="AN23" t="str">
        <f>AI14</f>
        <v>Batel</v>
      </c>
    </row>
    <row r="24" spans="1:43" x14ac:dyDescent="0.3">
      <c r="A24" t="str">
        <f>B15</f>
        <v>Galo Maringá</v>
      </c>
      <c r="B24" t="s">
        <v>31</v>
      </c>
      <c r="C24" t="str">
        <f>B14</f>
        <v>Cianorte</v>
      </c>
      <c r="E24" t="str">
        <f>B14</f>
        <v>Cianorte</v>
      </c>
      <c r="F24" t="s">
        <v>28</v>
      </c>
      <c r="G24" t="str">
        <f>B15</f>
        <v>Galo Maringá</v>
      </c>
      <c r="L24" t="s">
        <v>19</v>
      </c>
      <c r="W24" t="s">
        <v>368</v>
      </c>
      <c r="X24" t="s">
        <v>73</v>
      </c>
      <c r="Y24" t="s">
        <v>370</v>
      </c>
      <c r="AA24" t="s">
        <v>370</v>
      </c>
      <c r="AB24" t="s">
        <v>31</v>
      </c>
      <c r="AC24" t="s">
        <v>368</v>
      </c>
      <c r="AH24" t="str">
        <f>AI13</f>
        <v>Foz do Iguaçu</v>
      </c>
      <c r="AI24" t="s">
        <v>30</v>
      </c>
      <c r="AJ24" t="str">
        <f>AI7</f>
        <v>Nacional</v>
      </c>
      <c r="AL24" t="str">
        <f>AI7</f>
        <v>Nacional</v>
      </c>
      <c r="AM24" t="s">
        <v>375</v>
      </c>
      <c r="AN24" t="str">
        <f>AI13</f>
        <v>Foz do Iguaçu</v>
      </c>
    </row>
    <row r="25" spans="1:43" x14ac:dyDescent="0.3">
      <c r="L25" t="s">
        <v>357</v>
      </c>
      <c r="M25" t="s">
        <v>31</v>
      </c>
      <c r="N25" t="s">
        <v>151</v>
      </c>
      <c r="P25" t="s">
        <v>151</v>
      </c>
      <c r="Q25" t="s">
        <v>32</v>
      </c>
      <c r="R25" t="s">
        <v>357</v>
      </c>
      <c r="W25" t="s">
        <v>365</v>
      </c>
      <c r="X25" t="s">
        <v>30</v>
      </c>
      <c r="Y25" t="s">
        <v>371</v>
      </c>
      <c r="AA25" t="s">
        <v>371</v>
      </c>
      <c r="AB25" t="s">
        <v>73</v>
      </c>
      <c r="AC25" t="s">
        <v>365</v>
      </c>
    </row>
    <row r="26" spans="1:43" x14ac:dyDescent="0.3">
      <c r="A26" t="s">
        <v>49</v>
      </c>
      <c r="W26" t="s">
        <v>367</v>
      </c>
      <c r="X26" t="s">
        <v>138</v>
      </c>
      <c r="Y26" t="s">
        <v>363</v>
      </c>
      <c r="AA26" t="s">
        <v>363</v>
      </c>
      <c r="AB26" t="s">
        <v>30</v>
      </c>
      <c r="AC26" t="s">
        <v>367</v>
      </c>
      <c r="AH26" t="s">
        <v>49</v>
      </c>
    </row>
    <row r="27" spans="1:43" x14ac:dyDescent="0.3">
      <c r="A27" t="s">
        <v>340</v>
      </c>
      <c r="B27" t="s">
        <v>31</v>
      </c>
      <c r="C27" t="s">
        <v>339</v>
      </c>
      <c r="E27" t="s">
        <v>339</v>
      </c>
      <c r="F27" t="s">
        <v>32</v>
      </c>
      <c r="G27" t="s">
        <v>340</v>
      </c>
      <c r="W27" t="s">
        <v>37</v>
      </c>
      <c r="X27" t="s">
        <v>48</v>
      </c>
      <c r="Y27" t="s">
        <v>364</v>
      </c>
      <c r="AA27" t="s">
        <v>364</v>
      </c>
      <c r="AB27" t="s">
        <v>31</v>
      </c>
      <c r="AC27" t="s">
        <v>37</v>
      </c>
      <c r="AH27" t="s">
        <v>151</v>
      </c>
      <c r="AI27" t="s">
        <v>28</v>
      </c>
      <c r="AJ27" t="s">
        <v>356</v>
      </c>
      <c r="AL27" t="s">
        <v>356</v>
      </c>
      <c r="AM27" t="s">
        <v>177</v>
      </c>
      <c r="AN27" t="s">
        <v>151</v>
      </c>
    </row>
    <row r="28" spans="1:43" x14ac:dyDescent="0.3">
      <c r="A28" t="s">
        <v>347</v>
      </c>
      <c r="B28" t="s">
        <v>158</v>
      </c>
      <c r="C28" t="s">
        <v>345</v>
      </c>
      <c r="E28" t="s">
        <v>345</v>
      </c>
      <c r="F28" t="s">
        <v>30</v>
      </c>
      <c r="G28" t="s">
        <v>347</v>
      </c>
      <c r="AH28" t="s">
        <v>169</v>
      </c>
      <c r="AI28" t="s">
        <v>32</v>
      </c>
      <c r="AJ28" t="s">
        <v>349</v>
      </c>
      <c r="AL28" t="s">
        <v>349</v>
      </c>
      <c r="AM28" t="s">
        <v>73</v>
      </c>
      <c r="AN28" t="s">
        <v>169</v>
      </c>
    </row>
    <row r="29" spans="1:43" x14ac:dyDescent="0.3">
      <c r="W29" t="s">
        <v>49</v>
      </c>
    </row>
    <row r="30" spans="1:43" x14ac:dyDescent="0.3">
      <c r="A30" t="s">
        <v>19</v>
      </c>
      <c r="W30" t="s">
        <v>365</v>
      </c>
      <c r="X30" t="s">
        <v>158</v>
      </c>
      <c r="Y30" t="s">
        <v>370</v>
      </c>
      <c r="AA30" t="s">
        <v>370</v>
      </c>
      <c r="AB30" t="s">
        <v>28</v>
      </c>
      <c r="AC30" t="s">
        <v>365</v>
      </c>
      <c r="AH30" t="s">
        <v>19</v>
      </c>
    </row>
    <row r="31" spans="1:43" x14ac:dyDescent="0.3">
      <c r="A31" t="s">
        <v>340</v>
      </c>
      <c r="B31" t="s">
        <v>135</v>
      </c>
      <c r="C31" t="s">
        <v>345</v>
      </c>
      <c r="E31" t="s">
        <v>345</v>
      </c>
      <c r="F31" t="s">
        <v>33</v>
      </c>
      <c r="G31" t="s">
        <v>340</v>
      </c>
      <c r="W31" t="s">
        <v>37</v>
      </c>
      <c r="X31" t="s">
        <v>28</v>
      </c>
      <c r="Y31" t="s">
        <v>363</v>
      </c>
      <c r="AA31" t="s">
        <v>363</v>
      </c>
      <c r="AB31" t="s">
        <v>73</v>
      </c>
      <c r="AC31" t="s">
        <v>37</v>
      </c>
      <c r="AH31" t="s">
        <v>151</v>
      </c>
      <c r="AI31" t="s">
        <v>73</v>
      </c>
      <c r="AJ31" t="s">
        <v>169</v>
      </c>
      <c r="AL31" t="s">
        <v>169</v>
      </c>
      <c r="AM31" t="s">
        <v>33</v>
      </c>
      <c r="AN31" t="s">
        <v>151</v>
      </c>
    </row>
    <row r="33" spans="1:29" x14ac:dyDescent="0.3">
      <c r="A33" t="s">
        <v>313</v>
      </c>
      <c r="W33" t="s">
        <v>19</v>
      </c>
    </row>
    <row r="34" spans="1:29" x14ac:dyDescent="0.3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W34" t="s">
        <v>37</v>
      </c>
      <c r="X34" t="s">
        <v>75</v>
      </c>
      <c r="Y34" t="s">
        <v>370</v>
      </c>
      <c r="AA34" t="s">
        <v>370</v>
      </c>
      <c r="AB34" t="s">
        <v>374</v>
      </c>
      <c r="AC34" t="s">
        <v>37</v>
      </c>
    </row>
    <row r="35" spans="1:29" x14ac:dyDescent="0.3">
      <c r="A35" t="s">
        <v>11</v>
      </c>
      <c r="B35" t="s">
        <v>350</v>
      </c>
      <c r="C35" s="3">
        <v>10</v>
      </c>
      <c r="D35">
        <v>6</v>
      </c>
      <c r="E35">
        <v>3</v>
      </c>
      <c r="F35">
        <v>1</v>
      </c>
      <c r="G35">
        <f>D35-E35-F35</f>
        <v>2</v>
      </c>
      <c r="H35">
        <v>10</v>
      </c>
      <c r="I35">
        <v>9</v>
      </c>
      <c r="J35">
        <f>H35-I35</f>
        <v>1</v>
      </c>
    </row>
    <row r="36" spans="1:29" x14ac:dyDescent="0.3">
      <c r="A36" t="s">
        <v>12</v>
      </c>
      <c r="B36" t="s">
        <v>349</v>
      </c>
      <c r="C36" s="3">
        <v>8</v>
      </c>
      <c r="D36">
        <v>6</v>
      </c>
      <c r="E36">
        <v>2</v>
      </c>
      <c r="F36">
        <v>2</v>
      </c>
      <c r="G36">
        <f t="shared" ref="G36:G38" si="18">D36-E36-F36</f>
        <v>2</v>
      </c>
      <c r="H36">
        <v>13</v>
      </c>
      <c r="I36">
        <v>11</v>
      </c>
      <c r="J36">
        <f t="shared" ref="J36:J38" si="19">H36-I36</f>
        <v>2</v>
      </c>
    </row>
    <row r="37" spans="1:29" x14ac:dyDescent="0.3">
      <c r="A37" s="2" t="s">
        <v>13</v>
      </c>
      <c r="B37" t="s">
        <v>344</v>
      </c>
      <c r="C37" s="3">
        <v>8</v>
      </c>
      <c r="D37">
        <v>6</v>
      </c>
      <c r="E37">
        <v>2</v>
      </c>
      <c r="F37">
        <v>2</v>
      </c>
      <c r="G37">
        <f t="shared" si="18"/>
        <v>2</v>
      </c>
      <c r="H37">
        <v>12</v>
      </c>
      <c r="I37">
        <v>12</v>
      </c>
      <c r="J37">
        <f t="shared" si="19"/>
        <v>0</v>
      </c>
    </row>
    <row r="38" spans="1:29" x14ac:dyDescent="0.3">
      <c r="A38" s="2" t="s">
        <v>14</v>
      </c>
      <c r="B38" t="s">
        <v>343</v>
      </c>
      <c r="C38" s="3">
        <v>7</v>
      </c>
      <c r="D38">
        <v>6</v>
      </c>
      <c r="E38">
        <v>2</v>
      </c>
      <c r="F38">
        <v>1</v>
      </c>
      <c r="G38">
        <f t="shared" si="18"/>
        <v>3</v>
      </c>
      <c r="H38">
        <v>8</v>
      </c>
      <c r="I38">
        <v>11</v>
      </c>
      <c r="J38">
        <f t="shared" si="19"/>
        <v>-3</v>
      </c>
    </row>
    <row r="40" spans="1:29" x14ac:dyDescent="0.3">
      <c r="A40" t="s">
        <v>113</v>
      </c>
    </row>
    <row r="41" spans="1:29" x14ac:dyDescent="0.3">
      <c r="A41" t="s">
        <v>345</v>
      </c>
    </row>
    <row r="42" spans="1:29" x14ac:dyDescent="0.3">
      <c r="A42" t="s">
        <v>339</v>
      </c>
    </row>
    <row r="43" spans="1:29" x14ac:dyDescent="0.3">
      <c r="A43" t="s">
        <v>347</v>
      </c>
    </row>
    <row r="45" spans="1:29" x14ac:dyDescent="0.3">
      <c r="A45" t="s">
        <v>114</v>
      </c>
    </row>
    <row r="46" spans="1:29" x14ac:dyDescent="0.3">
      <c r="A46" t="s">
        <v>345</v>
      </c>
    </row>
    <row r="47" spans="1:29" x14ac:dyDescent="0.3">
      <c r="A47" t="s">
        <v>340</v>
      </c>
    </row>
    <row r="48" spans="1:29" x14ac:dyDescent="0.3">
      <c r="A48" t="s">
        <v>339</v>
      </c>
    </row>
    <row r="49" spans="1:1" x14ac:dyDescent="0.3">
      <c r="A49" t="s">
        <v>347</v>
      </c>
    </row>
    <row r="50" spans="1:1" x14ac:dyDescent="0.3">
      <c r="A50" t="s">
        <v>151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A605-7013-4B39-B6B0-9F4B3E1AD2A2}">
  <dimension ref="A1:BM59"/>
  <sheetViews>
    <sheetView topLeftCell="BD1" zoomScaleNormal="100" workbookViewId="0">
      <selection activeCell="Z24" sqref="Z24"/>
    </sheetView>
  </sheetViews>
  <sheetFormatPr defaultRowHeight="14.4" x14ac:dyDescent="0.3"/>
  <sheetData>
    <row r="1" spans="1:65" x14ac:dyDescent="0.3">
      <c r="A1" t="s">
        <v>199</v>
      </c>
      <c r="L1" t="s">
        <v>214</v>
      </c>
      <c r="W1" t="s">
        <v>225</v>
      </c>
      <c r="AH1" t="s">
        <v>236</v>
      </c>
      <c r="AS1" t="s">
        <v>237</v>
      </c>
      <c r="BD1" t="s">
        <v>213</v>
      </c>
      <c r="BL1" t="s">
        <v>50</v>
      </c>
    </row>
    <row r="2" spans="1:65" x14ac:dyDescent="0.3">
      <c r="A2" t="s">
        <v>35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1</v>
      </c>
      <c r="AT2" t="s">
        <v>2</v>
      </c>
      <c r="AU2" t="s">
        <v>3</v>
      </c>
      <c r="AV2" t="s">
        <v>4</v>
      </c>
      <c r="AW2" t="s">
        <v>5</v>
      </c>
      <c r="AX2" t="s">
        <v>6</v>
      </c>
      <c r="AY2" t="s">
        <v>7</v>
      </c>
      <c r="AZ2" t="s">
        <v>8</v>
      </c>
      <c r="BA2" t="s">
        <v>9</v>
      </c>
      <c r="BB2" t="s">
        <v>10</v>
      </c>
      <c r="BD2" t="s">
        <v>78</v>
      </c>
      <c r="BL2" t="s">
        <v>37</v>
      </c>
      <c r="BM2">
        <v>1</v>
      </c>
    </row>
    <row r="3" spans="1:6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11</v>
      </c>
      <c r="M3" t="s">
        <v>215</v>
      </c>
      <c r="N3" s="3">
        <v>27</v>
      </c>
      <c r="O3">
        <v>11</v>
      </c>
      <c r="P3">
        <v>9</v>
      </c>
      <c r="Q3">
        <v>0</v>
      </c>
      <c r="R3">
        <f>O3-P3-Q3</f>
        <v>2</v>
      </c>
      <c r="S3">
        <v>23</v>
      </c>
      <c r="T3">
        <v>8</v>
      </c>
      <c r="U3">
        <f>S3-T3</f>
        <v>15</v>
      </c>
      <c r="W3" s="1" t="s">
        <v>11</v>
      </c>
      <c r="X3" t="s">
        <v>226</v>
      </c>
      <c r="Y3" s="3">
        <v>24</v>
      </c>
      <c r="Z3">
        <v>11</v>
      </c>
      <c r="AA3">
        <v>8</v>
      </c>
      <c r="AB3">
        <v>0</v>
      </c>
      <c r="AC3">
        <f>Z3-AA3-AB3</f>
        <v>3</v>
      </c>
      <c r="AD3">
        <v>22</v>
      </c>
      <c r="AE3">
        <v>18</v>
      </c>
      <c r="AF3">
        <f>AD3-AE3</f>
        <v>4</v>
      </c>
      <c r="AH3" s="1" t="s">
        <v>11</v>
      </c>
      <c r="AI3" t="s">
        <v>240</v>
      </c>
      <c r="AJ3" s="3">
        <v>18</v>
      </c>
      <c r="AK3">
        <v>9</v>
      </c>
      <c r="AL3">
        <v>6</v>
      </c>
      <c r="AM3">
        <v>0</v>
      </c>
      <c r="AN3">
        <f>AK3-AL3-AM3</f>
        <v>3</v>
      </c>
      <c r="AO3">
        <v>14</v>
      </c>
      <c r="AP3">
        <v>11</v>
      </c>
      <c r="AQ3">
        <f>AO3-AP3</f>
        <v>3</v>
      </c>
      <c r="AS3" s="1" t="s">
        <v>11</v>
      </c>
      <c r="AT3" t="s">
        <v>238</v>
      </c>
      <c r="AU3" s="3">
        <v>21</v>
      </c>
      <c r="AV3">
        <v>11</v>
      </c>
      <c r="AW3">
        <v>7</v>
      </c>
      <c r="AX3">
        <v>0</v>
      </c>
      <c r="AY3">
        <f>AV3-AW3-AX3</f>
        <v>4</v>
      </c>
      <c r="AZ3">
        <v>21</v>
      </c>
      <c r="BA3">
        <v>17</v>
      </c>
      <c r="BB3">
        <f t="shared" ref="BB3:BB14" si="0">AZ3-BA3</f>
        <v>4</v>
      </c>
      <c r="BD3" t="s">
        <v>254</v>
      </c>
      <c r="BE3" t="s">
        <v>30</v>
      </c>
      <c r="BF3" t="s">
        <v>218</v>
      </c>
      <c r="BH3" t="s">
        <v>218</v>
      </c>
      <c r="BI3" t="s">
        <v>75</v>
      </c>
      <c r="BJ3" t="s">
        <v>254</v>
      </c>
      <c r="BL3" t="s">
        <v>215</v>
      </c>
      <c r="BM3">
        <v>2</v>
      </c>
    </row>
    <row r="4" spans="1:65" x14ac:dyDescent="0.3">
      <c r="A4" s="1" t="s">
        <v>11</v>
      </c>
      <c r="B4" t="s">
        <v>200</v>
      </c>
      <c r="C4" s="3">
        <v>10</v>
      </c>
      <c r="D4">
        <v>6</v>
      </c>
      <c r="E4">
        <v>3</v>
      </c>
      <c r="F4">
        <v>1</v>
      </c>
      <c r="G4">
        <f>D4-E4-F4</f>
        <v>2</v>
      </c>
      <c r="H4">
        <v>6</v>
      </c>
      <c r="I4">
        <v>4</v>
      </c>
      <c r="J4">
        <f>H4-I4</f>
        <v>2</v>
      </c>
      <c r="L4" s="1" t="s">
        <v>12</v>
      </c>
      <c r="M4" t="s">
        <v>201</v>
      </c>
      <c r="N4" s="3">
        <v>24</v>
      </c>
      <c r="O4">
        <v>11</v>
      </c>
      <c r="P4">
        <v>8</v>
      </c>
      <c r="Q4">
        <v>0</v>
      </c>
      <c r="R4">
        <f t="shared" ref="R4:R14" si="1">O4-P4-Q4</f>
        <v>3</v>
      </c>
      <c r="S4">
        <v>15</v>
      </c>
      <c r="T4">
        <v>11</v>
      </c>
      <c r="U4">
        <f t="shared" ref="U4:U14" si="2">S4-T4</f>
        <v>4</v>
      </c>
      <c r="W4" s="1" t="s">
        <v>12</v>
      </c>
      <c r="X4" t="s">
        <v>227</v>
      </c>
      <c r="Y4" s="3">
        <v>21</v>
      </c>
      <c r="Z4">
        <v>11</v>
      </c>
      <c r="AA4">
        <v>7</v>
      </c>
      <c r="AB4">
        <v>0</v>
      </c>
      <c r="AC4">
        <f t="shared" ref="AC4:AC14" si="3">Z4-AA4-AB4</f>
        <v>4</v>
      </c>
      <c r="AD4">
        <v>15</v>
      </c>
      <c r="AE4">
        <v>11</v>
      </c>
      <c r="AF4">
        <f t="shared" ref="AF4:AF14" si="4">AD4-AE4</f>
        <v>4</v>
      </c>
      <c r="AH4" s="1" t="s">
        <v>12</v>
      </c>
      <c r="AI4" t="s">
        <v>249</v>
      </c>
      <c r="AJ4" s="3">
        <v>16</v>
      </c>
      <c r="AK4">
        <v>9</v>
      </c>
      <c r="AL4">
        <v>5</v>
      </c>
      <c r="AM4">
        <v>1</v>
      </c>
      <c r="AN4">
        <f t="shared" ref="AN4:AN12" si="5">AK4-AL4-AM4</f>
        <v>3</v>
      </c>
      <c r="AO4">
        <v>15</v>
      </c>
      <c r="AP4">
        <v>14</v>
      </c>
      <c r="AQ4">
        <f t="shared" ref="AQ4:AQ12" si="6">AO4-AP4</f>
        <v>1</v>
      </c>
      <c r="AS4" s="1" t="s">
        <v>12</v>
      </c>
      <c r="AT4" t="s">
        <v>248</v>
      </c>
      <c r="AU4" s="3">
        <v>19</v>
      </c>
      <c r="AV4">
        <v>11</v>
      </c>
      <c r="AW4">
        <v>6</v>
      </c>
      <c r="AX4">
        <v>1</v>
      </c>
      <c r="AY4">
        <f t="shared" ref="AY4:AY14" si="7">AV4-AW4-AX4</f>
        <v>4</v>
      </c>
      <c r="AZ4">
        <v>14</v>
      </c>
      <c r="BA4">
        <v>9</v>
      </c>
      <c r="BB4">
        <f t="shared" si="0"/>
        <v>5</v>
      </c>
      <c r="BD4" t="s">
        <v>217</v>
      </c>
      <c r="BE4" t="s">
        <v>73</v>
      </c>
      <c r="BF4" t="s">
        <v>221</v>
      </c>
      <c r="BH4" t="s">
        <v>221</v>
      </c>
      <c r="BI4" t="s">
        <v>31</v>
      </c>
      <c r="BJ4" t="s">
        <v>217</v>
      </c>
      <c r="BL4" t="s">
        <v>226</v>
      </c>
      <c r="BM4">
        <v>1</v>
      </c>
    </row>
    <row r="5" spans="1:65" x14ac:dyDescent="0.3">
      <c r="A5" s="1" t="s">
        <v>12</v>
      </c>
      <c r="B5" t="s">
        <v>203</v>
      </c>
      <c r="C5" s="3">
        <v>8</v>
      </c>
      <c r="D5">
        <v>6</v>
      </c>
      <c r="E5">
        <v>2</v>
      </c>
      <c r="F5">
        <v>2</v>
      </c>
      <c r="G5">
        <f t="shared" ref="G5:G9" si="8">D5-E5-F5</f>
        <v>2</v>
      </c>
      <c r="H5">
        <v>9</v>
      </c>
      <c r="I5">
        <v>7</v>
      </c>
      <c r="J5">
        <f t="shared" ref="J5:J9" si="9">H5-I5</f>
        <v>2</v>
      </c>
      <c r="L5" s="1" t="s">
        <v>13</v>
      </c>
      <c r="M5" t="s">
        <v>216</v>
      </c>
      <c r="N5" s="3">
        <v>22</v>
      </c>
      <c r="O5">
        <v>11</v>
      </c>
      <c r="P5">
        <v>7</v>
      </c>
      <c r="Q5">
        <v>1</v>
      </c>
      <c r="R5">
        <f t="shared" si="1"/>
        <v>3</v>
      </c>
      <c r="S5">
        <v>20</v>
      </c>
      <c r="T5">
        <v>12</v>
      </c>
      <c r="U5">
        <f t="shared" si="2"/>
        <v>8</v>
      </c>
      <c r="W5" s="1" t="s">
        <v>13</v>
      </c>
      <c r="X5" t="s">
        <v>228</v>
      </c>
      <c r="Y5" s="3">
        <v>20</v>
      </c>
      <c r="Z5">
        <v>11</v>
      </c>
      <c r="AA5">
        <v>6</v>
      </c>
      <c r="AB5">
        <v>2</v>
      </c>
      <c r="AC5">
        <f t="shared" si="3"/>
        <v>3</v>
      </c>
      <c r="AD5">
        <v>17</v>
      </c>
      <c r="AE5">
        <v>15</v>
      </c>
      <c r="AF5">
        <f t="shared" si="4"/>
        <v>2</v>
      </c>
      <c r="AH5" s="1" t="s">
        <v>13</v>
      </c>
      <c r="AI5" t="s">
        <v>250</v>
      </c>
      <c r="AJ5" s="3">
        <v>15</v>
      </c>
      <c r="AK5">
        <v>9</v>
      </c>
      <c r="AL5">
        <v>5</v>
      </c>
      <c r="AM5">
        <v>0</v>
      </c>
      <c r="AN5">
        <f t="shared" si="5"/>
        <v>4</v>
      </c>
      <c r="AO5">
        <v>12</v>
      </c>
      <c r="AP5">
        <v>9</v>
      </c>
      <c r="AQ5">
        <f t="shared" si="6"/>
        <v>3</v>
      </c>
      <c r="AS5" s="1" t="s">
        <v>13</v>
      </c>
      <c r="AT5" t="s">
        <v>239</v>
      </c>
      <c r="AU5" s="3">
        <v>19</v>
      </c>
      <c r="AV5">
        <v>11</v>
      </c>
      <c r="AW5">
        <v>6</v>
      </c>
      <c r="AX5">
        <v>1</v>
      </c>
      <c r="AY5">
        <f t="shared" si="7"/>
        <v>4</v>
      </c>
      <c r="AZ5">
        <v>20</v>
      </c>
      <c r="BA5">
        <v>19</v>
      </c>
      <c r="BB5">
        <f t="shared" si="0"/>
        <v>1</v>
      </c>
      <c r="BD5" t="s">
        <v>223</v>
      </c>
      <c r="BE5" t="s">
        <v>28</v>
      </c>
      <c r="BF5" t="s">
        <v>224</v>
      </c>
      <c r="BH5" t="s">
        <v>224</v>
      </c>
      <c r="BI5" t="s">
        <v>136</v>
      </c>
      <c r="BJ5" t="s">
        <v>223</v>
      </c>
      <c r="BL5" t="s">
        <v>240</v>
      </c>
      <c r="BM5">
        <v>1</v>
      </c>
    </row>
    <row r="6" spans="1:65" x14ac:dyDescent="0.3">
      <c r="A6" s="1" t="s">
        <v>13</v>
      </c>
      <c r="B6" t="s">
        <v>37</v>
      </c>
      <c r="C6" s="3">
        <v>8</v>
      </c>
      <c r="D6">
        <v>6</v>
      </c>
      <c r="E6">
        <v>2</v>
      </c>
      <c r="F6">
        <v>2</v>
      </c>
      <c r="G6">
        <f t="shared" si="8"/>
        <v>2</v>
      </c>
      <c r="H6">
        <v>7</v>
      </c>
      <c r="I6">
        <v>6</v>
      </c>
      <c r="J6">
        <f t="shared" si="9"/>
        <v>1</v>
      </c>
      <c r="L6" s="1" t="s">
        <v>14</v>
      </c>
      <c r="M6" t="s">
        <v>217</v>
      </c>
      <c r="N6" s="3">
        <v>18</v>
      </c>
      <c r="O6">
        <v>11</v>
      </c>
      <c r="P6">
        <v>6</v>
      </c>
      <c r="Q6">
        <v>0</v>
      </c>
      <c r="R6">
        <f t="shared" si="1"/>
        <v>5</v>
      </c>
      <c r="S6">
        <v>18</v>
      </c>
      <c r="T6">
        <v>18</v>
      </c>
      <c r="U6">
        <f t="shared" si="2"/>
        <v>0</v>
      </c>
      <c r="W6" s="1" t="s">
        <v>14</v>
      </c>
      <c r="X6" t="s">
        <v>229</v>
      </c>
      <c r="Y6" s="3">
        <v>18</v>
      </c>
      <c r="Z6">
        <v>11</v>
      </c>
      <c r="AA6">
        <v>6</v>
      </c>
      <c r="AB6">
        <v>0</v>
      </c>
      <c r="AC6">
        <f t="shared" si="3"/>
        <v>5</v>
      </c>
      <c r="AD6">
        <v>17</v>
      </c>
      <c r="AE6">
        <v>15</v>
      </c>
      <c r="AF6">
        <f t="shared" si="4"/>
        <v>2</v>
      </c>
      <c r="AH6" s="1" t="s">
        <v>14</v>
      </c>
      <c r="AI6" t="s">
        <v>251</v>
      </c>
      <c r="AJ6" s="3">
        <v>14</v>
      </c>
      <c r="AK6">
        <v>9</v>
      </c>
      <c r="AL6">
        <v>4</v>
      </c>
      <c r="AM6">
        <v>2</v>
      </c>
      <c r="AN6">
        <f t="shared" si="5"/>
        <v>3</v>
      </c>
      <c r="AO6">
        <v>10</v>
      </c>
      <c r="AP6">
        <v>7</v>
      </c>
      <c r="AQ6">
        <f t="shared" si="6"/>
        <v>3</v>
      </c>
      <c r="AS6" s="1" t="s">
        <v>14</v>
      </c>
      <c r="AT6" t="s">
        <v>240</v>
      </c>
      <c r="AU6" s="3">
        <v>18</v>
      </c>
      <c r="AV6">
        <v>11</v>
      </c>
      <c r="AW6">
        <v>5</v>
      </c>
      <c r="AX6">
        <v>3</v>
      </c>
      <c r="AY6">
        <f t="shared" si="7"/>
        <v>3</v>
      </c>
      <c r="AZ6">
        <v>16</v>
      </c>
      <c r="BA6">
        <v>13</v>
      </c>
      <c r="BB6">
        <f t="shared" si="0"/>
        <v>3</v>
      </c>
      <c r="BD6" t="s">
        <v>226</v>
      </c>
      <c r="BE6" t="s">
        <v>132</v>
      </c>
      <c r="BF6" t="s">
        <v>215</v>
      </c>
      <c r="BH6" t="s">
        <v>215</v>
      </c>
      <c r="BI6" t="s">
        <v>257</v>
      </c>
      <c r="BJ6" t="s">
        <v>226</v>
      </c>
      <c r="BL6" t="s">
        <v>240</v>
      </c>
      <c r="BM6">
        <v>1</v>
      </c>
    </row>
    <row r="7" spans="1:65" x14ac:dyDescent="0.3">
      <c r="A7" s="1" t="s">
        <v>14</v>
      </c>
      <c r="B7" t="s">
        <v>202</v>
      </c>
      <c r="C7" s="3">
        <v>7</v>
      </c>
      <c r="D7">
        <v>6</v>
      </c>
      <c r="E7">
        <v>2</v>
      </c>
      <c r="F7">
        <v>1</v>
      </c>
      <c r="G7">
        <f t="shared" si="8"/>
        <v>3</v>
      </c>
      <c r="H7">
        <v>4</v>
      </c>
      <c r="I7">
        <v>5</v>
      </c>
      <c r="J7">
        <f t="shared" si="9"/>
        <v>-1</v>
      </c>
      <c r="L7" t="s">
        <v>15</v>
      </c>
      <c r="M7" t="s">
        <v>188</v>
      </c>
      <c r="N7" s="3">
        <v>16</v>
      </c>
      <c r="O7">
        <v>11</v>
      </c>
      <c r="P7">
        <v>5</v>
      </c>
      <c r="Q7">
        <v>1</v>
      </c>
      <c r="R7">
        <f t="shared" si="1"/>
        <v>5</v>
      </c>
      <c r="S7">
        <v>16</v>
      </c>
      <c r="T7">
        <v>13</v>
      </c>
      <c r="U7">
        <f t="shared" si="2"/>
        <v>3</v>
      </c>
      <c r="W7" t="s">
        <v>15</v>
      </c>
      <c r="X7" t="s">
        <v>230</v>
      </c>
      <c r="Y7" s="3">
        <v>17</v>
      </c>
      <c r="Z7">
        <v>11</v>
      </c>
      <c r="AA7">
        <v>5</v>
      </c>
      <c r="AB7">
        <v>2</v>
      </c>
      <c r="AC7">
        <f t="shared" si="3"/>
        <v>4</v>
      </c>
      <c r="AD7">
        <v>17</v>
      </c>
      <c r="AE7">
        <v>15</v>
      </c>
      <c r="AF7">
        <f t="shared" si="4"/>
        <v>2</v>
      </c>
      <c r="AH7" t="s">
        <v>15</v>
      </c>
      <c r="AI7" t="s">
        <v>252</v>
      </c>
      <c r="AJ7" s="3">
        <v>14</v>
      </c>
      <c r="AK7">
        <v>9</v>
      </c>
      <c r="AL7">
        <v>4</v>
      </c>
      <c r="AM7">
        <v>2</v>
      </c>
      <c r="AN7">
        <f t="shared" si="5"/>
        <v>3</v>
      </c>
      <c r="AO7">
        <v>13</v>
      </c>
      <c r="AP7">
        <v>12</v>
      </c>
      <c r="AQ7">
        <f t="shared" si="6"/>
        <v>1</v>
      </c>
      <c r="AS7" t="s">
        <v>15</v>
      </c>
      <c r="AT7" t="s">
        <v>241</v>
      </c>
      <c r="AU7" s="3">
        <v>17</v>
      </c>
      <c r="AV7">
        <v>11</v>
      </c>
      <c r="AW7">
        <v>5</v>
      </c>
      <c r="AX7">
        <v>2</v>
      </c>
      <c r="AY7">
        <f t="shared" si="7"/>
        <v>4</v>
      </c>
      <c r="AZ7">
        <v>16</v>
      </c>
      <c r="BA7">
        <v>13</v>
      </c>
      <c r="BB7">
        <f t="shared" si="0"/>
        <v>3</v>
      </c>
      <c r="BD7" t="s">
        <v>231</v>
      </c>
      <c r="BE7" t="s">
        <v>30</v>
      </c>
      <c r="BF7" t="s">
        <v>182</v>
      </c>
      <c r="BH7" t="s">
        <v>182</v>
      </c>
      <c r="BI7" t="s">
        <v>258</v>
      </c>
      <c r="BJ7" t="s">
        <v>231</v>
      </c>
      <c r="BL7" t="s">
        <v>231</v>
      </c>
      <c r="BM7">
        <v>1</v>
      </c>
    </row>
    <row r="8" spans="1:65" x14ac:dyDescent="0.3">
      <c r="A8" s="5" t="s">
        <v>15</v>
      </c>
      <c r="B8" t="s">
        <v>201</v>
      </c>
      <c r="C8" s="3">
        <v>7</v>
      </c>
      <c r="D8">
        <v>6</v>
      </c>
      <c r="E8">
        <v>1</v>
      </c>
      <c r="F8">
        <v>4</v>
      </c>
      <c r="G8">
        <f t="shared" si="8"/>
        <v>1</v>
      </c>
      <c r="H8">
        <v>7</v>
      </c>
      <c r="I8">
        <v>7</v>
      </c>
      <c r="J8">
        <f t="shared" si="9"/>
        <v>0</v>
      </c>
      <c r="L8" t="s">
        <v>16</v>
      </c>
      <c r="M8" t="s">
        <v>218</v>
      </c>
      <c r="N8" s="3">
        <v>16</v>
      </c>
      <c r="O8">
        <v>11</v>
      </c>
      <c r="P8">
        <v>5</v>
      </c>
      <c r="Q8">
        <v>1</v>
      </c>
      <c r="R8">
        <f t="shared" si="1"/>
        <v>5</v>
      </c>
      <c r="S8">
        <v>19</v>
      </c>
      <c r="T8">
        <v>19</v>
      </c>
      <c r="U8">
        <f t="shared" si="2"/>
        <v>0</v>
      </c>
      <c r="W8" t="s">
        <v>16</v>
      </c>
      <c r="X8" t="s">
        <v>231</v>
      </c>
      <c r="Y8" s="3">
        <v>16</v>
      </c>
      <c r="Z8">
        <v>11</v>
      </c>
      <c r="AA8">
        <v>5</v>
      </c>
      <c r="AB8">
        <v>1</v>
      </c>
      <c r="AC8">
        <f t="shared" si="3"/>
        <v>5</v>
      </c>
      <c r="AD8">
        <v>16</v>
      </c>
      <c r="AE8">
        <v>12</v>
      </c>
      <c r="AF8">
        <f t="shared" si="4"/>
        <v>4</v>
      </c>
      <c r="AH8" t="s">
        <v>16</v>
      </c>
      <c r="AI8" t="s">
        <v>253</v>
      </c>
      <c r="AJ8" s="3">
        <v>13</v>
      </c>
      <c r="AK8">
        <v>9</v>
      </c>
      <c r="AL8">
        <v>3</v>
      </c>
      <c r="AM8">
        <v>4</v>
      </c>
      <c r="AN8">
        <f t="shared" si="5"/>
        <v>2</v>
      </c>
      <c r="AO8">
        <v>16</v>
      </c>
      <c r="AP8">
        <v>11</v>
      </c>
      <c r="AQ8">
        <f t="shared" si="6"/>
        <v>5</v>
      </c>
      <c r="AS8" t="s">
        <v>16</v>
      </c>
      <c r="AT8" t="s">
        <v>242</v>
      </c>
      <c r="AU8" s="3">
        <v>16</v>
      </c>
      <c r="AV8">
        <v>11</v>
      </c>
      <c r="AW8">
        <v>5</v>
      </c>
      <c r="AX8">
        <v>1</v>
      </c>
      <c r="AY8">
        <f t="shared" si="7"/>
        <v>5</v>
      </c>
      <c r="AZ8">
        <v>21</v>
      </c>
      <c r="BA8">
        <v>19</v>
      </c>
      <c r="BB8">
        <f t="shared" si="0"/>
        <v>2</v>
      </c>
      <c r="BD8" t="s">
        <v>255</v>
      </c>
      <c r="BE8" t="s">
        <v>28</v>
      </c>
      <c r="BF8" t="s">
        <v>222</v>
      </c>
      <c r="BH8" t="s">
        <v>222</v>
      </c>
      <c r="BI8" t="s">
        <v>48</v>
      </c>
      <c r="BJ8" t="s">
        <v>255</v>
      </c>
    </row>
    <row r="9" spans="1:65" x14ac:dyDescent="0.3">
      <c r="A9" s="5" t="s">
        <v>16</v>
      </c>
      <c r="B9" t="s">
        <v>204</v>
      </c>
      <c r="C9" s="3">
        <v>5</v>
      </c>
      <c r="D9">
        <v>6</v>
      </c>
      <c r="E9">
        <v>1</v>
      </c>
      <c r="F9">
        <v>2</v>
      </c>
      <c r="G9">
        <f t="shared" si="8"/>
        <v>3</v>
      </c>
      <c r="H9">
        <v>2</v>
      </c>
      <c r="I9">
        <v>9</v>
      </c>
      <c r="J9">
        <f t="shared" si="9"/>
        <v>-7</v>
      </c>
      <c r="L9" t="s">
        <v>17</v>
      </c>
      <c r="M9" t="s">
        <v>219</v>
      </c>
      <c r="N9" s="3">
        <v>15</v>
      </c>
      <c r="O9">
        <v>11</v>
      </c>
      <c r="P9">
        <v>5</v>
      </c>
      <c r="Q9">
        <v>0</v>
      </c>
      <c r="R9">
        <f>O9-P9-Q9</f>
        <v>6</v>
      </c>
      <c r="S9">
        <v>16</v>
      </c>
      <c r="T9">
        <v>19</v>
      </c>
      <c r="U9">
        <f t="shared" si="2"/>
        <v>-3</v>
      </c>
      <c r="W9" t="s">
        <v>17</v>
      </c>
      <c r="X9" t="s">
        <v>224</v>
      </c>
      <c r="Y9" s="3">
        <v>16</v>
      </c>
      <c r="Z9">
        <v>11</v>
      </c>
      <c r="AA9">
        <v>5</v>
      </c>
      <c r="AB9">
        <v>1</v>
      </c>
      <c r="AC9">
        <f>Z9-AA9-AB9</f>
        <v>5</v>
      </c>
      <c r="AD9">
        <v>10</v>
      </c>
      <c r="AE9">
        <v>10</v>
      </c>
      <c r="AF9">
        <f t="shared" si="4"/>
        <v>0</v>
      </c>
      <c r="AH9" t="s">
        <v>17</v>
      </c>
      <c r="AI9" t="s">
        <v>254</v>
      </c>
      <c r="AJ9" s="3">
        <v>12</v>
      </c>
      <c r="AK9">
        <v>9</v>
      </c>
      <c r="AL9">
        <v>4</v>
      </c>
      <c r="AM9">
        <v>0</v>
      </c>
      <c r="AN9">
        <f>AK9-AL9-AM9</f>
        <v>5</v>
      </c>
      <c r="AO9">
        <v>14</v>
      </c>
      <c r="AP9">
        <v>13</v>
      </c>
      <c r="AQ9">
        <f t="shared" si="6"/>
        <v>1</v>
      </c>
      <c r="AS9" t="s">
        <v>17</v>
      </c>
      <c r="AT9" t="s">
        <v>124</v>
      </c>
      <c r="AU9" s="3">
        <v>16</v>
      </c>
      <c r="AV9">
        <v>11</v>
      </c>
      <c r="AW9">
        <v>5</v>
      </c>
      <c r="AX9">
        <v>1</v>
      </c>
      <c r="AY9">
        <f>AV9-AW9-AX9</f>
        <v>5</v>
      </c>
      <c r="AZ9">
        <v>17</v>
      </c>
      <c r="BA9">
        <v>16</v>
      </c>
      <c r="BB9">
        <f t="shared" si="0"/>
        <v>1</v>
      </c>
      <c r="BD9" t="s">
        <v>232</v>
      </c>
      <c r="BE9" t="s">
        <v>30</v>
      </c>
      <c r="BF9" t="s">
        <v>219</v>
      </c>
      <c r="BH9" t="s">
        <v>219</v>
      </c>
      <c r="BI9" t="s">
        <v>29</v>
      </c>
      <c r="BJ9" t="s">
        <v>232</v>
      </c>
    </row>
    <row r="10" spans="1:65" x14ac:dyDescent="0.3">
      <c r="L10" t="s">
        <v>18</v>
      </c>
      <c r="M10" t="s">
        <v>220</v>
      </c>
      <c r="N10" s="3">
        <v>14</v>
      </c>
      <c r="O10">
        <v>11</v>
      </c>
      <c r="P10">
        <v>4</v>
      </c>
      <c r="Q10">
        <v>2</v>
      </c>
      <c r="R10">
        <f t="shared" si="1"/>
        <v>5</v>
      </c>
      <c r="S10">
        <v>19</v>
      </c>
      <c r="T10">
        <v>23</v>
      </c>
      <c r="U10">
        <f t="shared" si="2"/>
        <v>-4</v>
      </c>
      <c r="W10" t="s">
        <v>18</v>
      </c>
      <c r="X10" t="s">
        <v>223</v>
      </c>
      <c r="Y10" s="3">
        <v>15</v>
      </c>
      <c r="Z10">
        <v>11</v>
      </c>
      <c r="AA10">
        <v>5</v>
      </c>
      <c r="AB10">
        <v>0</v>
      </c>
      <c r="AC10">
        <f t="shared" si="3"/>
        <v>6</v>
      </c>
      <c r="AD10">
        <v>12</v>
      </c>
      <c r="AE10">
        <v>14</v>
      </c>
      <c r="AF10">
        <f t="shared" si="4"/>
        <v>-2</v>
      </c>
      <c r="AH10" t="s">
        <v>18</v>
      </c>
      <c r="AI10" t="s">
        <v>255</v>
      </c>
      <c r="AJ10" s="3">
        <v>12</v>
      </c>
      <c r="AK10">
        <v>9</v>
      </c>
      <c r="AL10">
        <v>3</v>
      </c>
      <c r="AM10">
        <v>3</v>
      </c>
      <c r="AN10">
        <f t="shared" si="5"/>
        <v>3</v>
      </c>
      <c r="AO10">
        <v>12</v>
      </c>
      <c r="AP10">
        <v>12</v>
      </c>
      <c r="AQ10">
        <f t="shared" si="6"/>
        <v>0</v>
      </c>
      <c r="AS10" t="s">
        <v>18</v>
      </c>
      <c r="AT10" t="s">
        <v>243</v>
      </c>
      <c r="AU10" s="3">
        <v>16</v>
      </c>
      <c r="AV10">
        <v>11</v>
      </c>
      <c r="AW10">
        <v>5</v>
      </c>
      <c r="AX10">
        <v>1</v>
      </c>
      <c r="AY10">
        <f t="shared" si="7"/>
        <v>5</v>
      </c>
      <c r="AZ10">
        <v>17</v>
      </c>
      <c r="BA10">
        <v>18</v>
      </c>
      <c r="BB10">
        <f t="shared" si="0"/>
        <v>-1</v>
      </c>
      <c r="BD10" t="s">
        <v>229</v>
      </c>
      <c r="BE10" t="s">
        <v>30</v>
      </c>
      <c r="BF10" t="s">
        <v>216</v>
      </c>
      <c r="BH10" t="s">
        <v>216</v>
      </c>
      <c r="BI10" t="s">
        <v>31</v>
      </c>
      <c r="BJ10" t="s">
        <v>229</v>
      </c>
    </row>
    <row r="11" spans="1:65" x14ac:dyDescent="0.3">
      <c r="A11" t="s">
        <v>36</v>
      </c>
      <c r="L11" t="s">
        <v>55</v>
      </c>
      <c r="M11" t="s">
        <v>221</v>
      </c>
      <c r="N11" s="3">
        <v>13</v>
      </c>
      <c r="O11">
        <v>11</v>
      </c>
      <c r="P11">
        <v>4</v>
      </c>
      <c r="Q11">
        <v>1</v>
      </c>
      <c r="R11">
        <f t="shared" si="1"/>
        <v>6</v>
      </c>
      <c r="S11">
        <v>9</v>
      </c>
      <c r="T11">
        <v>13</v>
      </c>
      <c r="U11">
        <f t="shared" si="2"/>
        <v>-4</v>
      </c>
      <c r="W11" t="s">
        <v>55</v>
      </c>
      <c r="X11" t="s">
        <v>232</v>
      </c>
      <c r="Y11" s="3">
        <v>13</v>
      </c>
      <c r="Z11">
        <v>11</v>
      </c>
      <c r="AA11">
        <v>4</v>
      </c>
      <c r="AB11">
        <v>1</v>
      </c>
      <c r="AC11">
        <f t="shared" si="3"/>
        <v>6</v>
      </c>
      <c r="AD11">
        <v>14</v>
      </c>
      <c r="AE11">
        <v>18</v>
      </c>
      <c r="AF11">
        <f t="shared" si="4"/>
        <v>-4</v>
      </c>
      <c r="AH11" s="2" t="s">
        <v>55</v>
      </c>
      <c r="AI11" t="s">
        <v>239</v>
      </c>
      <c r="AJ11" s="3">
        <v>8</v>
      </c>
      <c r="AK11">
        <v>9</v>
      </c>
      <c r="AL11">
        <v>2</v>
      </c>
      <c r="AM11">
        <v>2</v>
      </c>
      <c r="AN11">
        <f t="shared" si="5"/>
        <v>5</v>
      </c>
      <c r="AO11">
        <v>7</v>
      </c>
      <c r="AP11">
        <v>16</v>
      </c>
      <c r="AQ11">
        <f t="shared" si="6"/>
        <v>-9</v>
      </c>
      <c r="AS11" t="s">
        <v>55</v>
      </c>
      <c r="AT11" t="s">
        <v>244</v>
      </c>
      <c r="AU11" s="3">
        <v>16</v>
      </c>
      <c r="AV11">
        <v>11</v>
      </c>
      <c r="AW11">
        <v>5</v>
      </c>
      <c r="AX11">
        <v>1</v>
      </c>
      <c r="AY11">
        <f t="shared" si="7"/>
        <v>5</v>
      </c>
      <c r="AZ11">
        <v>17</v>
      </c>
      <c r="BA11">
        <v>18</v>
      </c>
      <c r="BB11">
        <f t="shared" si="0"/>
        <v>-1</v>
      </c>
    </row>
    <row r="12" spans="1:65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t="s">
        <v>56</v>
      </c>
      <c r="M12" t="s">
        <v>222</v>
      </c>
      <c r="N12" s="3">
        <v>11</v>
      </c>
      <c r="O12">
        <v>11</v>
      </c>
      <c r="P12">
        <v>3</v>
      </c>
      <c r="Q12">
        <v>2</v>
      </c>
      <c r="R12">
        <f t="shared" si="1"/>
        <v>6</v>
      </c>
      <c r="S12">
        <v>15</v>
      </c>
      <c r="T12">
        <v>17</v>
      </c>
      <c r="U12">
        <f t="shared" si="2"/>
        <v>-2</v>
      </c>
      <c r="W12" t="s">
        <v>56</v>
      </c>
      <c r="X12" t="s">
        <v>233</v>
      </c>
      <c r="Y12" s="3">
        <v>12</v>
      </c>
      <c r="Z12">
        <v>11</v>
      </c>
      <c r="AA12">
        <v>4</v>
      </c>
      <c r="AB12">
        <v>0</v>
      </c>
      <c r="AC12">
        <f t="shared" si="3"/>
        <v>7</v>
      </c>
      <c r="AD12">
        <v>16</v>
      </c>
      <c r="AE12">
        <v>19</v>
      </c>
      <c r="AF12">
        <f t="shared" si="4"/>
        <v>-3</v>
      </c>
      <c r="AH12" s="2" t="s">
        <v>56</v>
      </c>
      <c r="AI12" t="s">
        <v>256</v>
      </c>
      <c r="AJ12" s="3">
        <v>5</v>
      </c>
      <c r="AK12">
        <v>9</v>
      </c>
      <c r="AL12">
        <v>1</v>
      </c>
      <c r="AM12">
        <v>2</v>
      </c>
      <c r="AN12">
        <f t="shared" si="5"/>
        <v>6</v>
      </c>
      <c r="AO12">
        <v>7</v>
      </c>
      <c r="AP12">
        <v>15</v>
      </c>
      <c r="AQ12">
        <f t="shared" si="6"/>
        <v>-8</v>
      </c>
      <c r="AS12" t="s">
        <v>56</v>
      </c>
      <c r="AT12" t="s">
        <v>245</v>
      </c>
      <c r="AU12" s="3">
        <v>14</v>
      </c>
      <c r="AV12">
        <v>11</v>
      </c>
      <c r="AW12">
        <v>4</v>
      </c>
      <c r="AX12">
        <v>2</v>
      </c>
      <c r="AY12">
        <f t="shared" si="7"/>
        <v>5</v>
      </c>
      <c r="AZ12">
        <v>10</v>
      </c>
      <c r="BA12">
        <v>9</v>
      </c>
      <c r="BB12">
        <f t="shared" si="0"/>
        <v>1</v>
      </c>
      <c r="BD12" t="s">
        <v>194</v>
      </c>
    </row>
    <row r="13" spans="1:65" x14ac:dyDescent="0.3">
      <c r="A13" s="1" t="s">
        <v>11</v>
      </c>
      <c r="B13" t="s">
        <v>89</v>
      </c>
      <c r="C13" s="3">
        <v>11</v>
      </c>
      <c r="D13">
        <v>6</v>
      </c>
      <c r="E13">
        <v>3</v>
      </c>
      <c r="F13">
        <v>2</v>
      </c>
      <c r="G13">
        <f>D13-E13-F13</f>
        <v>1</v>
      </c>
      <c r="H13">
        <v>9</v>
      </c>
      <c r="I13">
        <v>5</v>
      </c>
      <c r="J13">
        <f>H13-I13</f>
        <v>4</v>
      </c>
      <c r="L13" s="2" t="s">
        <v>57</v>
      </c>
      <c r="M13" t="s">
        <v>223</v>
      </c>
      <c r="N13" s="3">
        <v>10</v>
      </c>
      <c r="O13">
        <v>11</v>
      </c>
      <c r="P13">
        <v>3</v>
      </c>
      <c r="Q13">
        <v>1</v>
      </c>
      <c r="R13">
        <f t="shared" si="1"/>
        <v>7</v>
      </c>
      <c r="S13">
        <v>12</v>
      </c>
      <c r="T13">
        <v>20</v>
      </c>
      <c r="U13">
        <f t="shared" si="2"/>
        <v>-8</v>
      </c>
      <c r="W13" s="2" t="s">
        <v>57</v>
      </c>
      <c r="X13" t="s">
        <v>234</v>
      </c>
      <c r="Y13" s="3">
        <v>12</v>
      </c>
      <c r="Z13">
        <v>11</v>
      </c>
      <c r="AA13">
        <v>4</v>
      </c>
      <c r="AB13">
        <v>0</v>
      </c>
      <c r="AC13">
        <f t="shared" si="3"/>
        <v>7</v>
      </c>
      <c r="AD13">
        <v>11</v>
      </c>
      <c r="AE13">
        <v>21</v>
      </c>
      <c r="AF13">
        <f t="shared" si="4"/>
        <v>-10</v>
      </c>
      <c r="AS13" t="s">
        <v>57</v>
      </c>
      <c r="AT13" t="s">
        <v>246</v>
      </c>
      <c r="AU13" s="3">
        <v>13</v>
      </c>
      <c r="AV13">
        <v>11</v>
      </c>
      <c r="AW13">
        <v>3</v>
      </c>
      <c r="AX13">
        <v>4</v>
      </c>
      <c r="AY13">
        <f>AV13-AW13-AX13</f>
        <v>4</v>
      </c>
      <c r="AZ13">
        <v>14</v>
      </c>
      <c r="BA13">
        <v>18</v>
      </c>
      <c r="BB13">
        <f t="shared" si="0"/>
        <v>-4</v>
      </c>
      <c r="BD13" t="s">
        <v>215</v>
      </c>
      <c r="BE13" t="s">
        <v>138</v>
      </c>
      <c r="BF13" t="s">
        <v>201</v>
      </c>
      <c r="BH13" t="s">
        <v>201</v>
      </c>
      <c r="BI13" t="s">
        <v>110</v>
      </c>
      <c r="BJ13" t="s">
        <v>215</v>
      </c>
    </row>
    <row r="14" spans="1:65" x14ac:dyDescent="0.3">
      <c r="A14" s="1" t="s">
        <v>12</v>
      </c>
      <c r="B14" t="s">
        <v>106</v>
      </c>
      <c r="C14" s="3">
        <v>11</v>
      </c>
      <c r="D14">
        <v>6</v>
      </c>
      <c r="E14">
        <v>3</v>
      </c>
      <c r="F14">
        <v>2</v>
      </c>
      <c r="G14">
        <f t="shared" ref="G14:G18" si="10">D14-E14-F14</f>
        <v>1</v>
      </c>
      <c r="H14">
        <v>7</v>
      </c>
      <c r="I14">
        <v>4</v>
      </c>
      <c r="J14">
        <f t="shared" ref="J14:J18" si="11">H14-I14</f>
        <v>3</v>
      </c>
      <c r="L14" s="2" t="s">
        <v>58</v>
      </c>
      <c r="M14" t="s">
        <v>224</v>
      </c>
      <c r="N14" s="3">
        <v>7</v>
      </c>
      <c r="O14">
        <v>11</v>
      </c>
      <c r="P14">
        <v>2</v>
      </c>
      <c r="Q14">
        <v>1</v>
      </c>
      <c r="R14">
        <f t="shared" si="1"/>
        <v>8</v>
      </c>
      <c r="S14">
        <v>12</v>
      </c>
      <c r="T14">
        <v>21</v>
      </c>
      <c r="U14">
        <f t="shared" si="2"/>
        <v>-9</v>
      </c>
      <c r="W14" s="2" t="s">
        <v>58</v>
      </c>
      <c r="X14" t="s">
        <v>235</v>
      </c>
      <c r="Y14" s="3">
        <v>10</v>
      </c>
      <c r="Z14">
        <v>11</v>
      </c>
      <c r="AA14">
        <v>3</v>
      </c>
      <c r="AB14">
        <v>1</v>
      </c>
      <c r="AC14">
        <f t="shared" si="3"/>
        <v>7</v>
      </c>
      <c r="AD14">
        <v>12</v>
      </c>
      <c r="AE14">
        <v>15</v>
      </c>
      <c r="AF14">
        <f t="shared" si="4"/>
        <v>-3</v>
      </c>
      <c r="AH14" t="s">
        <v>49</v>
      </c>
      <c r="AS14" t="s">
        <v>58</v>
      </c>
      <c r="AT14" t="s">
        <v>247</v>
      </c>
      <c r="AU14" s="3">
        <v>4</v>
      </c>
      <c r="AV14">
        <v>11</v>
      </c>
      <c r="AW14">
        <v>1</v>
      </c>
      <c r="AX14">
        <v>1</v>
      </c>
      <c r="AY14">
        <f t="shared" si="7"/>
        <v>9</v>
      </c>
      <c r="AZ14">
        <v>13</v>
      </c>
      <c r="BA14">
        <v>27</v>
      </c>
      <c r="BB14">
        <f t="shared" si="0"/>
        <v>-14</v>
      </c>
      <c r="BD14" t="s">
        <v>231</v>
      </c>
      <c r="BE14" t="s">
        <v>75</v>
      </c>
      <c r="BF14" t="s">
        <v>208</v>
      </c>
      <c r="BH14" t="s">
        <v>208</v>
      </c>
      <c r="BI14" t="s">
        <v>29</v>
      </c>
      <c r="BJ14" t="s">
        <v>231</v>
      </c>
    </row>
    <row r="15" spans="1:65" x14ac:dyDescent="0.3">
      <c r="A15" s="1" t="s">
        <v>13</v>
      </c>
      <c r="B15" t="s">
        <v>207</v>
      </c>
      <c r="C15" s="3">
        <v>9</v>
      </c>
      <c r="D15">
        <v>6</v>
      </c>
      <c r="E15">
        <v>3</v>
      </c>
      <c r="F15">
        <v>0</v>
      </c>
      <c r="G15">
        <f t="shared" si="10"/>
        <v>3</v>
      </c>
      <c r="H15">
        <v>7</v>
      </c>
      <c r="I15">
        <v>7</v>
      </c>
      <c r="J15">
        <f t="shared" si="11"/>
        <v>0</v>
      </c>
      <c r="AH15" t="str">
        <f>AI6</f>
        <v>Rio de Janeiro</v>
      </c>
      <c r="AI15" t="s">
        <v>30</v>
      </c>
      <c r="AJ15" t="str">
        <f>AI3</f>
        <v>Barra Mansa</v>
      </c>
      <c r="AL15" t="str">
        <f>AI3</f>
        <v>Barra Mansa</v>
      </c>
      <c r="AM15" t="s">
        <v>30</v>
      </c>
      <c r="AN15" t="str">
        <f>AI6</f>
        <v>Rio de Janeiro</v>
      </c>
      <c r="BD15" t="s">
        <v>222</v>
      </c>
      <c r="BE15" t="s">
        <v>29</v>
      </c>
      <c r="BF15" t="s">
        <v>204</v>
      </c>
      <c r="BH15" t="s">
        <v>204</v>
      </c>
      <c r="BI15" t="s">
        <v>31</v>
      </c>
      <c r="BJ15" t="s">
        <v>222</v>
      </c>
    </row>
    <row r="16" spans="1:65" x14ac:dyDescent="0.3">
      <c r="A16" s="1" t="s">
        <v>14</v>
      </c>
      <c r="B16" t="s">
        <v>205</v>
      </c>
      <c r="C16" s="3">
        <v>7</v>
      </c>
      <c r="D16">
        <v>6</v>
      </c>
      <c r="E16">
        <v>2</v>
      </c>
      <c r="F16">
        <v>1</v>
      </c>
      <c r="G16">
        <f t="shared" si="10"/>
        <v>3</v>
      </c>
      <c r="H16">
        <v>5</v>
      </c>
      <c r="I16">
        <v>6</v>
      </c>
      <c r="J16">
        <f t="shared" si="11"/>
        <v>-1</v>
      </c>
      <c r="L16" t="s">
        <v>49</v>
      </c>
      <c r="W16" t="s">
        <v>49</v>
      </c>
      <c r="AH16" t="str">
        <f>AI5</f>
        <v>Serra Macaense</v>
      </c>
      <c r="AI16" t="s">
        <v>137</v>
      </c>
      <c r="AJ16" t="str">
        <f>AI4</f>
        <v>7 de Abril</v>
      </c>
      <c r="AL16" t="str">
        <f>AI4</f>
        <v>7 de Abril</v>
      </c>
      <c r="AM16" t="s">
        <v>31</v>
      </c>
      <c r="AN16" t="str">
        <f>AI5</f>
        <v>Serra Macaense</v>
      </c>
      <c r="AS16" t="s">
        <v>49</v>
      </c>
      <c r="BD16" t="s">
        <v>254</v>
      </c>
      <c r="BE16" t="s">
        <v>75</v>
      </c>
      <c r="BF16" t="s">
        <v>37</v>
      </c>
      <c r="BH16" t="s">
        <v>37</v>
      </c>
      <c r="BI16" t="s">
        <v>259</v>
      </c>
      <c r="BJ16" t="s">
        <v>254</v>
      </c>
    </row>
    <row r="17" spans="1:62" x14ac:dyDescent="0.3">
      <c r="A17" s="5" t="s">
        <v>15</v>
      </c>
      <c r="B17" t="s">
        <v>206</v>
      </c>
      <c r="C17" s="3">
        <v>7</v>
      </c>
      <c r="D17">
        <v>6</v>
      </c>
      <c r="E17">
        <v>1</v>
      </c>
      <c r="F17">
        <v>4</v>
      </c>
      <c r="G17">
        <f t="shared" si="10"/>
        <v>1</v>
      </c>
      <c r="H17">
        <v>8</v>
      </c>
      <c r="I17">
        <v>8</v>
      </c>
      <c r="J17">
        <f t="shared" si="11"/>
        <v>0</v>
      </c>
      <c r="L17" t="str">
        <f>M6</f>
        <v>Bonsucesso</v>
      </c>
      <c r="M17" t="s">
        <v>28</v>
      </c>
      <c r="N17" t="str">
        <f>M3</f>
        <v>Resende</v>
      </c>
      <c r="P17" t="str">
        <f>M3</f>
        <v>Resende</v>
      </c>
      <c r="Q17" t="s">
        <v>132</v>
      </c>
      <c r="R17" t="str">
        <f>M6</f>
        <v>Bonsucesso</v>
      </c>
      <c r="W17" t="str">
        <f>X6</f>
        <v>Goytacaz</v>
      </c>
      <c r="X17" t="s">
        <v>75</v>
      </c>
      <c r="Y17" t="str">
        <f>X3</f>
        <v>São Cristóvão</v>
      </c>
      <c r="AA17" t="str">
        <f>X3</f>
        <v>São Cristóvão</v>
      </c>
      <c r="AB17" t="s">
        <v>48</v>
      </c>
      <c r="AC17" t="str">
        <f>X6</f>
        <v>Goytacaz</v>
      </c>
      <c r="AS17" t="str">
        <f>AT6</f>
        <v>Barra Mansa</v>
      </c>
      <c r="AT17" t="s">
        <v>75</v>
      </c>
      <c r="AU17" t="str">
        <f>AT3</f>
        <v>Mesquita</v>
      </c>
      <c r="AW17" t="str">
        <f>AT3</f>
        <v>Mesquita</v>
      </c>
      <c r="AX17" t="s">
        <v>73</v>
      </c>
      <c r="AY17" t="str">
        <f>AT6</f>
        <v>Barra Mansa</v>
      </c>
      <c r="BD17" t="s">
        <v>216</v>
      </c>
      <c r="BE17" t="s">
        <v>30</v>
      </c>
      <c r="BF17" t="s">
        <v>206</v>
      </c>
      <c r="BH17" t="s">
        <v>206</v>
      </c>
      <c r="BI17" t="s">
        <v>73</v>
      </c>
      <c r="BJ17" t="s">
        <v>216</v>
      </c>
    </row>
    <row r="18" spans="1:62" x14ac:dyDescent="0.3">
      <c r="A18" s="5" t="s">
        <v>16</v>
      </c>
      <c r="B18" t="s">
        <v>208</v>
      </c>
      <c r="C18" s="3">
        <v>6</v>
      </c>
      <c r="D18">
        <v>6</v>
      </c>
      <c r="E18">
        <v>1</v>
      </c>
      <c r="F18">
        <v>3</v>
      </c>
      <c r="G18">
        <f t="shared" si="10"/>
        <v>2</v>
      </c>
      <c r="H18">
        <v>2</v>
      </c>
      <c r="I18">
        <v>5</v>
      </c>
      <c r="J18">
        <f t="shared" si="11"/>
        <v>-3</v>
      </c>
      <c r="L18" t="str">
        <f>M5</f>
        <v>Americano</v>
      </c>
      <c r="M18" t="s">
        <v>30</v>
      </c>
      <c r="N18" t="str">
        <f>M4</f>
        <v>Sampaio Corrêa</v>
      </c>
      <c r="P18" t="str">
        <f>M4</f>
        <v>Sampaio Corrêa</v>
      </c>
      <c r="Q18" t="s">
        <v>75</v>
      </c>
      <c r="R18" t="str">
        <f>M5</f>
        <v>Americano</v>
      </c>
      <c r="W18" t="str">
        <f>X5</f>
        <v>Univassouras Artsul</v>
      </c>
      <c r="X18" t="s">
        <v>28</v>
      </c>
      <c r="Y18" t="str">
        <f>X4</f>
        <v>Campo Grande</v>
      </c>
      <c r="AA18" t="str">
        <f>X4</f>
        <v>Campo Grande</v>
      </c>
      <c r="AB18" t="s">
        <v>73</v>
      </c>
      <c r="AC18" t="str">
        <f>X5</f>
        <v>Univassouras Artsul</v>
      </c>
      <c r="AH18" t="s">
        <v>19</v>
      </c>
      <c r="AS18" t="str">
        <f>AT5</f>
        <v>Búzios</v>
      </c>
      <c r="AT18" t="s">
        <v>30</v>
      </c>
      <c r="AU18" t="str">
        <f>AT4</f>
        <v>Duque Caxiense</v>
      </c>
      <c r="AW18" t="str">
        <f>AT4</f>
        <v>Duque Caxiense</v>
      </c>
      <c r="AX18" t="s">
        <v>28</v>
      </c>
      <c r="AY18" t="str">
        <f>AT5</f>
        <v>Búzios</v>
      </c>
      <c r="BD18" t="s">
        <v>232</v>
      </c>
      <c r="BE18" t="s">
        <v>31</v>
      </c>
      <c r="BF18" t="s">
        <v>207</v>
      </c>
      <c r="BH18" t="s">
        <v>207</v>
      </c>
      <c r="BI18" t="s">
        <v>75</v>
      </c>
      <c r="BJ18" t="s">
        <v>232</v>
      </c>
    </row>
    <row r="19" spans="1:62" x14ac:dyDescent="0.3">
      <c r="AH19" t="s">
        <v>250</v>
      </c>
      <c r="AI19" t="s">
        <v>75</v>
      </c>
      <c r="AJ19" t="s">
        <v>240</v>
      </c>
      <c r="AL19" t="s">
        <v>240</v>
      </c>
      <c r="AM19" t="s">
        <v>48</v>
      </c>
      <c r="AN19" t="s">
        <v>250</v>
      </c>
      <c r="BD19" t="s">
        <v>223</v>
      </c>
      <c r="BE19" t="s">
        <v>73</v>
      </c>
      <c r="BF19" t="s">
        <v>203</v>
      </c>
      <c r="BH19" t="s">
        <v>203</v>
      </c>
      <c r="BI19" t="s">
        <v>75</v>
      </c>
      <c r="BJ19" t="s">
        <v>223</v>
      </c>
    </row>
    <row r="20" spans="1:62" x14ac:dyDescent="0.3">
      <c r="A20" t="s">
        <v>59</v>
      </c>
      <c r="L20" t="s">
        <v>19</v>
      </c>
      <c r="W20" t="s">
        <v>19</v>
      </c>
      <c r="AS20" t="s">
        <v>19</v>
      </c>
      <c r="BD20" t="s">
        <v>221</v>
      </c>
      <c r="BE20" t="s">
        <v>30</v>
      </c>
      <c r="BF20" t="s">
        <v>205</v>
      </c>
      <c r="BH20" t="s">
        <v>205</v>
      </c>
      <c r="BI20" t="s">
        <v>260</v>
      </c>
      <c r="BJ20" t="s">
        <v>221</v>
      </c>
    </row>
    <row r="21" spans="1:62" x14ac:dyDescent="0.3">
      <c r="A21" t="str">
        <f>B4</f>
        <v>Fluminense</v>
      </c>
      <c r="B21" t="s">
        <v>209</v>
      </c>
      <c r="C21" t="str">
        <f>B7</f>
        <v>Vasco</v>
      </c>
      <c r="L21" t="s">
        <v>216</v>
      </c>
      <c r="M21" t="s">
        <v>29</v>
      </c>
      <c r="N21" t="s">
        <v>215</v>
      </c>
      <c r="P21" t="s">
        <v>215</v>
      </c>
      <c r="Q21" t="s">
        <v>31</v>
      </c>
      <c r="R21" t="s">
        <v>216</v>
      </c>
      <c r="W21" t="s">
        <v>228</v>
      </c>
      <c r="X21" t="s">
        <v>111</v>
      </c>
      <c r="Y21" t="s">
        <v>226</v>
      </c>
      <c r="AA21" t="s">
        <v>226</v>
      </c>
      <c r="AB21" t="s">
        <v>30</v>
      </c>
      <c r="AC21" t="s">
        <v>228</v>
      </c>
      <c r="AS21" t="s">
        <v>240</v>
      </c>
      <c r="AT21" t="s">
        <v>32</v>
      </c>
      <c r="AU21" t="s">
        <v>239</v>
      </c>
      <c r="AW21" t="s">
        <v>239</v>
      </c>
      <c r="AX21" t="s">
        <v>138</v>
      </c>
      <c r="AY21" t="s">
        <v>240</v>
      </c>
    </row>
    <row r="22" spans="1:62" x14ac:dyDescent="0.3">
      <c r="A22" t="str">
        <f>B5</f>
        <v>Volta Redonda</v>
      </c>
      <c r="B22" t="s">
        <v>210</v>
      </c>
      <c r="C22" t="str">
        <f>B6</f>
        <v>Portuguesa</v>
      </c>
      <c r="BD22" t="s">
        <v>59</v>
      </c>
    </row>
    <row r="23" spans="1:62" x14ac:dyDescent="0.3">
      <c r="A23" t="str">
        <f>B13</f>
        <v>Flamengo</v>
      </c>
      <c r="B23" t="s">
        <v>30</v>
      </c>
      <c r="C23" t="str">
        <f>B16</f>
        <v>Boavista</v>
      </c>
      <c r="BD23" t="s">
        <v>231</v>
      </c>
      <c r="BE23" t="s">
        <v>31</v>
      </c>
      <c r="BF23" t="s">
        <v>201</v>
      </c>
      <c r="BH23" t="s">
        <v>201</v>
      </c>
      <c r="BI23" t="s">
        <v>136</v>
      </c>
      <c r="BJ23" t="s">
        <v>231</v>
      </c>
    </row>
    <row r="24" spans="1:62" x14ac:dyDescent="0.3">
      <c r="A24" t="str">
        <f>B14</f>
        <v>Botafogo</v>
      </c>
      <c r="B24" t="s">
        <v>33</v>
      </c>
      <c r="C24" t="str">
        <f>B15</f>
        <v>Maricá</v>
      </c>
      <c r="BD24" t="s">
        <v>204</v>
      </c>
      <c r="BE24" t="s">
        <v>158</v>
      </c>
      <c r="BF24" t="s">
        <v>37</v>
      </c>
      <c r="BH24" t="s">
        <v>37</v>
      </c>
      <c r="BI24" t="s">
        <v>261</v>
      </c>
      <c r="BJ24" t="s">
        <v>204</v>
      </c>
    </row>
    <row r="25" spans="1:62" x14ac:dyDescent="0.3">
      <c r="BD25" t="s">
        <v>232</v>
      </c>
      <c r="BE25" t="s">
        <v>73</v>
      </c>
      <c r="BF25" t="s">
        <v>216</v>
      </c>
      <c r="BH25" t="s">
        <v>216</v>
      </c>
      <c r="BI25" t="s">
        <v>28</v>
      </c>
      <c r="BJ25" t="s">
        <v>232</v>
      </c>
    </row>
    <row r="26" spans="1:62" x14ac:dyDescent="0.3">
      <c r="A26" t="s">
        <v>49</v>
      </c>
      <c r="BD26" t="s">
        <v>205</v>
      </c>
      <c r="BE26" t="s">
        <v>31</v>
      </c>
      <c r="BF26" t="s">
        <v>203</v>
      </c>
      <c r="BH26" t="s">
        <v>203</v>
      </c>
      <c r="BI26" t="s">
        <v>75</v>
      </c>
      <c r="BJ26" t="s">
        <v>205</v>
      </c>
    </row>
    <row r="27" spans="1:62" x14ac:dyDescent="0.3">
      <c r="A27" t="s">
        <v>202</v>
      </c>
      <c r="B27" t="s">
        <v>73</v>
      </c>
      <c r="C27" t="s">
        <v>37</v>
      </c>
      <c r="E27" t="s">
        <v>37</v>
      </c>
      <c r="F27" t="s">
        <v>75</v>
      </c>
      <c r="G27" t="s">
        <v>202</v>
      </c>
    </row>
    <row r="28" spans="1:62" x14ac:dyDescent="0.3">
      <c r="A28" t="s">
        <v>207</v>
      </c>
      <c r="B28" t="s">
        <v>29</v>
      </c>
      <c r="C28" t="s">
        <v>89</v>
      </c>
      <c r="E28" t="s">
        <v>89</v>
      </c>
      <c r="F28" t="s">
        <v>28</v>
      </c>
      <c r="G28" t="s">
        <v>207</v>
      </c>
      <c r="BD28" t="s">
        <v>49</v>
      </c>
    </row>
    <row r="29" spans="1:62" x14ac:dyDescent="0.3">
      <c r="BD29" t="s">
        <v>231</v>
      </c>
      <c r="BE29" t="s">
        <v>73</v>
      </c>
      <c r="BF29" t="s">
        <v>204</v>
      </c>
      <c r="BH29" t="s">
        <v>204</v>
      </c>
      <c r="BI29" t="s">
        <v>111</v>
      </c>
      <c r="BJ29" t="s">
        <v>231</v>
      </c>
    </row>
    <row r="30" spans="1:62" x14ac:dyDescent="0.3">
      <c r="A30" t="s">
        <v>19</v>
      </c>
      <c r="BD30" t="s">
        <v>216</v>
      </c>
      <c r="BE30" t="s">
        <v>48</v>
      </c>
      <c r="BF30" t="s">
        <v>205</v>
      </c>
      <c r="BH30" t="s">
        <v>205</v>
      </c>
      <c r="BI30" t="s">
        <v>132</v>
      </c>
      <c r="BJ30" t="s">
        <v>216</v>
      </c>
    </row>
    <row r="31" spans="1:62" x14ac:dyDescent="0.3">
      <c r="A31" t="s">
        <v>89</v>
      </c>
      <c r="B31" t="s">
        <v>210</v>
      </c>
      <c r="C31" t="s">
        <v>37</v>
      </c>
    </row>
    <row r="32" spans="1:62" x14ac:dyDescent="0.3">
      <c r="BD32" t="s">
        <v>19</v>
      </c>
    </row>
    <row r="33" spans="1:62" x14ac:dyDescent="0.3">
      <c r="A33" t="s">
        <v>211</v>
      </c>
      <c r="BD33" t="s">
        <v>231</v>
      </c>
      <c r="BE33" t="s">
        <v>28</v>
      </c>
      <c r="BF33" t="s">
        <v>216</v>
      </c>
      <c r="BH33" t="s">
        <v>216</v>
      </c>
      <c r="BI33" t="s">
        <v>210</v>
      </c>
      <c r="BJ33" t="s">
        <v>231</v>
      </c>
    </row>
    <row r="34" spans="1:62" x14ac:dyDescent="0.3">
      <c r="A34" t="s">
        <v>49</v>
      </c>
    </row>
    <row r="35" spans="1:62" x14ac:dyDescent="0.3">
      <c r="A35" t="s">
        <v>203</v>
      </c>
      <c r="B35" t="s">
        <v>75</v>
      </c>
      <c r="C35" t="s">
        <v>200</v>
      </c>
      <c r="E35" t="s">
        <v>200</v>
      </c>
      <c r="F35" t="s">
        <v>29</v>
      </c>
      <c r="G35" t="s">
        <v>203</v>
      </c>
    </row>
    <row r="36" spans="1:62" x14ac:dyDescent="0.3">
      <c r="A36" t="s">
        <v>205</v>
      </c>
      <c r="B36" t="s">
        <v>138</v>
      </c>
      <c r="C36" t="s">
        <v>106</v>
      </c>
      <c r="E36" t="s">
        <v>106</v>
      </c>
      <c r="F36" t="s">
        <v>30</v>
      </c>
      <c r="G36" t="s">
        <v>205</v>
      </c>
    </row>
    <row r="38" spans="1:62" x14ac:dyDescent="0.3">
      <c r="A38" t="s">
        <v>19</v>
      </c>
    </row>
    <row r="39" spans="1:62" x14ac:dyDescent="0.3">
      <c r="A39" t="s">
        <v>106</v>
      </c>
      <c r="B39" t="s">
        <v>30</v>
      </c>
      <c r="C39" t="s">
        <v>203</v>
      </c>
    </row>
    <row r="41" spans="1:62" x14ac:dyDescent="0.3">
      <c r="A41" t="s">
        <v>212</v>
      </c>
    </row>
    <row r="42" spans="1:62" x14ac:dyDescent="0.3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10</v>
      </c>
    </row>
    <row r="43" spans="1:62" x14ac:dyDescent="0.3">
      <c r="A43" t="s">
        <v>11</v>
      </c>
      <c r="B43" t="s">
        <v>204</v>
      </c>
      <c r="C43" s="3">
        <v>11</v>
      </c>
      <c r="D43">
        <v>6</v>
      </c>
      <c r="E43">
        <v>3</v>
      </c>
      <c r="F43">
        <v>2</v>
      </c>
      <c r="G43">
        <f>D43-E43-F43</f>
        <v>1</v>
      </c>
      <c r="H43">
        <v>8</v>
      </c>
      <c r="I43">
        <v>7</v>
      </c>
      <c r="J43">
        <f>H43-I43</f>
        <v>1</v>
      </c>
    </row>
    <row r="44" spans="1:62" x14ac:dyDescent="0.3">
      <c r="A44" t="s">
        <v>12</v>
      </c>
      <c r="B44" t="s">
        <v>206</v>
      </c>
      <c r="C44" s="3">
        <v>9</v>
      </c>
      <c r="D44">
        <v>6</v>
      </c>
      <c r="E44">
        <v>2</v>
      </c>
      <c r="F44">
        <v>3</v>
      </c>
      <c r="G44">
        <f t="shared" ref="G44:G46" si="12">D44-E44-F44</f>
        <v>1</v>
      </c>
      <c r="H44">
        <v>10</v>
      </c>
      <c r="I44">
        <v>6</v>
      </c>
      <c r="J44">
        <f t="shared" ref="J44:J46" si="13">H44-I44</f>
        <v>4</v>
      </c>
    </row>
    <row r="45" spans="1:62" x14ac:dyDescent="0.3">
      <c r="A45" t="s">
        <v>13</v>
      </c>
      <c r="B45" t="s">
        <v>208</v>
      </c>
      <c r="C45" s="3">
        <v>8</v>
      </c>
      <c r="D45">
        <v>6</v>
      </c>
      <c r="E45">
        <v>2</v>
      </c>
      <c r="F45">
        <v>2</v>
      </c>
      <c r="G45">
        <f t="shared" si="12"/>
        <v>2</v>
      </c>
      <c r="H45">
        <v>8</v>
      </c>
      <c r="I45">
        <v>8</v>
      </c>
      <c r="J45">
        <f t="shared" si="13"/>
        <v>0</v>
      </c>
    </row>
    <row r="46" spans="1:62" x14ac:dyDescent="0.3">
      <c r="A46" s="2" t="s">
        <v>14</v>
      </c>
      <c r="B46" t="s">
        <v>201</v>
      </c>
      <c r="C46" s="3">
        <v>6</v>
      </c>
      <c r="D46">
        <v>6</v>
      </c>
      <c r="E46">
        <v>0</v>
      </c>
      <c r="F46">
        <v>3</v>
      </c>
      <c r="G46">
        <f t="shared" si="12"/>
        <v>3</v>
      </c>
      <c r="H46">
        <v>5</v>
      </c>
      <c r="I46">
        <v>10</v>
      </c>
      <c r="J46">
        <f t="shared" si="13"/>
        <v>-5</v>
      </c>
    </row>
    <row r="48" spans="1:62" x14ac:dyDescent="0.3">
      <c r="A48" t="s">
        <v>113</v>
      </c>
    </row>
    <row r="49" spans="1:1" x14ac:dyDescent="0.3">
      <c r="A49" t="s">
        <v>37</v>
      </c>
    </row>
    <row r="50" spans="1:1" x14ac:dyDescent="0.3">
      <c r="A50" t="s">
        <v>207</v>
      </c>
    </row>
    <row r="51" spans="1:1" x14ac:dyDescent="0.3">
      <c r="A51" t="s">
        <v>231</v>
      </c>
    </row>
    <row r="53" spans="1:1" x14ac:dyDescent="0.3">
      <c r="A53" t="s">
        <v>114</v>
      </c>
    </row>
    <row r="54" spans="1:1" x14ac:dyDescent="0.3">
      <c r="A54" t="s">
        <v>37</v>
      </c>
    </row>
    <row r="55" spans="1:1" x14ac:dyDescent="0.3">
      <c r="A55" t="s">
        <v>89</v>
      </c>
    </row>
    <row r="56" spans="1:1" x14ac:dyDescent="0.3">
      <c r="A56" t="s">
        <v>207</v>
      </c>
    </row>
    <row r="57" spans="1:1" x14ac:dyDescent="0.3">
      <c r="A57" t="s">
        <v>202</v>
      </c>
    </row>
    <row r="58" spans="1:1" x14ac:dyDescent="0.3">
      <c r="A58" t="s">
        <v>106</v>
      </c>
    </row>
    <row r="59" spans="1:1" x14ac:dyDescent="0.3">
      <c r="A59" t="s">
        <v>216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7370-306B-4EB5-9D7E-76CFF7776B14}">
  <dimension ref="A1:X30"/>
  <sheetViews>
    <sheetView workbookViewId="0">
      <selection activeCell="L1" sqref="L1:U16"/>
    </sheetView>
  </sheetViews>
  <sheetFormatPr defaultRowHeight="14.4" x14ac:dyDescent="0.3"/>
  <sheetData>
    <row r="1" spans="1:24" x14ac:dyDescent="0.3">
      <c r="A1" t="s">
        <v>594</v>
      </c>
      <c r="L1" t="s">
        <v>601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594</v>
      </c>
      <c r="X2">
        <v>3</v>
      </c>
    </row>
    <row r="3" spans="1:24" x14ac:dyDescent="0.3">
      <c r="A3" s="1" t="s">
        <v>11</v>
      </c>
      <c r="B3" t="s">
        <v>595</v>
      </c>
      <c r="C3" s="3">
        <v>18</v>
      </c>
      <c r="D3">
        <v>7</v>
      </c>
      <c r="E3">
        <v>6</v>
      </c>
      <c r="F3">
        <v>0</v>
      </c>
      <c r="G3">
        <f>D3-E3-F3</f>
        <v>1</v>
      </c>
      <c r="H3">
        <v>11</v>
      </c>
      <c r="I3">
        <v>4</v>
      </c>
      <c r="J3">
        <f>H3-I3</f>
        <v>7</v>
      </c>
      <c r="L3" s="1" t="s">
        <v>11</v>
      </c>
      <c r="M3" t="s">
        <v>602</v>
      </c>
      <c r="N3" s="3">
        <v>15</v>
      </c>
      <c r="O3">
        <v>6</v>
      </c>
      <c r="P3">
        <v>5</v>
      </c>
      <c r="Q3">
        <v>0</v>
      </c>
      <c r="R3">
        <f>O3-P3-Q3</f>
        <v>1</v>
      </c>
      <c r="S3">
        <v>15</v>
      </c>
      <c r="T3">
        <v>7</v>
      </c>
      <c r="U3">
        <f>S3-T3</f>
        <v>8</v>
      </c>
      <c r="W3" t="s">
        <v>598</v>
      </c>
      <c r="X3">
        <v>2</v>
      </c>
    </row>
    <row r="4" spans="1:24" x14ac:dyDescent="0.3">
      <c r="A4" s="1" t="s">
        <v>12</v>
      </c>
      <c r="B4" t="s">
        <v>182</v>
      </c>
      <c r="C4" s="3">
        <v>16</v>
      </c>
      <c r="D4">
        <v>7</v>
      </c>
      <c r="E4">
        <v>5</v>
      </c>
      <c r="F4">
        <v>1</v>
      </c>
      <c r="G4">
        <f t="shared" ref="G4:G10" si="0">D4-E4-F4</f>
        <v>1</v>
      </c>
      <c r="H4">
        <v>10</v>
      </c>
      <c r="I4">
        <v>4</v>
      </c>
      <c r="J4">
        <f t="shared" ref="J4:J10" si="1">H4-I4</f>
        <v>6</v>
      </c>
      <c r="L4" s="1" t="s">
        <v>12</v>
      </c>
      <c r="M4" t="s">
        <v>599</v>
      </c>
      <c r="N4" s="3">
        <v>12</v>
      </c>
      <c r="O4">
        <v>6</v>
      </c>
      <c r="P4">
        <v>4</v>
      </c>
      <c r="Q4">
        <v>0</v>
      </c>
      <c r="R4">
        <f t="shared" ref="R4:R9" si="2">O4-P4-Q4</f>
        <v>2</v>
      </c>
      <c r="S4">
        <v>8</v>
      </c>
      <c r="T4">
        <v>4</v>
      </c>
      <c r="U4">
        <f t="shared" ref="U4:U9" si="3">S4-T4</f>
        <v>4</v>
      </c>
    </row>
    <row r="5" spans="1:24" x14ac:dyDescent="0.3">
      <c r="A5" s="4" t="s">
        <v>13</v>
      </c>
      <c r="B5" t="s">
        <v>594</v>
      </c>
      <c r="C5" s="3">
        <v>13</v>
      </c>
      <c r="D5">
        <v>7</v>
      </c>
      <c r="E5">
        <v>4</v>
      </c>
      <c r="F5">
        <v>1</v>
      </c>
      <c r="G5">
        <f t="shared" si="0"/>
        <v>2</v>
      </c>
      <c r="H5">
        <v>11</v>
      </c>
      <c r="I5">
        <v>5</v>
      </c>
      <c r="J5">
        <f t="shared" si="1"/>
        <v>6</v>
      </c>
      <c r="L5" s="1" t="s">
        <v>13</v>
      </c>
      <c r="M5" t="s">
        <v>603</v>
      </c>
      <c r="N5" s="3">
        <v>9</v>
      </c>
      <c r="O5">
        <v>6</v>
      </c>
      <c r="P5">
        <v>3</v>
      </c>
      <c r="Q5">
        <v>0</v>
      </c>
      <c r="R5">
        <f t="shared" si="2"/>
        <v>3</v>
      </c>
      <c r="S5">
        <v>6</v>
      </c>
      <c r="T5">
        <v>5</v>
      </c>
      <c r="U5">
        <f t="shared" si="3"/>
        <v>1</v>
      </c>
    </row>
    <row r="6" spans="1:24" x14ac:dyDescent="0.3">
      <c r="A6" s="4" t="s">
        <v>14</v>
      </c>
      <c r="B6" t="s">
        <v>596</v>
      </c>
      <c r="C6" s="3">
        <v>11</v>
      </c>
      <c r="D6">
        <v>7</v>
      </c>
      <c r="E6">
        <v>3</v>
      </c>
      <c r="F6">
        <v>2</v>
      </c>
      <c r="G6">
        <f t="shared" si="0"/>
        <v>2</v>
      </c>
      <c r="H6">
        <v>12</v>
      </c>
      <c r="I6">
        <v>8</v>
      </c>
      <c r="J6">
        <f t="shared" si="1"/>
        <v>4</v>
      </c>
      <c r="L6" s="1" t="s">
        <v>14</v>
      </c>
      <c r="M6" t="s">
        <v>598</v>
      </c>
      <c r="N6" s="3">
        <v>9</v>
      </c>
      <c r="O6">
        <v>6</v>
      </c>
      <c r="P6">
        <v>3</v>
      </c>
      <c r="Q6">
        <v>0</v>
      </c>
      <c r="R6">
        <f t="shared" si="2"/>
        <v>3</v>
      </c>
      <c r="S6">
        <v>8</v>
      </c>
      <c r="T6">
        <v>11</v>
      </c>
      <c r="U6">
        <f t="shared" si="3"/>
        <v>-3</v>
      </c>
    </row>
    <row r="7" spans="1:24" x14ac:dyDescent="0.3">
      <c r="A7" s="4" t="s">
        <v>15</v>
      </c>
      <c r="B7" t="s">
        <v>254</v>
      </c>
      <c r="C7" s="3">
        <v>7</v>
      </c>
      <c r="D7">
        <v>7</v>
      </c>
      <c r="E7">
        <v>2</v>
      </c>
      <c r="F7">
        <v>1</v>
      </c>
      <c r="G7">
        <f t="shared" si="0"/>
        <v>4</v>
      </c>
      <c r="H7">
        <v>5</v>
      </c>
      <c r="I7">
        <v>10</v>
      </c>
      <c r="J7">
        <f t="shared" si="1"/>
        <v>-5</v>
      </c>
      <c r="L7" t="s">
        <v>15</v>
      </c>
      <c r="M7" t="s">
        <v>604</v>
      </c>
      <c r="N7" s="3">
        <v>7</v>
      </c>
      <c r="O7">
        <v>6</v>
      </c>
      <c r="P7">
        <v>2</v>
      </c>
      <c r="Q7">
        <v>1</v>
      </c>
      <c r="R7">
        <f t="shared" si="2"/>
        <v>3</v>
      </c>
      <c r="S7">
        <v>12</v>
      </c>
      <c r="T7">
        <v>11</v>
      </c>
      <c r="U7">
        <f t="shared" si="3"/>
        <v>1</v>
      </c>
    </row>
    <row r="8" spans="1:24" x14ac:dyDescent="0.3">
      <c r="A8" s="4" t="s">
        <v>16</v>
      </c>
      <c r="B8" t="s">
        <v>597</v>
      </c>
      <c r="C8" s="3">
        <v>6</v>
      </c>
      <c r="D8">
        <v>7</v>
      </c>
      <c r="E8">
        <v>2</v>
      </c>
      <c r="F8">
        <v>0</v>
      </c>
      <c r="G8">
        <f t="shared" si="0"/>
        <v>5</v>
      </c>
      <c r="H8">
        <v>6</v>
      </c>
      <c r="I8">
        <v>14</v>
      </c>
      <c r="J8">
        <f t="shared" si="1"/>
        <v>-8</v>
      </c>
      <c r="L8" t="s">
        <v>16</v>
      </c>
      <c r="M8" t="s">
        <v>605</v>
      </c>
      <c r="N8" s="3">
        <v>6</v>
      </c>
      <c r="O8">
        <v>6</v>
      </c>
      <c r="P8">
        <v>2</v>
      </c>
      <c r="Q8">
        <v>0</v>
      </c>
      <c r="R8">
        <f t="shared" si="2"/>
        <v>4</v>
      </c>
      <c r="S8">
        <v>8</v>
      </c>
      <c r="T8">
        <v>14</v>
      </c>
      <c r="U8">
        <f t="shared" si="3"/>
        <v>-6</v>
      </c>
    </row>
    <row r="9" spans="1:24" x14ac:dyDescent="0.3">
      <c r="A9" s="2" t="s">
        <v>17</v>
      </c>
      <c r="B9" t="s">
        <v>598</v>
      </c>
      <c r="C9" s="3">
        <v>5</v>
      </c>
      <c r="D9">
        <v>7</v>
      </c>
      <c r="E9">
        <v>1</v>
      </c>
      <c r="F9">
        <v>2</v>
      </c>
      <c r="G9">
        <f t="shared" si="0"/>
        <v>4</v>
      </c>
      <c r="H9">
        <v>2</v>
      </c>
      <c r="I9">
        <v>7</v>
      </c>
      <c r="J9">
        <f t="shared" si="1"/>
        <v>-5</v>
      </c>
      <c r="L9" t="s">
        <v>17</v>
      </c>
      <c r="M9" t="s">
        <v>606</v>
      </c>
      <c r="N9" s="3">
        <v>4</v>
      </c>
      <c r="O9">
        <v>6</v>
      </c>
      <c r="P9">
        <v>1</v>
      </c>
      <c r="Q9">
        <v>1</v>
      </c>
      <c r="R9">
        <f t="shared" si="2"/>
        <v>4</v>
      </c>
      <c r="S9">
        <v>6</v>
      </c>
      <c r="T9">
        <v>11</v>
      </c>
      <c r="U9">
        <f t="shared" si="3"/>
        <v>-5</v>
      </c>
    </row>
    <row r="10" spans="1:24" x14ac:dyDescent="0.3">
      <c r="A10" s="2" t="s">
        <v>18</v>
      </c>
      <c r="B10" t="s">
        <v>599</v>
      </c>
      <c r="C10" s="3">
        <v>4</v>
      </c>
      <c r="D10">
        <v>7</v>
      </c>
      <c r="E10">
        <v>1</v>
      </c>
      <c r="F10">
        <v>1</v>
      </c>
      <c r="G10">
        <f t="shared" si="0"/>
        <v>5</v>
      </c>
      <c r="H10">
        <v>5</v>
      </c>
      <c r="I10">
        <v>10</v>
      </c>
      <c r="J10">
        <f t="shared" si="1"/>
        <v>-5</v>
      </c>
    </row>
    <row r="11" spans="1:24" x14ac:dyDescent="0.3">
      <c r="L11" t="s">
        <v>77</v>
      </c>
    </row>
    <row r="12" spans="1:24" x14ac:dyDescent="0.3">
      <c r="A12" t="s">
        <v>78</v>
      </c>
      <c r="L12" t="s">
        <v>1</v>
      </c>
      <c r="M12" t="s">
        <v>2</v>
      </c>
      <c r="N12" t="s">
        <v>3</v>
      </c>
      <c r="O12" t="s">
        <v>4</v>
      </c>
      <c r="P12" t="s">
        <v>5</v>
      </c>
      <c r="Q12" t="s">
        <v>6</v>
      </c>
      <c r="R12" t="s">
        <v>7</v>
      </c>
      <c r="S12" t="s">
        <v>8</v>
      </c>
      <c r="T12" t="s">
        <v>9</v>
      </c>
      <c r="U12" t="s">
        <v>10</v>
      </c>
    </row>
    <row r="13" spans="1:24" x14ac:dyDescent="0.3">
      <c r="A13" t="str">
        <f>B8</f>
        <v>ABC</v>
      </c>
      <c r="B13" t="s">
        <v>30</v>
      </c>
      <c r="C13" t="str">
        <f>B5</f>
        <v>Potiguar</v>
      </c>
      <c r="E13" t="str">
        <f>B5</f>
        <v>Potiguar</v>
      </c>
      <c r="F13" t="s">
        <v>195</v>
      </c>
      <c r="G13" t="str">
        <f>B8</f>
        <v>ABC</v>
      </c>
      <c r="L13" s="1" t="s">
        <v>11</v>
      </c>
      <c r="M13" t="s">
        <v>598</v>
      </c>
      <c r="N13" s="3">
        <v>9</v>
      </c>
      <c r="O13">
        <v>3</v>
      </c>
      <c r="P13">
        <v>3</v>
      </c>
      <c r="Q13">
        <v>0</v>
      </c>
      <c r="R13">
        <f>O13-P13-Q13</f>
        <v>0</v>
      </c>
      <c r="S13">
        <v>6</v>
      </c>
      <c r="T13">
        <v>0</v>
      </c>
      <c r="U13">
        <f>S13-T13</f>
        <v>6</v>
      </c>
    </row>
    <row r="14" spans="1:24" x14ac:dyDescent="0.3">
      <c r="A14" t="str">
        <f>B7</f>
        <v>Santa Cruz</v>
      </c>
      <c r="B14" t="s">
        <v>138</v>
      </c>
      <c r="C14" t="str">
        <f>B6</f>
        <v>Potyguar</v>
      </c>
      <c r="E14" t="str">
        <f>B6</f>
        <v>Potyguar</v>
      </c>
      <c r="F14" t="s">
        <v>32</v>
      </c>
      <c r="G14" t="str">
        <f>B7</f>
        <v>Santa Cruz</v>
      </c>
      <c r="L14" s="1" t="s">
        <v>12</v>
      </c>
      <c r="M14" t="s">
        <v>602</v>
      </c>
      <c r="N14" s="3">
        <v>6</v>
      </c>
      <c r="O14">
        <v>3</v>
      </c>
      <c r="P14">
        <v>2</v>
      </c>
      <c r="Q14">
        <v>0</v>
      </c>
      <c r="R14">
        <f t="shared" ref="R14:R16" si="4">O14-P14-Q14</f>
        <v>1</v>
      </c>
      <c r="S14">
        <v>5</v>
      </c>
      <c r="T14">
        <v>3</v>
      </c>
      <c r="U14">
        <f t="shared" ref="U14:U16" si="5">S14-T14</f>
        <v>2</v>
      </c>
    </row>
    <row r="15" spans="1:24" x14ac:dyDescent="0.3">
      <c r="L15" t="s">
        <v>13</v>
      </c>
      <c r="M15" t="s">
        <v>603</v>
      </c>
      <c r="N15" s="3">
        <v>3</v>
      </c>
      <c r="O15">
        <v>3</v>
      </c>
      <c r="P15">
        <v>1</v>
      </c>
      <c r="Q15">
        <v>0</v>
      </c>
      <c r="R15">
        <f t="shared" si="4"/>
        <v>2</v>
      </c>
      <c r="S15">
        <v>4</v>
      </c>
      <c r="T15">
        <v>7</v>
      </c>
      <c r="U15">
        <f t="shared" si="5"/>
        <v>-3</v>
      </c>
    </row>
    <row r="16" spans="1:24" x14ac:dyDescent="0.3">
      <c r="A16" t="s">
        <v>49</v>
      </c>
      <c r="L16" t="s">
        <v>14</v>
      </c>
      <c r="M16" t="s">
        <v>599</v>
      </c>
      <c r="N16" s="3">
        <v>0</v>
      </c>
      <c r="O16">
        <v>3</v>
      </c>
      <c r="P16">
        <v>0</v>
      </c>
      <c r="Q16">
        <v>0</v>
      </c>
      <c r="R16">
        <f t="shared" si="4"/>
        <v>3</v>
      </c>
      <c r="S16">
        <v>1</v>
      </c>
      <c r="T16">
        <v>6</v>
      </c>
      <c r="U16">
        <f t="shared" si="5"/>
        <v>-5</v>
      </c>
    </row>
    <row r="17" spans="1:7" x14ac:dyDescent="0.3">
      <c r="A17" t="s">
        <v>596</v>
      </c>
      <c r="B17" t="s">
        <v>28</v>
      </c>
      <c r="C17" t="str">
        <f>B3</f>
        <v>QFC</v>
      </c>
      <c r="E17" t="str">
        <f>B3</f>
        <v>QFC</v>
      </c>
      <c r="F17" t="s">
        <v>73</v>
      </c>
      <c r="G17" t="s">
        <v>596</v>
      </c>
    </row>
    <row r="18" spans="1:7" x14ac:dyDescent="0.3">
      <c r="A18" t="s">
        <v>594</v>
      </c>
      <c r="B18" t="s">
        <v>48</v>
      </c>
      <c r="C18" t="str">
        <f>B4</f>
        <v>América</v>
      </c>
      <c r="E18" t="str">
        <f>B4</f>
        <v>América</v>
      </c>
      <c r="F18" t="s">
        <v>600</v>
      </c>
      <c r="G18" t="s">
        <v>594</v>
      </c>
    </row>
    <row r="20" spans="1:7" x14ac:dyDescent="0.3">
      <c r="A20" t="s">
        <v>19</v>
      </c>
    </row>
    <row r="21" spans="1:7" x14ac:dyDescent="0.3">
      <c r="A21" t="s">
        <v>596</v>
      </c>
      <c r="B21" t="s">
        <v>28</v>
      </c>
      <c r="C21" t="s">
        <v>594</v>
      </c>
      <c r="E21" t="s">
        <v>594</v>
      </c>
      <c r="F21" t="s">
        <v>132</v>
      </c>
      <c r="G21" t="s">
        <v>596</v>
      </c>
    </row>
    <row r="23" spans="1:7" x14ac:dyDescent="0.3">
      <c r="A23" t="s">
        <v>113</v>
      </c>
    </row>
    <row r="24" spans="1:7" x14ac:dyDescent="0.3">
      <c r="A24" t="s">
        <v>594</v>
      </c>
    </row>
    <row r="25" spans="1:7" x14ac:dyDescent="0.3">
      <c r="A25" t="s">
        <v>596</v>
      </c>
    </row>
    <row r="27" spans="1:7" x14ac:dyDescent="0.3">
      <c r="A27" t="s">
        <v>114</v>
      </c>
    </row>
    <row r="28" spans="1:7" x14ac:dyDescent="0.3">
      <c r="A28" t="s">
        <v>594</v>
      </c>
    </row>
    <row r="29" spans="1:7" x14ac:dyDescent="0.3">
      <c r="A29" t="s">
        <v>596</v>
      </c>
    </row>
    <row r="30" spans="1:7" x14ac:dyDescent="0.3">
      <c r="A30" t="s">
        <v>182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689B-8788-4A8A-8E85-AC5CEB64646F}">
  <dimension ref="A1:Q25"/>
  <sheetViews>
    <sheetView workbookViewId="0">
      <selection sqref="A1:J15"/>
    </sheetView>
  </sheetViews>
  <sheetFormatPr defaultRowHeight="14.4" x14ac:dyDescent="0.3"/>
  <sheetData>
    <row r="1" spans="1:17" x14ac:dyDescent="0.3">
      <c r="A1" t="s">
        <v>747</v>
      </c>
      <c r="L1" t="s">
        <v>753</v>
      </c>
      <c r="P1" t="s">
        <v>50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19</v>
      </c>
      <c r="P2" t="s">
        <v>747</v>
      </c>
      <c r="Q2">
        <v>2</v>
      </c>
    </row>
    <row r="3" spans="1:17" x14ac:dyDescent="0.3">
      <c r="A3" s="1" t="s">
        <v>11</v>
      </c>
      <c r="B3" t="s">
        <v>748</v>
      </c>
      <c r="C3" s="3">
        <v>23</v>
      </c>
      <c r="D3">
        <v>12</v>
      </c>
      <c r="E3">
        <v>7</v>
      </c>
      <c r="F3">
        <v>2</v>
      </c>
      <c r="G3">
        <f t="shared" ref="G3:G9" si="0">D3-E3-F3</f>
        <v>3</v>
      </c>
      <c r="H3">
        <v>15</v>
      </c>
      <c r="I3">
        <v>7</v>
      </c>
      <c r="J3">
        <f t="shared" ref="J3:J9" si="1">H3-I3</f>
        <v>8</v>
      </c>
      <c r="L3" t="s">
        <v>754</v>
      </c>
      <c r="M3" t="s">
        <v>32</v>
      </c>
      <c r="N3" t="s">
        <v>755</v>
      </c>
      <c r="P3" t="s">
        <v>754</v>
      </c>
      <c r="Q3">
        <v>2</v>
      </c>
    </row>
    <row r="4" spans="1:17" x14ac:dyDescent="0.3">
      <c r="A4" s="1" t="s">
        <v>12</v>
      </c>
      <c r="B4" t="s">
        <v>241</v>
      </c>
      <c r="C4" s="3">
        <v>21</v>
      </c>
      <c r="D4">
        <v>12</v>
      </c>
      <c r="E4">
        <v>6</v>
      </c>
      <c r="F4">
        <v>3</v>
      </c>
      <c r="G4">
        <f t="shared" si="0"/>
        <v>3</v>
      </c>
      <c r="H4">
        <v>17</v>
      </c>
      <c r="I4">
        <v>13</v>
      </c>
      <c r="J4">
        <f t="shared" si="1"/>
        <v>4</v>
      </c>
      <c r="L4" t="s">
        <v>755</v>
      </c>
      <c r="M4" t="s">
        <v>73</v>
      </c>
      <c r="N4" t="s">
        <v>754</v>
      </c>
    </row>
    <row r="5" spans="1:17" x14ac:dyDescent="0.3">
      <c r="A5" s="1" t="s">
        <v>13</v>
      </c>
      <c r="B5" t="s">
        <v>747</v>
      </c>
      <c r="C5" s="3">
        <v>18</v>
      </c>
      <c r="D5">
        <v>12</v>
      </c>
      <c r="E5">
        <v>5</v>
      </c>
      <c r="F5">
        <v>3</v>
      </c>
      <c r="G5">
        <f t="shared" si="0"/>
        <v>4</v>
      </c>
      <c r="H5">
        <v>12</v>
      </c>
      <c r="I5">
        <v>10</v>
      </c>
      <c r="J5">
        <f t="shared" si="1"/>
        <v>2</v>
      </c>
    </row>
    <row r="6" spans="1:17" x14ac:dyDescent="0.3">
      <c r="A6" s="1" t="s">
        <v>14</v>
      </c>
      <c r="B6" t="s">
        <v>750</v>
      </c>
      <c r="C6" s="3">
        <v>17</v>
      </c>
      <c r="D6">
        <v>12</v>
      </c>
      <c r="E6">
        <v>5</v>
      </c>
      <c r="F6">
        <v>2</v>
      </c>
      <c r="G6">
        <f t="shared" si="0"/>
        <v>5</v>
      </c>
      <c r="H6">
        <v>13</v>
      </c>
      <c r="I6">
        <v>15</v>
      </c>
      <c r="J6">
        <f t="shared" si="1"/>
        <v>-2</v>
      </c>
    </row>
    <row r="7" spans="1:17" x14ac:dyDescent="0.3">
      <c r="A7" t="s">
        <v>15</v>
      </c>
      <c r="B7" t="s">
        <v>749</v>
      </c>
      <c r="C7" s="3">
        <v>15</v>
      </c>
      <c r="D7">
        <v>12</v>
      </c>
      <c r="E7">
        <v>4</v>
      </c>
      <c r="F7">
        <v>3</v>
      </c>
      <c r="G7">
        <f t="shared" si="0"/>
        <v>5</v>
      </c>
      <c r="H7">
        <v>14</v>
      </c>
      <c r="I7">
        <v>17</v>
      </c>
      <c r="J7">
        <f t="shared" si="1"/>
        <v>-3</v>
      </c>
    </row>
    <row r="8" spans="1:17" x14ac:dyDescent="0.3">
      <c r="A8" t="s">
        <v>16</v>
      </c>
      <c r="B8" t="s">
        <v>752</v>
      </c>
      <c r="C8" s="3">
        <v>13</v>
      </c>
      <c r="D8">
        <v>12</v>
      </c>
      <c r="E8">
        <v>3</v>
      </c>
      <c r="F8">
        <v>4</v>
      </c>
      <c r="G8">
        <f t="shared" si="0"/>
        <v>5</v>
      </c>
      <c r="H8">
        <v>11</v>
      </c>
      <c r="I8">
        <v>11</v>
      </c>
      <c r="J8">
        <f t="shared" si="1"/>
        <v>0</v>
      </c>
    </row>
    <row r="9" spans="1:17" x14ac:dyDescent="0.3">
      <c r="A9" s="2" t="s">
        <v>17</v>
      </c>
      <c r="B9" t="s">
        <v>751</v>
      </c>
      <c r="C9" s="3">
        <v>9</v>
      </c>
      <c r="D9">
        <v>12</v>
      </c>
      <c r="E9">
        <v>2</v>
      </c>
      <c r="F9">
        <v>3</v>
      </c>
      <c r="G9">
        <f t="shared" si="0"/>
        <v>7</v>
      </c>
      <c r="H9">
        <v>8</v>
      </c>
      <c r="I9">
        <v>16</v>
      </c>
      <c r="J9">
        <f t="shared" si="1"/>
        <v>-8</v>
      </c>
    </row>
    <row r="11" spans="1:17" x14ac:dyDescent="0.3">
      <c r="A11" t="s">
        <v>49</v>
      </c>
    </row>
    <row r="12" spans="1:17" x14ac:dyDescent="0.3">
      <c r="A12" t="str">
        <f>B6</f>
        <v>Porto Velho</v>
      </c>
      <c r="B12" t="s">
        <v>158</v>
      </c>
      <c r="C12" t="str">
        <f>B3</f>
        <v>Ji-Paraná</v>
      </c>
      <c r="E12" t="str">
        <f>B3</f>
        <v>Ji-Paraná</v>
      </c>
      <c r="F12" t="s">
        <v>134</v>
      </c>
      <c r="G12" t="str">
        <f>B6</f>
        <v>Porto Velho</v>
      </c>
    </row>
    <row r="13" spans="1:17" x14ac:dyDescent="0.3">
      <c r="A13" t="str">
        <f>B5</f>
        <v>Rondoniense</v>
      </c>
      <c r="B13" t="s">
        <v>28</v>
      </c>
      <c r="C13" t="str">
        <f>B4</f>
        <v>Barcelona</v>
      </c>
      <c r="E13" t="str">
        <f>B4</f>
        <v>Barcelona</v>
      </c>
      <c r="F13" t="s">
        <v>112</v>
      </c>
      <c r="G13" t="str">
        <f>B5</f>
        <v>Rondoniense</v>
      </c>
    </row>
    <row r="15" spans="1:17" x14ac:dyDescent="0.3">
      <c r="A15" t="s">
        <v>19</v>
      </c>
    </row>
    <row r="16" spans="1:17" x14ac:dyDescent="0.3">
      <c r="A16" t="s">
        <v>747</v>
      </c>
      <c r="B16" t="s">
        <v>30</v>
      </c>
      <c r="C16" t="s">
        <v>748</v>
      </c>
      <c r="E16" t="s">
        <v>748</v>
      </c>
      <c r="F16" t="s">
        <v>33</v>
      </c>
      <c r="G16" t="s">
        <v>747</v>
      </c>
    </row>
    <row r="18" spans="1:1" x14ac:dyDescent="0.3">
      <c r="A18" t="s">
        <v>113</v>
      </c>
    </row>
    <row r="19" spans="1:1" x14ac:dyDescent="0.3">
      <c r="A19" t="s">
        <v>747</v>
      </c>
    </row>
    <row r="20" spans="1:1" x14ac:dyDescent="0.3">
      <c r="A20" t="s">
        <v>748</v>
      </c>
    </row>
    <row r="22" spans="1:1" x14ac:dyDescent="0.3">
      <c r="A22" t="s">
        <v>114</v>
      </c>
    </row>
    <row r="23" spans="1:1" x14ac:dyDescent="0.3">
      <c r="A23" t="s">
        <v>747</v>
      </c>
    </row>
    <row r="24" spans="1:1" x14ac:dyDescent="0.3">
      <c r="A24" t="s">
        <v>748</v>
      </c>
    </row>
    <row r="25" spans="1:1" x14ac:dyDescent="0.3">
      <c r="A25" t="s">
        <v>241</v>
      </c>
    </row>
  </sheetData>
  <sortState xmlns:xlrd2="http://schemas.microsoft.com/office/spreadsheetml/2017/richdata2" ref="B3:J9">
    <sortCondition descending="1" ref="C3:C9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5344-B69B-4209-82E2-A0290EEA7E5B}">
  <dimension ref="A1:M58"/>
  <sheetViews>
    <sheetView workbookViewId="0">
      <selection activeCell="B5" sqref="B5:B17"/>
    </sheetView>
  </sheetViews>
  <sheetFormatPr defaultRowHeight="14.4" x14ac:dyDescent="0.3"/>
  <sheetData>
    <row r="1" spans="1:13" x14ac:dyDescent="0.3">
      <c r="A1" t="s">
        <v>756</v>
      </c>
      <c r="L1" t="s">
        <v>761</v>
      </c>
    </row>
    <row r="2" spans="1:13" x14ac:dyDescent="0.3">
      <c r="A2" t="s">
        <v>571</v>
      </c>
      <c r="L2" t="s">
        <v>41</v>
      </c>
      <c r="M2">
        <v>29</v>
      </c>
    </row>
    <row r="3" spans="1:13" x14ac:dyDescent="0.3">
      <c r="A3" t="s">
        <v>35</v>
      </c>
    </row>
    <row r="4" spans="1:13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3" x14ac:dyDescent="0.3">
      <c r="A5" s="1" t="s">
        <v>11</v>
      </c>
      <c r="B5" t="s">
        <v>528</v>
      </c>
      <c r="C5" s="3">
        <v>7</v>
      </c>
      <c r="D5">
        <v>4</v>
      </c>
      <c r="E5">
        <v>2</v>
      </c>
      <c r="F5">
        <v>1</v>
      </c>
      <c r="G5">
        <f>D5-E5-F5</f>
        <v>1</v>
      </c>
      <c r="H5">
        <v>8</v>
      </c>
      <c r="I5">
        <v>6</v>
      </c>
      <c r="J5">
        <f>H5-I5</f>
        <v>2</v>
      </c>
    </row>
    <row r="6" spans="1:13" x14ac:dyDescent="0.3">
      <c r="A6" s="1" t="s">
        <v>12</v>
      </c>
      <c r="B6" t="s">
        <v>757</v>
      </c>
      <c r="C6" s="3">
        <v>7</v>
      </c>
      <c r="D6">
        <v>4</v>
      </c>
      <c r="E6">
        <v>2</v>
      </c>
      <c r="F6">
        <v>1</v>
      </c>
      <c r="G6">
        <f t="shared" ref="G6:G9" si="0">D6-E6-F6</f>
        <v>1</v>
      </c>
      <c r="H6">
        <v>5</v>
      </c>
      <c r="I6">
        <v>3</v>
      </c>
      <c r="J6">
        <f t="shared" ref="J6:J9" si="1">H6-I6</f>
        <v>2</v>
      </c>
    </row>
    <row r="7" spans="1:13" x14ac:dyDescent="0.3">
      <c r="A7" t="s">
        <v>13</v>
      </c>
      <c r="B7" t="s">
        <v>758</v>
      </c>
      <c r="C7" s="3">
        <v>6</v>
      </c>
      <c r="D7">
        <v>4</v>
      </c>
      <c r="E7">
        <v>2</v>
      </c>
      <c r="F7">
        <v>0</v>
      </c>
      <c r="G7">
        <f t="shared" si="0"/>
        <v>2</v>
      </c>
      <c r="H7">
        <v>5</v>
      </c>
      <c r="I7">
        <v>4</v>
      </c>
      <c r="J7">
        <f t="shared" si="1"/>
        <v>1</v>
      </c>
    </row>
    <row r="8" spans="1:13" x14ac:dyDescent="0.3">
      <c r="A8" t="s">
        <v>14</v>
      </c>
      <c r="B8" t="s">
        <v>759</v>
      </c>
      <c r="C8" s="3">
        <v>4</v>
      </c>
      <c r="D8">
        <v>4</v>
      </c>
      <c r="E8">
        <v>1</v>
      </c>
      <c r="F8">
        <v>1</v>
      </c>
      <c r="G8">
        <f t="shared" si="0"/>
        <v>2</v>
      </c>
      <c r="H8">
        <v>5</v>
      </c>
      <c r="I8">
        <v>6</v>
      </c>
      <c r="J8">
        <f t="shared" si="1"/>
        <v>-1</v>
      </c>
    </row>
    <row r="9" spans="1:13" x14ac:dyDescent="0.3">
      <c r="A9" t="s">
        <v>15</v>
      </c>
      <c r="B9" t="s">
        <v>491</v>
      </c>
      <c r="C9" s="3">
        <v>4</v>
      </c>
      <c r="D9">
        <v>4</v>
      </c>
      <c r="E9">
        <v>1</v>
      </c>
      <c r="F9">
        <v>1</v>
      </c>
      <c r="G9">
        <f t="shared" si="0"/>
        <v>2</v>
      </c>
      <c r="H9">
        <v>4</v>
      </c>
      <c r="I9">
        <v>8</v>
      </c>
      <c r="J9">
        <f t="shared" si="1"/>
        <v>-4</v>
      </c>
    </row>
    <row r="11" spans="1:13" x14ac:dyDescent="0.3">
      <c r="A11" t="s">
        <v>36</v>
      </c>
    </row>
    <row r="12" spans="1:13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</row>
    <row r="13" spans="1:13" x14ac:dyDescent="0.3">
      <c r="A13" s="1" t="s">
        <v>11</v>
      </c>
      <c r="B13" t="s">
        <v>41</v>
      </c>
      <c r="C13" s="3">
        <v>7</v>
      </c>
      <c r="D13">
        <v>4</v>
      </c>
      <c r="E13">
        <v>2</v>
      </c>
      <c r="F13">
        <v>1</v>
      </c>
      <c r="G13">
        <f>D13-E13-F13</f>
        <v>1</v>
      </c>
      <c r="H13">
        <v>7</v>
      </c>
      <c r="I13">
        <v>5</v>
      </c>
      <c r="J13">
        <f>H13-I13</f>
        <v>2</v>
      </c>
    </row>
    <row r="14" spans="1:13" x14ac:dyDescent="0.3">
      <c r="A14" s="1" t="s">
        <v>12</v>
      </c>
      <c r="B14" t="s">
        <v>760</v>
      </c>
      <c r="C14" s="3">
        <v>7</v>
      </c>
      <c r="D14">
        <v>4</v>
      </c>
      <c r="E14">
        <v>2</v>
      </c>
      <c r="F14">
        <v>1</v>
      </c>
      <c r="G14">
        <f t="shared" ref="G14:G17" si="2">D14-E14-F14</f>
        <v>1</v>
      </c>
      <c r="H14">
        <v>4</v>
      </c>
      <c r="I14">
        <v>3</v>
      </c>
      <c r="J14">
        <f t="shared" ref="J14:J17" si="3">H14-I14</f>
        <v>1</v>
      </c>
    </row>
    <row r="15" spans="1:13" x14ac:dyDescent="0.3">
      <c r="A15" t="s">
        <v>13</v>
      </c>
      <c r="B15" t="s">
        <v>331</v>
      </c>
      <c r="C15" s="3">
        <v>6</v>
      </c>
      <c r="D15">
        <v>4</v>
      </c>
      <c r="E15">
        <v>2</v>
      </c>
      <c r="F15">
        <v>0</v>
      </c>
      <c r="G15">
        <f t="shared" si="2"/>
        <v>2</v>
      </c>
      <c r="H15">
        <v>6</v>
      </c>
      <c r="I15">
        <v>5</v>
      </c>
      <c r="J15">
        <f t="shared" si="3"/>
        <v>1</v>
      </c>
    </row>
    <row r="16" spans="1:13" x14ac:dyDescent="0.3">
      <c r="A16" t="s">
        <v>14</v>
      </c>
      <c r="B16" t="s">
        <v>696</v>
      </c>
      <c r="C16" s="3">
        <v>6</v>
      </c>
      <c r="D16">
        <v>4</v>
      </c>
      <c r="E16">
        <v>2</v>
      </c>
      <c r="F16">
        <v>0</v>
      </c>
      <c r="G16">
        <f t="shared" si="2"/>
        <v>2</v>
      </c>
      <c r="H16">
        <v>10</v>
      </c>
      <c r="I16">
        <v>11</v>
      </c>
      <c r="J16">
        <f t="shared" si="3"/>
        <v>-1</v>
      </c>
    </row>
    <row r="17" spans="1:10" x14ac:dyDescent="0.3">
      <c r="A17" t="s">
        <v>15</v>
      </c>
      <c r="B17" t="s">
        <v>266</v>
      </c>
      <c r="C17" s="3">
        <v>2</v>
      </c>
      <c r="D17">
        <v>4</v>
      </c>
      <c r="E17">
        <v>0</v>
      </c>
      <c r="F17">
        <v>2</v>
      </c>
      <c r="G17">
        <f t="shared" si="2"/>
        <v>2</v>
      </c>
      <c r="H17">
        <v>4</v>
      </c>
      <c r="I17">
        <v>7</v>
      </c>
      <c r="J17">
        <f t="shared" si="3"/>
        <v>-3</v>
      </c>
    </row>
    <row r="19" spans="1:10" x14ac:dyDescent="0.3">
      <c r="A19" t="s">
        <v>49</v>
      </c>
    </row>
    <row r="20" spans="1:10" x14ac:dyDescent="0.3">
      <c r="A20" t="str">
        <f>B5</f>
        <v>São Raimundo</v>
      </c>
      <c r="B20" t="s">
        <v>73</v>
      </c>
      <c r="C20" t="str">
        <f>B14</f>
        <v>Monte Roraima</v>
      </c>
    </row>
    <row r="21" spans="1:10" x14ac:dyDescent="0.3">
      <c r="A21" t="str">
        <f>B13</f>
        <v>Baré</v>
      </c>
      <c r="B21" t="s">
        <v>389</v>
      </c>
      <c r="C21" t="str">
        <f>B6</f>
        <v>Rio Negro</v>
      </c>
    </row>
    <row r="23" spans="1:10" x14ac:dyDescent="0.3">
      <c r="A23" t="s">
        <v>19</v>
      </c>
    </row>
    <row r="24" spans="1:10" x14ac:dyDescent="0.3">
      <c r="A24" t="s">
        <v>760</v>
      </c>
      <c r="B24" t="s">
        <v>275</v>
      </c>
      <c r="C24" t="s">
        <v>41</v>
      </c>
    </row>
    <row r="26" spans="1:10" x14ac:dyDescent="0.3">
      <c r="A26" t="s">
        <v>572</v>
      </c>
    </row>
    <row r="27" spans="1:10" x14ac:dyDescent="0.3">
      <c r="A27" t="s">
        <v>35</v>
      </c>
    </row>
    <row r="28" spans="1:10" x14ac:dyDescent="0.3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</row>
    <row r="29" spans="1:10" x14ac:dyDescent="0.3">
      <c r="A29" s="1" t="s">
        <v>11</v>
      </c>
      <c r="B29" t="s">
        <v>758</v>
      </c>
      <c r="C29" s="3">
        <v>9</v>
      </c>
      <c r="D29">
        <v>4</v>
      </c>
      <c r="E29">
        <v>3</v>
      </c>
      <c r="F29">
        <v>0</v>
      </c>
      <c r="G29">
        <f>D29-E29-F29</f>
        <v>1</v>
      </c>
      <c r="H29">
        <v>7</v>
      </c>
      <c r="I29">
        <v>2</v>
      </c>
      <c r="J29">
        <f>H29-I29</f>
        <v>5</v>
      </c>
    </row>
    <row r="30" spans="1:10" x14ac:dyDescent="0.3">
      <c r="A30" s="1" t="s">
        <v>12</v>
      </c>
      <c r="B30" t="s">
        <v>528</v>
      </c>
      <c r="C30" s="3">
        <v>8</v>
      </c>
      <c r="D30">
        <v>4</v>
      </c>
      <c r="E30">
        <v>2</v>
      </c>
      <c r="F30">
        <v>2</v>
      </c>
      <c r="G30">
        <f>D30-E30-F30</f>
        <v>0</v>
      </c>
      <c r="H30">
        <v>8</v>
      </c>
      <c r="I30">
        <v>1</v>
      </c>
      <c r="J30">
        <f>H30-I30</f>
        <v>7</v>
      </c>
    </row>
    <row r="31" spans="1:10" x14ac:dyDescent="0.3">
      <c r="A31" t="s">
        <v>13</v>
      </c>
      <c r="B31" t="s">
        <v>757</v>
      </c>
      <c r="C31" s="3">
        <v>4</v>
      </c>
      <c r="D31">
        <v>4</v>
      </c>
      <c r="E31">
        <v>1</v>
      </c>
      <c r="F31">
        <v>1</v>
      </c>
      <c r="G31">
        <f>D31-E31-F31</f>
        <v>2</v>
      </c>
      <c r="H31">
        <v>3</v>
      </c>
      <c r="I31">
        <v>4</v>
      </c>
      <c r="J31">
        <f>H31-I31</f>
        <v>-1</v>
      </c>
    </row>
    <row r="32" spans="1:10" x14ac:dyDescent="0.3">
      <c r="A32" t="s">
        <v>14</v>
      </c>
      <c r="B32" t="s">
        <v>759</v>
      </c>
      <c r="C32" s="3">
        <v>2</v>
      </c>
      <c r="D32">
        <v>4</v>
      </c>
      <c r="E32">
        <v>0</v>
      </c>
      <c r="F32">
        <v>2</v>
      </c>
      <c r="G32">
        <f>D32-E32-F32</f>
        <v>2</v>
      </c>
      <c r="H32">
        <v>2</v>
      </c>
      <c r="I32">
        <v>5</v>
      </c>
      <c r="J32">
        <f>H32-I32</f>
        <v>-3</v>
      </c>
    </row>
    <row r="33" spans="1:10" x14ac:dyDescent="0.3">
      <c r="C33" s="3"/>
    </row>
    <row r="34" spans="1:10" x14ac:dyDescent="0.3">
      <c r="A34" t="s">
        <v>36</v>
      </c>
    </row>
    <row r="35" spans="1:10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</row>
    <row r="36" spans="1:10" x14ac:dyDescent="0.3">
      <c r="A36" s="1" t="s">
        <v>11</v>
      </c>
      <c r="B36" t="s">
        <v>696</v>
      </c>
      <c r="C36" s="3">
        <v>7</v>
      </c>
      <c r="D36">
        <v>4</v>
      </c>
      <c r="E36">
        <v>2</v>
      </c>
      <c r="F36">
        <v>1</v>
      </c>
      <c r="G36">
        <f>D36-E36-F36</f>
        <v>1</v>
      </c>
      <c r="H36">
        <v>4</v>
      </c>
      <c r="I36">
        <v>3</v>
      </c>
      <c r="J36">
        <f>H36-I36</f>
        <v>1</v>
      </c>
    </row>
    <row r="37" spans="1:10" x14ac:dyDescent="0.3">
      <c r="A37" s="1" t="s">
        <v>12</v>
      </c>
      <c r="B37" t="s">
        <v>41</v>
      </c>
      <c r="C37" s="3">
        <v>7</v>
      </c>
      <c r="D37">
        <v>4</v>
      </c>
      <c r="E37">
        <v>2</v>
      </c>
      <c r="F37">
        <v>1</v>
      </c>
      <c r="G37">
        <f>D37-E37-F37</f>
        <v>1</v>
      </c>
      <c r="H37">
        <v>4</v>
      </c>
      <c r="I37">
        <v>5</v>
      </c>
      <c r="J37">
        <f>H37-I37</f>
        <v>-1</v>
      </c>
    </row>
    <row r="38" spans="1:10" x14ac:dyDescent="0.3">
      <c r="A38" t="s">
        <v>13</v>
      </c>
      <c r="B38" t="s">
        <v>331</v>
      </c>
      <c r="C38" s="3">
        <v>4</v>
      </c>
      <c r="D38">
        <v>4</v>
      </c>
      <c r="E38">
        <v>1</v>
      </c>
      <c r="F38">
        <v>1</v>
      </c>
      <c r="G38">
        <f>D38-E38-F38</f>
        <v>2</v>
      </c>
      <c r="H38">
        <v>3</v>
      </c>
      <c r="I38">
        <v>6</v>
      </c>
      <c r="J38">
        <f>H38-I38</f>
        <v>-3</v>
      </c>
    </row>
    <row r="39" spans="1:10" x14ac:dyDescent="0.3">
      <c r="A39" t="s">
        <v>14</v>
      </c>
      <c r="B39" t="s">
        <v>760</v>
      </c>
      <c r="C39" s="3">
        <v>2</v>
      </c>
      <c r="D39">
        <v>4</v>
      </c>
      <c r="E39">
        <v>0</v>
      </c>
      <c r="F39">
        <v>2</v>
      </c>
      <c r="G39">
        <f>D39-E39-F39</f>
        <v>2</v>
      </c>
      <c r="H39">
        <v>1</v>
      </c>
      <c r="I39">
        <v>6</v>
      </c>
      <c r="J39">
        <f>H39-I39</f>
        <v>-5</v>
      </c>
    </row>
    <row r="41" spans="1:10" x14ac:dyDescent="0.3">
      <c r="A41" t="s">
        <v>49</v>
      </c>
    </row>
    <row r="42" spans="1:10" x14ac:dyDescent="0.3">
      <c r="A42" t="str">
        <f>B29</f>
        <v>Progresso</v>
      </c>
      <c r="B42" t="s">
        <v>73</v>
      </c>
      <c r="C42" t="str">
        <f>B37</f>
        <v>Baré</v>
      </c>
    </row>
    <row r="43" spans="1:10" x14ac:dyDescent="0.3">
      <c r="A43" t="str">
        <f>B36</f>
        <v>River</v>
      </c>
      <c r="B43" t="s">
        <v>32</v>
      </c>
      <c r="C43" t="str">
        <f>B30</f>
        <v>São Raimundo</v>
      </c>
    </row>
    <row r="45" spans="1:10" x14ac:dyDescent="0.3">
      <c r="A45" t="s">
        <v>19</v>
      </c>
    </row>
    <row r="46" spans="1:10" x14ac:dyDescent="0.3">
      <c r="A46" t="s">
        <v>696</v>
      </c>
      <c r="B46" t="s">
        <v>109</v>
      </c>
      <c r="C46" t="s">
        <v>41</v>
      </c>
    </row>
    <row r="48" spans="1:10" x14ac:dyDescent="0.3">
      <c r="A48" t="s">
        <v>580</v>
      </c>
    </row>
    <row r="49" spans="1:3" x14ac:dyDescent="0.3">
      <c r="A49" t="s">
        <v>696</v>
      </c>
      <c r="B49" t="s">
        <v>29</v>
      </c>
      <c r="C49" t="s">
        <v>41</v>
      </c>
    </row>
    <row r="51" spans="1:3" x14ac:dyDescent="0.3">
      <c r="A51" t="s">
        <v>113</v>
      </c>
    </row>
    <row r="52" spans="1:3" x14ac:dyDescent="0.3">
      <c r="A52" t="s">
        <v>41</v>
      </c>
    </row>
    <row r="53" spans="1:3" x14ac:dyDescent="0.3">
      <c r="A53" t="s">
        <v>696</v>
      </c>
    </row>
    <row r="55" spans="1:3" x14ac:dyDescent="0.3">
      <c r="A55" t="s">
        <v>114</v>
      </c>
    </row>
    <row r="56" spans="1:3" x14ac:dyDescent="0.3">
      <c r="A56" t="s">
        <v>41</v>
      </c>
    </row>
    <row r="57" spans="1:3" x14ac:dyDescent="0.3">
      <c r="A57" t="s">
        <v>696</v>
      </c>
    </row>
    <row r="58" spans="1:3" x14ac:dyDescent="0.3">
      <c r="A58" t="s">
        <v>758</v>
      </c>
    </row>
  </sheetData>
  <sortState xmlns:xlrd2="http://schemas.microsoft.com/office/spreadsheetml/2017/richdata2" ref="B36:J39">
    <sortCondition descending="1" ref="C36:C39"/>
    <sortCondition descending="1" ref="J36:J39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08A7-E844-4D64-A304-B770F36B936D}">
  <dimension ref="A1:AT58"/>
  <sheetViews>
    <sheetView topLeftCell="R1" workbookViewId="0">
      <selection activeCell="W1" sqref="W1:AF21"/>
    </sheetView>
  </sheetViews>
  <sheetFormatPr defaultRowHeight="14.4" x14ac:dyDescent="0.3"/>
  <sheetData>
    <row r="1" spans="1:46" x14ac:dyDescent="0.3">
      <c r="A1" t="s">
        <v>300</v>
      </c>
      <c r="L1" t="s">
        <v>315</v>
      </c>
      <c r="W1" t="s">
        <v>330</v>
      </c>
      <c r="AH1" t="s">
        <v>314</v>
      </c>
      <c r="AS1" t="s">
        <v>50</v>
      </c>
    </row>
    <row r="2" spans="1:46" x14ac:dyDescent="0.3">
      <c r="A2" t="s">
        <v>35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35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308</v>
      </c>
      <c r="AT2">
        <v>2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11</v>
      </c>
      <c r="M3" t="s">
        <v>316</v>
      </c>
      <c r="N3" s="3">
        <v>28</v>
      </c>
      <c r="O3">
        <v>15</v>
      </c>
      <c r="P3">
        <v>9</v>
      </c>
      <c r="Q3">
        <v>1</v>
      </c>
      <c r="R3">
        <f t="shared" ref="R3:R18" si="0">O3-P3-Q3</f>
        <v>5</v>
      </c>
      <c r="S3">
        <v>30</v>
      </c>
      <c r="T3">
        <v>17</v>
      </c>
      <c r="U3">
        <f t="shared" ref="U3:U18" si="1">S3-T3</f>
        <v>13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s="1" t="s">
        <v>11</v>
      </c>
      <c r="AI3" t="s">
        <v>304</v>
      </c>
      <c r="AJ3" s="3">
        <v>23</v>
      </c>
      <c r="AK3">
        <v>11</v>
      </c>
      <c r="AL3">
        <v>6</v>
      </c>
      <c r="AM3">
        <v>5</v>
      </c>
      <c r="AN3">
        <f>AK3-AL3-AM3</f>
        <v>0</v>
      </c>
      <c r="AO3">
        <v>15</v>
      </c>
      <c r="AP3">
        <v>8</v>
      </c>
      <c r="AQ3">
        <f>AO3-AP3</f>
        <v>7</v>
      </c>
      <c r="AS3" t="s">
        <v>318</v>
      </c>
      <c r="AT3">
        <v>1</v>
      </c>
    </row>
    <row r="4" spans="1:46" x14ac:dyDescent="0.3">
      <c r="A4" s="1" t="s">
        <v>11</v>
      </c>
      <c r="B4" t="s">
        <v>290</v>
      </c>
      <c r="C4" s="3">
        <v>11</v>
      </c>
      <c r="D4">
        <v>6</v>
      </c>
      <c r="E4">
        <v>3</v>
      </c>
      <c r="F4">
        <v>2</v>
      </c>
      <c r="G4">
        <f>D4-E4-F4</f>
        <v>1</v>
      </c>
      <c r="H4">
        <v>6</v>
      </c>
      <c r="I4">
        <v>3</v>
      </c>
      <c r="J4">
        <f>H4-I4</f>
        <v>3</v>
      </c>
      <c r="L4" s="1" t="s">
        <v>12</v>
      </c>
      <c r="M4" t="s">
        <v>317</v>
      </c>
      <c r="N4" s="3">
        <v>28</v>
      </c>
      <c r="O4">
        <v>15</v>
      </c>
      <c r="P4">
        <v>9</v>
      </c>
      <c r="Q4">
        <v>1</v>
      </c>
      <c r="R4">
        <f t="shared" si="0"/>
        <v>5</v>
      </c>
      <c r="S4">
        <v>28</v>
      </c>
      <c r="T4">
        <v>21</v>
      </c>
      <c r="U4">
        <f t="shared" si="1"/>
        <v>7</v>
      </c>
      <c r="W4" s="1" t="s">
        <v>11</v>
      </c>
      <c r="X4">
        <v>1992</v>
      </c>
      <c r="Y4" s="3">
        <v>15</v>
      </c>
      <c r="Z4">
        <v>8</v>
      </c>
      <c r="AA4">
        <v>4</v>
      </c>
      <c r="AB4">
        <v>3</v>
      </c>
      <c r="AC4">
        <f>Z4-AA4-AB4</f>
        <v>1</v>
      </c>
      <c r="AD4">
        <v>14</v>
      </c>
      <c r="AE4">
        <v>8</v>
      </c>
      <c r="AF4">
        <f>AD4-AE4</f>
        <v>6</v>
      </c>
      <c r="AH4" s="1" t="s">
        <v>12</v>
      </c>
      <c r="AI4" t="s">
        <v>337</v>
      </c>
      <c r="AJ4" s="3">
        <v>21</v>
      </c>
      <c r="AK4">
        <v>11</v>
      </c>
      <c r="AL4">
        <v>7</v>
      </c>
      <c r="AM4">
        <v>0</v>
      </c>
      <c r="AN4">
        <f t="shared" ref="AN4:AN14" si="2">AK4-AL4-AM4</f>
        <v>4</v>
      </c>
      <c r="AO4">
        <v>15</v>
      </c>
      <c r="AP4">
        <v>12</v>
      </c>
      <c r="AQ4">
        <f t="shared" ref="AQ4:AQ14" si="3">AO4-AP4</f>
        <v>3</v>
      </c>
      <c r="AS4" t="s">
        <v>331</v>
      </c>
      <c r="AT4">
        <v>1</v>
      </c>
    </row>
    <row r="5" spans="1:46" x14ac:dyDescent="0.3">
      <c r="A5" s="1" t="s">
        <v>12</v>
      </c>
      <c r="B5" t="s">
        <v>302</v>
      </c>
      <c r="C5" s="3">
        <v>11</v>
      </c>
      <c r="D5">
        <v>6</v>
      </c>
      <c r="E5">
        <v>3</v>
      </c>
      <c r="F5">
        <v>2</v>
      </c>
      <c r="G5">
        <f t="shared" ref="G5:G9" si="4">D5-E5-F5</f>
        <v>1</v>
      </c>
      <c r="H5">
        <v>7</v>
      </c>
      <c r="I5">
        <v>5</v>
      </c>
      <c r="J5">
        <f t="shared" ref="J5:J9" si="5">H5-I5</f>
        <v>2</v>
      </c>
      <c r="L5" s="1" t="s">
        <v>13</v>
      </c>
      <c r="M5" t="s">
        <v>98</v>
      </c>
      <c r="N5" s="3">
        <v>26</v>
      </c>
      <c r="O5">
        <v>15</v>
      </c>
      <c r="P5">
        <v>8</v>
      </c>
      <c r="Q5">
        <v>2</v>
      </c>
      <c r="R5">
        <f t="shared" si="0"/>
        <v>5</v>
      </c>
      <c r="S5">
        <v>23</v>
      </c>
      <c r="T5">
        <v>18</v>
      </c>
      <c r="U5">
        <f t="shared" si="1"/>
        <v>5</v>
      </c>
      <c r="W5" s="1" t="s">
        <v>12</v>
      </c>
      <c r="X5" t="s">
        <v>331</v>
      </c>
      <c r="Y5" s="3">
        <v>12</v>
      </c>
      <c r="Z5">
        <v>8</v>
      </c>
      <c r="AA5">
        <v>3</v>
      </c>
      <c r="AB5">
        <v>3</v>
      </c>
      <c r="AC5">
        <f t="shared" ref="AC5:AC8" si="6">Z5-AA5-AB5</f>
        <v>2</v>
      </c>
      <c r="AD5">
        <v>15</v>
      </c>
      <c r="AE5">
        <v>11</v>
      </c>
      <c r="AF5">
        <f t="shared" ref="AF5:AF8" si="7">AD5-AE5</f>
        <v>4</v>
      </c>
      <c r="AH5" s="4" t="s">
        <v>13</v>
      </c>
      <c r="AI5" t="s">
        <v>300</v>
      </c>
      <c r="AJ5" s="3">
        <v>20</v>
      </c>
      <c r="AK5">
        <v>11</v>
      </c>
      <c r="AL5">
        <v>6</v>
      </c>
      <c r="AM5">
        <v>2</v>
      </c>
      <c r="AN5">
        <f t="shared" si="2"/>
        <v>3</v>
      </c>
      <c r="AO5">
        <v>19</v>
      </c>
      <c r="AP5">
        <v>12</v>
      </c>
      <c r="AQ5">
        <f t="shared" si="3"/>
        <v>7</v>
      </c>
      <c r="AS5" t="s">
        <v>304</v>
      </c>
      <c r="AT5">
        <v>2</v>
      </c>
    </row>
    <row r="6" spans="1:46" x14ac:dyDescent="0.3">
      <c r="A6" s="1" t="s">
        <v>13</v>
      </c>
      <c r="B6" t="s">
        <v>301</v>
      </c>
      <c r="C6" s="3">
        <v>10</v>
      </c>
      <c r="D6">
        <v>6</v>
      </c>
      <c r="E6">
        <v>2</v>
      </c>
      <c r="F6">
        <v>4</v>
      </c>
      <c r="G6">
        <f t="shared" si="4"/>
        <v>0</v>
      </c>
      <c r="H6">
        <v>5</v>
      </c>
      <c r="I6">
        <v>3</v>
      </c>
      <c r="J6">
        <f t="shared" si="5"/>
        <v>2</v>
      </c>
      <c r="L6" s="1" t="s">
        <v>14</v>
      </c>
      <c r="M6" t="s">
        <v>318</v>
      </c>
      <c r="N6" s="3">
        <v>26</v>
      </c>
      <c r="O6">
        <v>15</v>
      </c>
      <c r="P6">
        <v>8</v>
      </c>
      <c r="Q6">
        <v>2</v>
      </c>
      <c r="R6">
        <f t="shared" si="0"/>
        <v>5</v>
      </c>
      <c r="S6">
        <v>22</v>
      </c>
      <c r="T6">
        <v>21</v>
      </c>
      <c r="U6">
        <f t="shared" si="1"/>
        <v>1</v>
      </c>
      <c r="W6" t="s">
        <v>13</v>
      </c>
      <c r="X6" t="s">
        <v>332</v>
      </c>
      <c r="Y6" s="3">
        <v>11</v>
      </c>
      <c r="Z6">
        <v>8</v>
      </c>
      <c r="AA6">
        <v>3</v>
      </c>
      <c r="AB6">
        <v>2</v>
      </c>
      <c r="AC6">
        <f t="shared" si="6"/>
        <v>3</v>
      </c>
      <c r="AD6">
        <v>12</v>
      </c>
      <c r="AE6">
        <v>10</v>
      </c>
      <c r="AF6">
        <f t="shared" si="7"/>
        <v>2</v>
      </c>
      <c r="AH6" s="4" t="s">
        <v>14</v>
      </c>
      <c r="AI6" t="s">
        <v>322</v>
      </c>
      <c r="AJ6" s="3">
        <v>17</v>
      </c>
      <c r="AK6">
        <v>11</v>
      </c>
      <c r="AL6">
        <v>5</v>
      </c>
      <c r="AM6">
        <v>2</v>
      </c>
      <c r="AN6">
        <f t="shared" si="2"/>
        <v>4</v>
      </c>
      <c r="AO6">
        <v>18</v>
      </c>
      <c r="AP6">
        <v>14</v>
      </c>
      <c r="AQ6">
        <f t="shared" si="3"/>
        <v>4</v>
      </c>
    </row>
    <row r="7" spans="1:46" x14ac:dyDescent="0.3">
      <c r="A7" s="1" t="s">
        <v>14</v>
      </c>
      <c r="B7" t="s">
        <v>26</v>
      </c>
      <c r="C7" s="3">
        <v>8</v>
      </c>
      <c r="D7">
        <v>6</v>
      </c>
      <c r="E7">
        <v>2</v>
      </c>
      <c r="F7">
        <v>2</v>
      </c>
      <c r="G7">
        <f t="shared" si="4"/>
        <v>2</v>
      </c>
      <c r="H7">
        <v>4</v>
      </c>
      <c r="I7">
        <v>3</v>
      </c>
      <c r="J7">
        <f t="shared" si="5"/>
        <v>1</v>
      </c>
      <c r="L7" s="1" t="s">
        <v>15</v>
      </c>
      <c r="M7" t="s">
        <v>254</v>
      </c>
      <c r="N7" s="3">
        <v>25</v>
      </c>
      <c r="O7">
        <v>15</v>
      </c>
      <c r="P7">
        <v>8</v>
      </c>
      <c r="Q7">
        <v>1</v>
      </c>
      <c r="R7">
        <f t="shared" si="0"/>
        <v>6</v>
      </c>
      <c r="S7">
        <v>25</v>
      </c>
      <c r="T7">
        <v>20</v>
      </c>
      <c r="U7">
        <f t="shared" si="1"/>
        <v>5</v>
      </c>
      <c r="W7" t="s">
        <v>14</v>
      </c>
      <c r="X7" t="s">
        <v>333</v>
      </c>
      <c r="Y7" s="3">
        <v>8</v>
      </c>
      <c r="Z7">
        <v>8</v>
      </c>
      <c r="AA7">
        <v>1</v>
      </c>
      <c r="AB7">
        <v>5</v>
      </c>
      <c r="AC7">
        <f t="shared" si="6"/>
        <v>2</v>
      </c>
      <c r="AD7">
        <v>12</v>
      </c>
      <c r="AE7">
        <v>15</v>
      </c>
      <c r="AF7">
        <f t="shared" si="7"/>
        <v>-3</v>
      </c>
      <c r="AH7" s="4" t="s">
        <v>15</v>
      </c>
      <c r="AI7" t="s">
        <v>321</v>
      </c>
      <c r="AJ7" s="3">
        <v>16</v>
      </c>
      <c r="AK7">
        <v>11</v>
      </c>
      <c r="AL7">
        <v>5</v>
      </c>
      <c r="AM7">
        <v>1</v>
      </c>
      <c r="AN7">
        <f t="shared" si="2"/>
        <v>5</v>
      </c>
      <c r="AO7">
        <v>19</v>
      </c>
      <c r="AP7">
        <v>17</v>
      </c>
      <c r="AQ7">
        <f t="shared" si="3"/>
        <v>2</v>
      </c>
    </row>
    <row r="8" spans="1:46" x14ac:dyDescent="0.3">
      <c r="A8" s="5" t="s">
        <v>15</v>
      </c>
      <c r="B8" t="s">
        <v>303</v>
      </c>
      <c r="C8" s="3">
        <v>6</v>
      </c>
      <c r="D8">
        <v>6</v>
      </c>
      <c r="E8">
        <v>1</v>
      </c>
      <c r="F8">
        <v>3</v>
      </c>
      <c r="G8">
        <f t="shared" si="4"/>
        <v>2</v>
      </c>
      <c r="H8">
        <v>8</v>
      </c>
      <c r="I8">
        <v>6</v>
      </c>
      <c r="J8">
        <f t="shared" si="5"/>
        <v>2</v>
      </c>
      <c r="L8" s="1" t="s">
        <v>16</v>
      </c>
      <c r="M8" t="s">
        <v>319</v>
      </c>
      <c r="N8" s="3">
        <v>25</v>
      </c>
      <c r="O8">
        <v>15</v>
      </c>
      <c r="P8">
        <v>7</v>
      </c>
      <c r="Q8">
        <v>4</v>
      </c>
      <c r="R8">
        <f t="shared" si="0"/>
        <v>4</v>
      </c>
      <c r="S8">
        <v>24</v>
      </c>
      <c r="T8">
        <v>24</v>
      </c>
      <c r="U8">
        <f t="shared" si="1"/>
        <v>0</v>
      </c>
      <c r="W8" t="s">
        <v>15</v>
      </c>
      <c r="X8" t="s">
        <v>334</v>
      </c>
      <c r="Y8" s="3">
        <v>6</v>
      </c>
      <c r="Z8">
        <v>8</v>
      </c>
      <c r="AA8">
        <v>1</v>
      </c>
      <c r="AB8">
        <v>3</v>
      </c>
      <c r="AC8">
        <f t="shared" si="6"/>
        <v>4</v>
      </c>
      <c r="AD8">
        <v>6</v>
      </c>
      <c r="AE8">
        <v>15</v>
      </c>
      <c r="AF8">
        <f t="shared" si="7"/>
        <v>-9</v>
      </c>
      <c r="AH8" s="4" t="s">
        <v>16</v>
      </c>
      <c r="AI8" t="s">
        <v>290</v>
      </c>
      <c r="AJ8" s="3">
        <v>15</v>
      </c>
      <c r="AK8">
        <v>11</v>
      </c>
      <c r="AL8">
        <v>5</v>
      </c>
      <c r="AM8">
        <v>0</v>
      </c>
      <c r="AN8">
        <f t="shared" si="2"/>
        <v>6</v>
      </c>
      <c r="AO8">
        <v>12</v>
      </c>
      <c r="AP8">
        <v>15</v>
      </c>
      <c r="AQ8">
        <f t="shared" si="3"/>
        <v>-3</v>
      </c>
    </row>
    <row r="9" spans="1:46" x14ac:dyDescent="0.3">
      <c r="A9" s="5" t="s">
        <v>16</v>
      </c>
      <c r="B9" t="s">
        <v>304</v>
      </c>
      <c r="C9" s="3">
        <v>4</v>
      </c>
      <c r="D9">
        <v>6</v>
      </c>
      <c r="E9">
        <v>1</v>
      </c>
      <c r="F9">
        <v>1</v>
      </c>
      <c r="G9">
        <f t="shared" si="4"/>
        <v>4</v>
      </c>
      <c r="H9">
        <v>5</v>
      </c>
      <c r="I9">
        <v>6</v>
      </c>
      <c r="J9">
        <f t="shared" si="5"/>
        <v>-1</v>
      </c>
      <c r="L9" s="1" t="s">
        <v>17</v>
      </c>
      <c r="M9" t="s">
        <v>320</v>
      </c>
      <c r="N9" s="3">
        <v>23</v>
      </c>
      <c r="O9">
        <v>15</v>
      </c>
      <c r="P9">
        <v>7</v>
      </c>
      <c r="Q9">
        <v>2</v>
      </c>
      <c r="R9">
        <f t="shared" si="0"/>
        <v>6</v>
      </c>
      <c r="S9">
        <v>25</v>
      </c>
      <c r="T9">
        <v>18</v>
      </c>
      <c r="U9">
        <f t="shared" si="1"/>
        <v>7</v>
      </c>
      <c r="Y9" s="3"/>
      <c r="Z9" s="3"/>
      <c r="AA9" s="3"/>
      <c r="AB9" s="3"/>
      <c r="AC9" s="3"/>
      <c r="AF9" s="3"/>
      <c r="AG9" s="3"/>
      <c r="AH9" t="s">
        <v>17</v>
      </c>
      <c r="AI9" t="s">
        <v>26</v>
      </c>
      <c r="AJ9" s="3">
        <v>15</v>
      </c>
      <c r="AK9">
        <v>11</v>
      </c>
      <c r="AL9">
        <v>4</v>
      </c>
      <c r="AM9">
        <v>3</v>
      </c>
      <c r="AN9">
        <f t="shared" si="2"/>
        <v>4</v>
      </c>
      <c r="AO9">
        <v>15</v>
      </c>
      <c r="AP9">
        <v>16</v>
      </c>
      <c r="AQ9">
        <f t="shared" si="3"/>
        <v>-1</v>
      </c>
    </row>
    <row r="10" spans="1:46" x14ac:dyDescent="0.3">
      <c r="L10" s="1" t="s">
        <v>18</v>
      </c>
      <c r="M10" t="s">
        <v>321</v>
      </c>
      <c r="N10" s="3">
        <v>23</v>
      </c>
      <c r="O10">
        <v>15</v>
      </c>
      <c r="P10">
        <v>7</v>
      </c>
      <c r="Q10">
        <v>2</v>
      </c>
      <c r="R10">
        <f t="shared" si="0"/>
        <v>6</v>
      </c>
      <c r="S10">
        <v>24</v>
      </c>
      <c r="T10">
        <v>23</v>
      </c>
      <c r="U10">
        <f t="shared" si="1"/>
        <v>1</v>
      </c>
      <c r="W10" t="s">
        <v>36</v>
      </c>
      <c r="AG10" s="3"/>
      <c r="AH10" t="s">
        <v>18</v>
      </c>
      <c r="AI10" t="s">
        <v>301</v>
      </c>
      <c r="AJ10" s="3">
        <v>14</v>
      </c>
      <c r="AK10">
        <v>11</v>
      </c>
      <c r="AL10">
        <v>4</v>
      </c>
      <c r="AM10">
        <v>2</v>
      </c>
      <c r="AN10">
        <f t="shared" si="2"/>
        <v>5</v>
      </c>
      <c r="AO10">
        <v>17</v>
      </c>
      <c r="AP10">
        <v>20</v>
      </c>
      <c r="AQ10">
        <f t="shared" si="3"/>
        <v>-3</v>
      </c>
    </row>
    <row r="11" spans="1:46" x14ac:dyDescent="0.3">
      <c r="A11" t="s">
        <v>36</v>
      </c>
      <c r="L11" t="s">
        <v>55</v>
      </c>
      <c r="M11" t="s">
        <v>322</v>
      </c>
      <c r="N11" s="3">
        <v>23</v>
      </c>
      <c r="O11">
        <v>15</v>
      </c>
      <c r="P11">
        <v>7</v>
      </c>
      <c r="Q11">
        <v>2</v>
      </c>
      <c r="R11">
        <f t="shared" si="0"/>
        <v>6</v>
      </c>
      <c r="S11">
        <v>20</v>
      </c>
      <c r="T11">
        <v>20</v>
      </c>
      <c r="U11">
        <f t="shared" si="1"/>
        <v>0</v>
      </c>
      <c r="W11" t="s">
        <v>1</v>
      </c>
      <c r="X11" t="s">
        <v>2</v>
      </c>
      <c r="Y11" t="s">
        <v>3</v>
      </c>
      <c r="Z11" t="s">
        <v>4</v>
      </c>
      <c r="AA11" t="s">
        <v>5</v>
      </c>
      <c r="AB11" t="s">
        <v>6</v>
      </c>
      <c r="AC11" t="s">
        <v>7</v>
      </c>
      <c r="AD11" t="s">
        <v>8</v>
      </c>
      <c r="AE11" t="s">
        <v>9</v>
      </c>
      <c r="AF11" t="s">
        <v>10</v>
      </c>
      <c r="AH11" t="s">
        <v>55</v>
      </c>
      <c r="AI11" t="s">
        <v>308</v>
      </c>
      <c r="AJ11" s="3">
        <v>13</v>
      </c>
      <c r="AK11">
        <v>11</v>
      </c>
      <c r="AL11">
        <v>3</v>
      </c>
      <c r="AM11">
        <v>4</v>
      </c>
      <c r="AN11">
        <f t="shared" si="2"/>
        <v>4</v>
      </c>
      <c r="AO11">
        <v>16</v>
      </c>
      <c r="AP11">
        <v>17</v>
      </c>
      <c r="AQ11">
        <f t="shared" si="3"/>
        <v>-1</v>
      </c>
    </row>
    <row r="12" spans="1:46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t="s">
        <v>56</v>
      </c>
      <c r="M12" t="s">
        <v>300</v>
      </c>
      <c r="N12" s="3">
        <v>23</v>
      </c>
      <c r="O12">
        <v>15</v>
      </c>
      <c r="P12">
        <v>7</v>
      </c>
      <c r="Q12">
        <v>2</v>
      </c>
      <c r="R12">
        <f t="shared" si="0"/>
        <v>6</v>
      </c>
      <c r="S12">
        <v>26</v>
      </c>
      <c r="T12">
        <v>27</v>
      </c>
      <c r="U12">
        <f t="shared" si="1"/>
        <v>-1</v>
      </c>
      <c r="W12" s="1" t="s">
        <v>11</v>
      </c>
      <c r="X12" t="s">
        <v>45</v>
      </c>
      <c r="Y12" s="3">
        <v>9</v>
      </c>
      <c r="Z12">
        <v>6</v>
      </c>
      <c r="AA12">
        <v>2</v>
      </c>
      <c r="AB12">
        <v>3</v>
      </c>
      <c r="AC12">
        <f>Z12-AA12-AB12</f>
        <v>1</v>
      </c>
      <c r="AD12">
        <v>11</v>
      </c>
      <c r="AE12">
        <v>10</v>
      </c>
      <c r="AF12">
        <f>AD12-AE12</f>
        <v>1</v>
      </c>
      <c r="AH12" t="s">
        <v>56</v>
      </c>
      <c r="AI12" t="s">
        <v>325</v>
      </c>
      <c r="AJ12" s="3">
        <v>11</v>
      </c>
      <c r="AK12">
        <v>11</v>
      </c>
      <c r="AL12">
        <v>3</v>
      </c>
      <c r="AM12">
        <v>2</v>
      </c>
      <c r="AN12">
        <f t="shared" si="2"/>
        <v>6</v>
      </c>
      <c r="AO12">
        <v>15</v>
      </c>
      <c r="AP12">
        <v>17</v>
      </c>
      <c r="AQ12">
        <f t="shared" si="3"/>
        <v>-2</v>
      </c>
    </row>
    <row r="13" spans="1:46" x14ac:dyDescent="0.3">
      <c r="A13" s="1" t="s">
        <v>11</v>
      </c>
      <c r="B13" t="s">
        <v>305</v>
      </c>
      <c r="C13" s="3">
        <v>11</v>
      </c>
      <c r="D13">
        <v>6</v>
      </c>
      <c r="E13">
        <v>3</v>
      </c>
      <c r="F13">
        <v>2</v>
      </c>
      <c r="G13">
        <f>D13-E13-F13</f>
        <v>1</v>
      </c>
      <c r="H13">
        <v>6</v>
      </c>
      <c r="I13">
        <v>3</v>
      </c>
      <c r="J13">
        <f>H13-I13</f>
        <v>3</v>
      </c>
      <c r="L13" t="s">
        <v>57</v>
      </c>
      <c r="M13" t="s">
        <v>323</v>
      </c>
      <c r="N13" s="3">
        <v>22</v>
      </c>
      <c r="O13">
        <v>15</v>
      </c>
      <c r="P13">
        <v>7</v>
      </c>
      <c r="Q13">
        <v>1</v>
      </c>
      <c r="R13">
        <f t="shared" si="0"/>
        <v>7</v>
      </c>
      <c r="S13">
        <v>24</v>
      </c>
      <c r="T13">
        <v>21</v>
      </c>
      <c r="U13">
        <f t="shared" si="1"/>
        <v>3</v>
      </c>
      <c r="W13" s="1" t="s">
        <v>12</v>
      </c>
      <c r="X13" t="s">
        <v>335</v>
      </c>
      <c r="Y13" s="3">
        <v>8</v>
      </c>
      <c r="Z13">
        <v>6</v>
      </c>
      <c r="AA13">
        <v>2</v>
      </c>
      <c r="AB13">
        <v>2</v>
      </c>
      <c r="AC13">
        <f>Z13-AA13-AB13</f>
        <v>2</v>
      </c>
      <c r="AD13">
        <v>9</v>
      </c>
      <c r="AE13">
        <v>9</v>
      </c>
      <c r="AF13">
        <f>AD13-AE13</f>
        <v>0</v>
      </c>
      <c r="AH13" t="s">
        <v>57</v>
      </c>
      <c r="AI13" t="s">
        <v>307</v>
      </c>
      <c r="AJ13" s="3">
        <v>11</v>
      </c>
      <c r="AK13">
        <v>11</v>
      </c>
      <c r="AL13">
        <v>3</v>
      </c>
      <c r="AM13">
        <v>2</v>
      </c>
      <c r="AN13">
        <f t="shared" si="2"/>
        <v>6</v>
      </c>
      <c r="AO13">
        <v>16</v>
      </c>
      <c r="AP13">
        <v>20</v>
      </c>
      <c r="AQ13">
        <f t="shared" si="3"/>
        <v>-4</v>
      </c>
    </row>
    <row r="14" spans="1:46" x14ac:dyDescent="0.3">
      <c r="A14" s="1" t="s">
        <v>12</v>
      </c>
      <c r="B14" t="s">
        <v>306</v>
      </c>
      <c r="C14" s="3">
        <v>10</v>
      </c>
      <c r="D14">
        <v>6</v>
      </c>
      <c r="E14">
        <v>3</v>
      </c>
      <c r="F14">
        <v>1</v>
      </c>
      <c r="G14">
        <f t="shared" ref="G14:G18" si="8">D14-E14-F14</f>
        <v>2</v>
      </c>
      <c r="H14">
        <v>4</v>
      </c>
      <c r="I14">
        <v>3</v>
      </c>
      <c r="J14">
        <f t="shared" ref="J14:J18" si="9">H14-I14</f>
        <v>1</v>
      </c>
      <c r="L14" t="s">
        <v>58</v>
      </c>
      <c r="M14" t="s">
        <v>324</v>
      </c>
      <c r="N14" s="3">
        <v>19</v>
      </c>
      <c r="O14">
        <v>15</v>
      </c>
      <c r="P14">
        <v>6</v>
      </c>
      <c r="Q14">
        <v>1</v>
      </c>
      <c r="R14">
        <f t="shared" si="0"/>
        <v>8</v>
      </c>
      <c r="S14">
        <v>20</v>
      </c>
      <c r="T14">
        <v>24</v>
      </c>
      <c r="U14">
        <f t="shared" si="1"/>
        <v>-4</v>
      </c>
      <c r="W14" t="s">
        <v>13</v>
      </c>
      <c r="X14" t="s">
        <v>336</v>
      </c>
      <c r="Y14" s="3">
        <v>7</v>
      </c>
      <c r="Z14">
        <v>6</v>
      </c>
      <c r="AA14">
        <v>2</v>
      </c>
      <c r="AB14">
        <v>1</v>
      </c>
      <c r="AC14">
        <f>Z14-AA14-AB14</f>
        <v>3</v>
      </c>
      <c r="AD14">
        <v>8</v>
      </c>
      <c r="AE14">
        <v>9</v>
      </c>
      <c r="AF14">
        <f>AD14-AE14</f>
        <v>-1</v>
      </c>
      <c r="AH14" t="s">
        <v>58</v>
      </c>
      <c r="AI14" t="s">
        <v>323</v>
      </c>
      <c r="AJ14" s="3">
        <v>10</v>
      </c>
      <c r="AK14">
        <v>11</v>
      </c>
      <c r="AL14">
        <v>3</v>
      </c>
      <c r="AM14">
        <v>1</v>
      </c>
      <c r="AN14">
        <f t="shared" si="2"/>
        <v>7</v>
      </c>
      <c r="AO14">
        <v>10</v>
      </c>
      <c r="AP14">
        <v>19</v>
      </c>
      <c r="AQ14">
        <f t="shared" si="3"/>
        <v>-9</v>
      </c>
    </row>
    <row r="15" spans="1:46" x14ac:dyDescent="0.3">
      <c r="A15" s="1" t="s">
        <v>13</v>
      </c>
      <c r="B15" t="s">
        <v>307</v>
      </c>
      <c r="C15" s="3">
        <v>7</v>
      </c>
      <c r="D15">
        <v>6</v>
      </c>
      <c r="E15">
        <v>1</v>
      </c>
      <c r="F15">
        <v>4</v>
      </c>
      <c r="G15">
        <f t="shared" si="8"/>
        <v>1</v>
      </c>
      <c r="H15">
        <v>3</v>
      </c>
      <c r="I15">
        <v>3</v>
      </c>
      <c r="J15">
        <f t="shared" si="9"/>
        <v>0</v>
      </c>
      <c r="L15" t="s">
        <v>91</v>
      </c>
      <c r="M15" t="s">
        <v>325</v>
      </c>
      <c r="N15" s="3">
        <v>18</v>
      </c>
      <c r="O15">
        <v>15</v>
      </c>
      <c r="P15">
        <v>6</v>
      </c>
      <c r="Q15">
        <v>0</v>
      </c>
      <c r="R15">
        <f t="shared" si="0"/>
        <v>9</v>
      </c>
      <c r="S15">
        <v>15</v>
      </c>
      <c r="T15">
        <v>24</v>
      </c>
      <c r="U15">
        <f t="shared" si="1"/>
        <v>-9</v>
      </c>
      <c r="W15" t="s">
        <v>14</v>
      </c>
      <c r="X15" t="s">
        <v>337</v>
      </c>
      <c r="Y15" s="3">
        <v>7</v>
      </c>
      <c r="Z15">
        <v>6</v>
      </c>
      <c r="AA15">
        <v>1</v>
      </c>
      <c r="AB15">
        <v>4</v>
      </c>
      <c r="AC15">
        <f>Z15-AA15-AB15</f>
        <v>1</v>
      </c>
      <c r="AD15">
        <v>10</v>
      </c>
      <c r="AE15">
        <v>10</v>
      </c>
      <c r="AF15">
        <f>AD15-AE15</f>
        <v>0</v>
      </c>
    </row>
    <row r="16" spans="1:46" x14ac:dyDescent="0.3">
      <c r="A16" s="1" t="s">
        <v>14</v>
      </c>
      <c r="B16" t="s">
        <v>308</v>
      </c>
      <c r="C16" s="3">
        <v>6</v>
      </c>
      <c r="D16">
        <v>6</v>
      </c>
      <c r="E16">
        <v>1</v>
      </c>
      <c r="F16">
        <v>3</v>
      </c>
      <c r="G16">
        <f t="shared" si="8"/>
        <v>2</v>
      </c>
      <c r="H16">
        <v>6</v>
      </c>
      <c r="I16">
        <v>7</v>
      </c>
      <c r="J16">
        <f t="shared" si="9"/>
        <v>-1</v>
      </c>
      <c r="L16" t="s">
        <v>92</v>
      </c>
      <c r="M16" t="s">
        <v>326</v>
      </c>
      <c r="N16" s="3">
        <v>16</v>
      </c>
      <c r="O16">
        <v>15</v>
      </c>
      <c r="P16">
        <v>5</v>
      </c>
      <c r="Q16">
        <v>1</v>
      </c>
      <c r="R16">
        <f t="shared" si="0"/>
        <v>9</v>
      </c>
      <c r="S16">
        <v>18</v>
      </c>
      <c r="T16">
        <v>21</v>
      </c>
      <c r="U16">
        <f t="shared" si="1"/>
        <v>-3</v>
      </c>
      <c r="AH16" t="s">
        <v>78</v>
      </c>
    </row>
    <row r="17" spans="1:40" x14ac:dyDescent="0.3">
      <c r="A17" s="5" t="s">
        <v>15</v>
      </c>
      <c r="B17" t="s">
        <v>23</v>
      </c>
      <c r="C17" s="3">
        <v>5</v>
      </c>
      <c r="D17">
        <v>6</v>
      </c>
      <c r="E17">
        <v>1</v>
      </c>
      <c r="F17">
        <v>2</v>
      </c>
      <c r="G17">
        <f t="shared" si="8"/>
        <v>3</v>
      </c>
      <c r="H17">
        <v>4</v>
      </c>
      <c r="I17">
        <v>9</v>
      </c>
      <c r="J17">
        <f t="shared" si="9"/>
        <v>-5</v>
      </c>
      <c r="L17" s="2" t="s">
        <v>93</v>
      </c>
      <c r="M17" t="s">
        <v>327</v>
      </c>
      <c r="N17" s="3">
        <v>11</v>
      </c>
      <c r="O17">
        <v>15</v>
      </c>
      <c r="P17">
        <v>3</v>
      </c>
      <c r="Q17">
        <v>2</v>
      </c>
      <c r="R17">
        <f t="shared" si="0"/>
        <v>10</v>
      </c>
      <c r="S17">
        <v>21</v>
      </c>
      <c r="T17">
        <v>33</v>
      </c>
      <c r="U17">
        <f t="shared" si="1"/>
        <v>-12</v>
      </c>
      <c r="W17" t="s">
        <v>49</v>
      </c>
      <c r="AH17" t="str">
        <f>AI8</f>
        <v>Internacional</v>
      </c>
      <c r="AI17" t="s">
        <v>31</v>
      </c>
      <c r="AJ17" t="str">
        <f>AI5</f>
        <v>Gaúcho</v>
      </c>
      <c r="AL17" t="str">
        <f>AI5</f>
        <v>Gaúcho</v>
      </c>
      <c r="AM17" t="s">
        <v>32</v>
      </c>
      <c r="AN17" t="str">
        <f>AI8</f>
        <v>Internacional</v>
      </c>
    </row>
    <row r="18" spans="1:40" x14ac:dyDescent="0.3">
      <c r="A18" s="5" t="s">
        <v>16</v>
      </c>
      <c r="B18" t="s">
        <v>309</v>
      </c>
      <c r="C18" s="3">
        <v>5</v>
      </c>
      <c r="D18">
        <v>6</v>
      </c>
      <c r="E18">
        <v>1</v>
      </c>
      <c r="F18">
        <v>2</v>
      </c>
      <c r="G18">
        <f t="shared" si="8"/>
        <v>3</v>
      </c>
      <c r="H18">
        <v>3</v>
      </c>
      <c r="I18">
        <v>10</v>
      </c>
      <c r="J18">
        <f t="shared" si="9"/>
        <v>-7</v>
      </c>
      <c r="L18" s="2" t="s">
        <v>94</v>
      </c>
      <c r="M18" t="s">
        <v>328</v>
      </c>
      <c r="N18" s="3">
        <v>10</v>
      </c>
      <c r="O18">
        <v>15</v>
      </c>
      <c r="P18">
        <v>2</v>
      </c>
      <c r="Q18">
        <v>4</v>
      </c>
      <c r="R18">
        <f t="shared" si="0"/>
        <v>9</v>
      </c>
      <c r="S18">
        <v>13</v>
      </c>
      <c r="T18">
        <v>26</v>
      </c>
      <c r="U18">
        <f t="shared" si="1"/>
        <v>-13</v>
      </c>
      <c r="W18" t="str">
        <f>X13</f>
        <v>Riograndense</v>
      </c>
      <c r="X18" t="s">
        <v>31</v>
      </c>
      <c r="Y18">
        <f>X4</f>
        <v>1992</v>
      </c>
      <c r="AA18">
        <f>X4</f>
        <v>1992</v>
      </c>
      <c r="AB18" t="s">
        <v>133</v>
      </c>
      <c r="AC18" t="str">
        <f>X13</f>
        <v>Riograndense</v>
      </c>
      <c r="AH18" t="str">
        <f>AI7</f>
        <v>Pelotas</v>
      </c>
      <c r="AI18" t="s">
        <v>28</v>
      </c>
      <c r="AJ18" t="str">
        <f>AI6</f>
        <v>Brasil de Pelotas</v>
      </c>
      <c r="AL18" t="str">
        <f>AI6</f>
        <v>Brasil de Pelotas</v>
      </c>
      <c r="AM18" t="s">
        <v>32</v>
      </c>
      <c r="AN18" t="str">
        <f>AI7</f>
        <v>Pelotas</v>
      </c>
    </row>
    <row r="19" spans="1:40" x14ac:dyDescent="0.3">
      <c r="W19" t="str">
        <f>X5</f>
        <v>Real</v>
      </c>
      <c r="X19" t="s">
        <v>31</v>
      </c>
      <c r="Y19" t="str">
        <f>X12</f>
        <v>São Paulo</v>
      </c>
      <c r="AA19" t="str">
        <f>X12</f>
        <v>São Paulo</v>
      </c>
      <c r="AB19" t="s">
        <v>75</v>
      </c>
      <c r="AC19" t="str">
        <f>X5</f>
        <v>Real</v>
      </c>
    </row>
    <row r="20" spans="1:40" x14ac:dyDescent="0.3">
      <c r="A20" t="s">
        <v>59</v>
      </c>
      <c r="L20" t="s">
        <v>59</v>
      </c>
      <c r="AH20" t="s">
        <v>49</v>
      </c>
    </row>
    <row r="21" spans="1:40" x14ac:dyDescent="0.3">
      <c r="A21" t="str">
        <f>B4</f>
        <v>Internacional</v>
      </c>
      <c r="B21" t="s">
        <v>31</v>
      </c>
      <c r="C21" t="str">
        <f>B7</f>
        <v>São José</v>
      </c>
      <c r="L21" t="str">
        <f>M10</f>
        <v>Pelotas</v>
      </c>
      <c r="M21" t="s">
        <v>28</v>
      </c>
      <c r="N21" t="str">
        <f>M3</f>
        <v>Veranópolis</v>
      </c>
      <c r="P21" t="str">
        <f>M3</f>
        <v>Veranópolis</v>
      </c>
      <c r="Q21" t="s">
        <v>31</v>
      </c>
      <c r="R21" t="str">
        <f>M10</f>
        <v>Pelotas</v>
      </c>
      <c r="W21" t="s">
        <v>19</v>
      </c>
      <c r="AH21" t="s">
        <v>322</v>
      </c>
      <c r="AI21" t="s">
        <v>73</v>
      </c>
      <c r="AJ21" t="str">
        <f>AI3</f>
        <v>Avenida</v>
      </c>
      <c r="AL21" t="str">
        <f>AI3</f>
        <v>Avenida</v>
      </c>
      <c r="AM21" t="s">
        <v>28</v>
      </c>
      <c r="AN21" t="s">
        <v>322</v>
      </c>
    </row>
    <row r="22" spans="1:40" x14ac:dyDescent="0.3">
      <c r="A22" t="str">
        <f>B5</f>
        <v>São Luiz</v>
      </c>
      <c r="B22" t="s">
        <v>310</v>
      </c>
      <c r="C22" t="str">
        <f>B6</f>
        <v>Juventude</v>
      </c>
      <c r="L22" t="str">
        <f>M9</f>
        <v>Apafut</v>
      </c>
      <c r="M22" t="s">
        <v>28</v>
      </c>
      <c r="N22" t="str">
        <f>M4</f>
        <v>Passo Fundo</v>
      </c>
      <c r="P22" t="str">
        <f>M4</f>
        <v>Passo Fundo</v>
      </c>
      <c r="Q22" t="s">
        <v>32</v>
      </c>
      <c r="R22" t="str">
        <f>M9</f>
        <v>Apafut</v>
      </c>
      <c r="W22" t="s">
        <v>331</v>
      </c>
      <c r="X22" t="s">
        <v>31</v>
      </c>
      <c r="Y22" t="s">
        <v>335</v>
      </c>
      <c r="AA22" t="s">
        <v>335</v>
      </c>
      <c r="AB22" t="s">
        <v>30</v>
      </c>
      <c r="AC22" t="s">
        <v>331</v>
      </c>
      <c r="AH22" t="s">
        <v>290</v>
      </c>
      <c r="AI22" t="s">
        <v>48</v>
      </c>
      <c r="AJ22" t="str">
        <f>AI4</f>
        <v>São Gabriel</v>
      </c>
      <c r="AL22" t="str">
        <f>AI4</f>
        <v>São Gabriel</v>
      </c>
      <c r="AM22" t="s">
        <v>29</v>
      </c>
      <c r="AN22" t="s">
        <v>290</v>
      </c>
    </row>
    <row r="23" spans="1:40" x14ac:dyDescent="0.3">
      <c r="A23" t="str">
        <f>B13</f>
        <v>Caxias</v>
      </c>
      <c r="B23" t="s">
        <v>33</v>
      </c>
      <c r="C23" t="str">
        <f>B16</f>
        <v>Novo Hamburgo</v>
      </c>
      <c r="L23" t="str">
        <f>M8</f>
        <v>Lajeadense</v>
      </c>
      <c r="M23" t="s">
        <v>75</v>
      </c>
      <c r="N23" t="str">
        <f>M5</f>
        <v>Guarani</v>
      </c>
      <c r="P23" t="str">
        <f>M5</f>
        <v>Guarani</v>
      </c>
      <c r="Q23" t="s">
        <v>48</v>
      </c>
      <c r="R23" t="str">
        <f>M8</f>
        <v>Lajeadense</v>
      </c>
    </row>
    <row r="24" spans="1:40" x14ac:dyDescent="0.3">
      <c r="A24" t="str">
        <f>B14</f>
        <v>Grêmio</v>
      </c>
      <c r="B24" t="s">
        <v>32</v>
      </c>
      <c r="C24" t="str">
        <f>B15</f>
        <v>Inter SM</v>
      </c>
      <c r="L24" t="str">
        <f>M7</f>
        <v>Santa Cruz</v>
      </c>
      <c r="M24" t="s">
        <v>30</v>
      </c>
      <c r="N24" t="str">
        <f>M6</f>
        <v>Gramadense</v>
      </c>
      <c r="P24" t="str">
        <f>M6</f>
        <v>Gramadense</v>
      </c>
      <c r="Q24" t="s">
        <v>31</v>
      </c>
      <c r="R24" t="str">
        <f>M7</f>
        <v>Santa Cruz</v>
      </c>
      <c r="AH24" t="s">
        <v>19</v>
      </c>
    </row>
    <row r="25" spans="1:40" x14ac:dyDescent="0.3">
      <c r="AH25" t="s">
        <v>290</v>
      </c>
      <c r="AI25" t="s">
        <v>73</v>
      </c>
      <c r="AJ25" t="s">
        <v>304</v>
      </c>
      <c r="AL25" t="s">
        <v>304</v>
      </c>
      <c r="AM25" t="s">
        <v>28</v>
      </c>
      <c r="AN25" t="s">
        <v>290</v>
      </c>
    </row>
    <row r="26" spans="1:40" x14ac:dyDescent="0.3">
      <c r="A26" t="s">
        <v>49</v>
      </c>
      <c r="L26" t="s">
        <v>49</v>
      </c>
    </row>
    <row r="27" spans="1:40" x14ac:dyDescent="0.3">
      <c r="A27" t="s">
        <v>308</v>
      </c>
      <c r="B27" t="s">
        <v>30</v>
      </c>
      <c r="C27" t="s">
        <v>290</v>
      </c>
      <c r="E27" t="s">
        <v>290</v>
      </c>
      <c r="F27" t="s">
        <v>28</v>
      </c>
      <c r="G27" t="s">
        <v>308</v>
      </c>
      <c r="L27" t="s">
        <v>318</v>
      </c>
      <c r="M27" t="s">
        <v>32</v>
      </c>
      <c r="N27" t="s">
        <v>316</v>
      </c>
      <c r="P27" t="s">
        <v>316</v>
      </c>
      <c r="Q27" t="s">
        <v>329</v>
      </c>
      <c r="R27" t="s">
        <v>318</v>
      </c>
    </row>
    <row r="28" spans="1:40" x14ac:dyDescent="0.3">
      <c r="A28" t="s">
        <v>302</v>
      </c>
      <c r="B28" t="s">
        <v>31</v>
      </c>
      <c r="C28" t="s">
        <v>306</v>
      </c>
      <c r="E28" t="s">
        <v>306</v>
      </c>
      <c r="F28" t="s">
        <v>311</v>
      </c>
      <c r="G28" t="s">
        <v>302</v>
      </c>
      <c r="L28" t="s">
        <v>98</v>
      </c>
      <c r="M28" t="s">
        <v>48</v>
      </c>
      <c r="N28" t="s">
        <v>317</v>
      </c>
      <c r="P28" t="s">
        <v>317</v>
      </c>
      <c r="Q28" t="s">
        <v>28</v>
      </c>
      <c r="R28" t="s">
        <v>98</v>
      </c>
    </row>
    <row r="30" spans="1:40" x14ac:dyDescent="0.3">
      <c r="A30" t="s">
        <v>19</v>
      </c>
      <c r="L30" t="s">
        <v>19</v>
      </c>
    </row>
    <row r="31" spans="1:40" x14ac:dyDescent="0.3">
      <c r="A31" t="s">
        <v>308</v>
      </c>
      <c r="B31" t="s">
        <v>30</v>
      </c>
      <c r="C31" t="s">
        <v>302</v>
      </c>
      <c r="E31" t="s">
        <v>302</v>
      </c>
      <c r="F31" t="s">
        <v>29</v>
      </c>
      <c r="G31" t="s">
        <v>308</v>
      </c>
      <c r="L31" t="s">
        <v>318</v>
      </c>
      <c r="M31" t="s">
        <v>138</v>
      </c>
      <c r="N31" t="s">
        <v>98</v>
      </c>
      <c r="P31" t="s">
        <v>98</v>
      </c>
      <c r="Q31" t="s">
        <v>73</v>
      </c>
      <c r="R31" t="s">
        <v>318</v>
      </c>
    </row>
    <row r="33" spans="1:10" x14ac:dyDescent="0.3">
      <c r="A33" t="s">
        <v>312</v>
      </c>
    </row>
    <row r="34" spans="1:10" x14ac:dyDescent="0.3">
      <c r="A34" t="s">
        <v>49</v>
      </c>
    </row>
    <row r="35" spans="1:10" x14ac:dyDescent="0.3">
      <c r="A35" t="s">
        <v>307</v>
      </c>
      <c r="B35" t="s">
        <v>30</v>
      </c>
      <c r="C35" t="s">
        <v>305</v>
      </c>
      <c r="E35" t="s">
        <v>305</v>
      </c>
      <c r="F35" t="s">
        <v>75</v>
      </c>
      <c r="G35" t="s">
        <v>307</v>
      </c>
    </row>
    <row r="36" spans="1:10" x14ac:dyDescent="0.3">
      <c r="A36" t="s">
        <v>26</v>
      </c>
      <c r="B36" t="s">
        <v>136</v>
      </c>
      <c r="C36" t="s">
        <v>301</v>
      </c>
      <c r="E36" t="s">
        <v>301</v>
      </c>
      <c r="F36" t="s">
        <v>31</v>
      </c>
      <c r="G36" t="s">
        <v>26</v>
      </c>
    </row>
    <row r="38" spans="1:10" x14ac:dyDescent="0.3">
      <c r="A38" t="s">
        <v>19</v>
      </c>
    </row>
    <row r="39" spans="1:10" x14ac:dyDescent="0.3">
      <c r="A39" t="s">
        <v>307</v>
      </c>
      <c r="B39" t="s">
        <v>29</v>
      </c>
      <c r="C39" t="s">
        <v>301</v>
      </c>
      <c r="E39" t="s">
        <v>301</v>
      </c>
      <c r="F39" t="s">
        <v>31</v>
      </c>
      <c r="G39" t="s">
        <v>307</v>
      </c>
    </row>
    <row r="41" spans="1:10" x14ac:dyDescent="0.3">
      <c r="A41" t="s">
        <v>313</v>
      </c>
    </row>
    <row r="42" spans="1:10" x14ac:dyDescent="0.3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10</v>
      </c>
    </row>
    <row r="43" spans="1:10" x14ac:dyDescent="0.3">
      <c r="A43" t="s">
        <v>11</v>
      </c>
      <c r="B43" t="s">
        <v>304</v>
      </c>
      <c r="C43" s="3">
        <v>10</v>
      </c>
      <c r="D43">
        <v>6</v>
      </c>
      <c r="E43">
        <v>3</v>
      </c>
      <c r="F43">
        <v>1</v>
      </c>
      <c r="G43">
        <f>D43-E43-F43</f>
        <v>2</v>
      </c>
      <c r="H43">
        <v>14</v>
      </c>
      <c r="I43">
        <v>12</v>
      </c>
      <c r="J43">
        <f>H43-I43</f>
        <v>2</v>
      </c>
    </row>
    <row r="44" spans="1:10" x14ac:dyDescent="0.3">
      <c r="A44" t="s">
        <v>12</v>
      </c>
      <c r="B44" t="s">
        <v>303</v>
      </c>
      <c r="C44" s="3">
        <v>10</v>
      </c>
      <c r="D44">
        <v>6</v>
      </c>
      <c r="E44">
        <v>3</v>
      </c>
      <c r="F44">
        <v>1</v>
      </c>
      <c r="G44">
        <f t="shared" ref="G44:G46" si="10">D44-E44-F44</f>
        <v>2</v>
      </c>
      <c r="H44">
        <v>10</v>
      </c>
      <c r="I44">
        <v>11</v>
      </c>
      <c r="J44">
        <f t="shared" ref="J44:J46" si="11">H44-I44</f>
        <v>-1</v>
      </c>
    </row>
    <row r="45" spans="1:10" x14ac:dyDescent="0.3">
      <c r="A45" s="2" t="s">
        <v>13</v>
      </c>
      <c r="B45" t="s">
        <v>23</v>
      </c>
      <c r="C45" s="3">
        <v>8</v>
      </c>
      <c r="D45">
        <v>6</v>
      </c>
      <c r="E45">
        <v>2</v>
      </c>
      <c r="F45">
        <v>2</v>
      </c>
      <c r="G45">
        <f t="shared" si="10"/>
        <v>2</v>
      </c>
      <c r="H45">
        <v>13</v>
      </c>
      <c r="I45">
        <v>13</v>
      </c>
      <c r="J45">
        <f t="shared" si="11"/>
        <v>0</v>
      </c>
    </row>
    <row r="46" spans="1:10" x14ac:dyDescent="0.3">
      <c r="A46" s="2" t="s">
        <v>14</v>
      </c>
      <c r="B46" t="s">
        <v>309</v>
      </c>
      <c r="C46" s="3">
        <v>5</v>
      </c>
      <c r="D46">
        <v>6</v>
      </c>
      <c r="E46">
        <v>1</v>
      </c>
      <c r="F46">
        <v>2</v>
      </c>
      <c r="G46">
        <f t="shared" si="10"/>
        <v>3</v>
      </c>
      <c r="H46">
        <v>7</v>
      </c>
      <c r="I46">
        <v>8</v>
      </c>
      <c r="J46">
        <f t="shared" si="11"/>
        <v>-1</v>
      </c>
    </row>
    <row r="48" spans="1:10" x14ac:dyDescent="0.3">
      <c r="A48" t="s">
        <v>113</v>
      </c>
    </row>
    <row r="49" spans="1:1" x14ac:dyDescent="0.3">
      <c r="A49" t="s">
        <v>308</v>
      </c>
    </row>
    <row r="50" spans="1:1" x14ac:dyDescent="0.3">
      <c r="A50" t="s">
        <v>302</v>
      </c>
    </row>
    <row r="51" spans="1:1" x14ac:dyDescent="0.3">
      <c r="A51" t="s">
        <v>304</v>
      </c>
    </row>
    <row r="53" spans="1:1" x14ac:dyDescent="0.3">
      <c r="A53" t="s">
        <v>114</v>
      </c>
    </row>
    <row r="54" spans="1:1" x14ac:dyDescent="0.3">
      <c r="A54" t="s">
        <v>308</v>
      </c>
    </row>
    <row r="55" spans="1:1" x14ac:dyDescent="0.3">
      <c r="A55" t="s">
        <v>302</v>
      </c>
    </row>
    <row r="56" spans="1:1" x14ac:dyDescent="0.3">
      <c r="A56" t="s">
        <v>306</v>
      </c>
    </row>
    <row r="57" spans="1:1" x14ac:dyDescent="0.3">
      <c r="A57" t="s">
        <v>290</v>
      </c>
    </row>
    <row r="58" spans="1:1" x14ac:dyDescent="0.3">
      <c r="A58" t="s">
        <v>301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455A-0FBF-4F47-8BF4-FC3717DF894C}">
  <dimension ref="A1:AT61"/>
  <sheetViews>
    <sheetView topLeftCell="Y1" workbookViewId="0">
      <selection activeCell="AH2" sqref="AH2:AQ7"/>
    </sheetView>
  </sheetViews>
  <sheetFormatPr defaultRowHeight="14.4" x14ac:dyDescent="0.3"/>
  <sheetData>
    <row r="1" spans="1:46" x14ac:dyDescent="0.3">
      <c r="A1" t="s">
        <v>457</v>
      </c>
      <c r="L1" t="s">
        <v>458</v>
      </c>
      <c r="W1" t="s">
        <v>466</v>
      </c>
      <c r="AH1" t="s">
        <v>456</v>
      </c>
      <c r="AS1" t="s">
        <v>50</v>
      </c>
    </row>
    <row r="2" spans="1:46" x14ac:dyDescent="0.3">
      <c r="A2" t="s">
        <v>35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35</v>
      </c>
      <c r="AS2" t="s">
        <v>80</v>
      </c>
      <c r="AT2">
        <v>1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s="1" t="s">
        <v>11</v>
      </c>
      <c r="M3" t="s">
        <v>459</v>
      </c>
      <c r="N3" s="3">
        <v>36</v>
      </c>
      <c r="O3">
        <v>18</v>
      </c>
      <c r="P3">
        <v>11</v>
      </c>
      <c r="Q3">
        <v>3</v>
      </c>
      <c r="R3">
        <f>O3-P3-Q3</f>
        <v>4</v>
      </c>
      <c r="S3">
        <v>34</v>
      </c>
      <c r="T3">
        <v>19</v>
      </c>
      <c r="U3">
        <f>S3-T3</f>
        <v>15</v>
      </c>
      <c r="W3" s="1" t="s">
        <v>11</v>
      </c>
      <c r="X3" t="s">
        <v>290</v>
      </c>
      <c r="Y3" s="3">
        <v>9</v>
      </c>
      <c r="Z3">
        <v>4</v>
      </c>
      <c r="AA3">
        <v>3</v>
      </c>
      <c r="AB3">
        <v>0</v>
      </c>
      <c r="AC3">
        <f>Z3-AA3-AB3</f>
        <v>1</v>
      </c>
      <c r="AD3">
        <v>8</v>
      </c>
      <c r="AE3">
        <v>2</v>
      </c>
      <c r="AF3">
        <f>AD3-AE3</f>
        <v>6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S3" t="s">
        <v>459</v>
      </c>
      <c r="AT3">
        <v>2</v>
      </c>
    </row>
    <row r="4" spans="1:46" x14ac:dyDescent="0.3">
      <c r="A4" s="1" t="s">
        <v>11</v>
      </c>
      <c r="B4" t="s">
        <v>441</v>
      </c>
      <c r="C4" s="3">
        <v>10</v>
      </c>
      <c r="D4">
        <v>6</v>
      </c>
      <c r="E4">
        <v>3</v>
      </c>
      <c r="F4">
        <v>1</v>
      </c>
      <c r="G4">
        <f>D4-E4-F4</f>
        <v>2</v>
      </c>
      <c r="H4">
        <v>6</v>
      </c>
      <c r="I4">
        <v>8</v>
      </c>
      <c r="J4">
        <f>H4-I4</f>
        <v>-2</v>
      </c>
      <c r="L4" t="s">
        <v>12</v>
      </c>
      <c r="M4" t="s">
        <v>200</v>
      </c>
      <c r="N4" s="3">
        <v>32</v>
      </c>
      <c r="O4">
        <v>18</v>
      </c>
      <c r="P4">
        <v>10</v>
      </c>
      <c r="Q4">
        <v>2</v>
      </c>
      <c r="R4">
        <f t="shared" ref="R4:R12" si="0">O4-P4-Q4</f>
        <v>6</v>
      </c>
      <c r="S4">
        <v>31</v>
      </c>
      <c r="T4">
        <v>29</v>
      </c>
      <c r="U4">
        <f t="shared" ref="U4:U12" si="1">S4-T4</f>
        <v>2</v>
      </c>
      <c r="W4" t="s">
        <v>12</v>
      </c>
      <c r="X4" t="s">
        <v>467</v>
      </c>
      <c r="Y4" s="3">
        <v>6</v>
      </c>
      <c r="Z4">
        <v>4</v>
      </c>
      <c r="AA4">
        <v>2</v>
      </c>
      <c r="AB4">
        <v>0</v>
      </c>
      <c r="AC4">
        <f t="shared" ref="AC4:AC5" si="2">Z4-AA4-AB4</f>
        <v>2</v>
      </c>
      <c r="AD4">
        <v>5</v>
      </c>
      <c r="AE4">
        <v>7</v>
      </c>
      <c r="AF4">
        <f t="shared" ref="AF4:AF5" si="3">AD4-AE4</f>
        <v>-2</v>
      </c>
      <c r="AH4" s="1" t="s">
        <v>11</v>
      </c>
      <c r="AI4" t="s">
        <v>442</v>
      </c>
      <c r="AJ4" s="3">
        <v>18</v>
      </c>
      <c r="AK4">
        <v>6</v>
      </c>
      <c r="AL4">
        <v>6</v>
      </c>
      <c r="AM4">
        <v>0</v>
      </c>
      <c r="AN4">
        <f>AK4-AL4-AM4</f>
        <v>0</v>
      </c>
      <c r="AO4">
        <v>11</v>
      </c>
      <c r="AP4">
        <v>1</v>
      </c>
      <c r="AQ4">
        <f>AO4-AP4</f>
        <v>10</v>
      </c>
      <c r="AS4" t="s">
        <v>469</v>
      </c>
      <c r="AT4">
        <v>2</v>
      </c>
    </row>
    <row r="5" spans="1:46" x14ac:dyDescent="0.3">
      <c r="A5" s="1" t="s">
        <v>12</v>
      </c>
      <c r="B5" t="s">
        <v>442</v>
      </c>
      <c r="C5" s="3">
        <v>9</v>
      </c>
      <c r="D5">
        <v>6</v>
      </c>
      <c r="E5">
        <v>2</v>
      </c>
      <c r="F5">
        <v>3</v>
      </c>
      <c r="G5">
        <f t="shared" ref="G5:G9" si="4">D5-E5-F5</f>
        <v>1</v>
      </c>
      <c r="H5">
        <v>7</v>
      </c>
      <c r="I5">
        <v>5</v>
      </c>
      <c r="J5">
        <f t="shared" ref="J5:J9" si="5">H5-I5</f>
        <v>2</v>
      </c>
      <c r="L5" t="s">
        <v>13</v>
      </c>
      <c r="M5" t="s">
        <v>460</v>
      </c>
      <c r="N5" s="3">
        <v>30</v>
      </c>
      <c r="O5">
        <v>18</v>
      </c>
      <c r="P5">
        <v>9</v>
      </c>
      <c r="Q5">
        <v>3</v>
      </c>
      <c r="R5">
        <f t="shared" si="0"/>
        <v>6</v>
      </c>
      <c r="S5">
        <v>33</v>
      </c>
      <c r="T5">
        <v>27</v>
      </c>
      <c r="U5">
        <f t="shared" si="1"/>
        <v>6</v>
      </c>
      <c r="W5" t="s">
        <v>13</v>
      </c>
      <c r="X5" t="s">
        <v>468</v>
      </c>
      <c r="Y5" s="3">
        <v>3</v>
      </c>
      <c r="Z5">
        <v>4</v>
      </c>
      <c r="AA5">
        <v>1</v>
      </c>
      <c r="AB5">
        <v>0</v>
      </c>
      <c r="AC5">
        <f t="shared" si="2"/>
        <v>3</v>
      </c>
      <c r="AD5">
        <v>3</v>
      </c>
      <c r="AE5">
        <v>7</v>
      </c>
      <c r="AF5">
        <f t="shared" si="3"/>
        <v>-4</v>
      </c>
      <c r="AH5" s="1" t="s">
        <v>12</v>
      </c>
      <c r="AI5" t="s">
        <v>447</v>
      </c>
      <c r="AJ5" s="3">
        <v>13</v>
      </c>
      <c r="AK5">
        <v>6</v>
      </c>
      <c r="AL5">
        <v>4</v>
      </c>
      <c r="AM5">
        <v>1</v>
      </c>
      <c r="AN5">
        <f t="shared" ref="AN5:AN10" si="6">AK5-AL5-AM5</f>
        <v>1</v>
      </c>
      <c r="AO5">
        <v>12</v>
      </c>
      <c r="AP5">
        <v>8</v>
      </c>
      <c r="AQ5">
        <f t="shared" ref="AQ5:AQ10" si="7">AO5-AP5</f>
        <v>4</v>
      </c>
      <c r="AS5" t="s">
        <v>463</v>
      </c>
      <c r="AT5">
        <v>2</v>
      </c>
    </row>
    <row r="6" spans="1:46" x14ac:dyDescent="0.3">
      <c r="A6" s="1" t="s">
        <v>13</v>
      </c>
      <c r="B6" t="s">
        <v>443</v>
      </c>
      <c r="C6" s="3">
        <v>9</v>
      </c>
      <c r="D6">
        <v>6</v>
      </c>
      <c r="E6">
        <v>2</v>
      </c>
      <c r="F6">
        <v>3</v>
      </c>
      <c r="G6">
        <f t="shared" si="4"/>
        <v>1</v>
      </c>
      <c r="H6">
        <v>8</v>
      </c>
      <c r="I6">
        <v>7</v>
      </c>
      <c r="J6">
        <f t="shared" si="5"/>
        <v>1</v>
      </c>
      <c r="L6" t="s">
        <v>14</v>
      </c>
      <c r="M6" t="s">
        <v>461</v>
      </c>
      <c r="N6" s="3">
        <v>29</v>
      </c>
      <c r="O6">
        <v>18</v>
      </c>
      <c r="P6">
        <v>9</v>
      </c>
      <c r="Q6">
        <v>2</v>
      </c>
      <c r="R6">
        <f t="shared" si="0"/>
        <v>7</v>
      </c>
      <c r="S6">
        <v>29</v>
      </c>
      <c r="T6">
        <v>28</v>
      </c>
      <c r="U6">
        <f t="shared" si="1"/>
        <v>1</v>
      </c>
      <c r="AH6" s="1" t="s">
        <v>13</v>
      </c>
      <c r="AI6" t="s">
        <v>469</v>
      </c>
      <c r="AJ6" s="3">
        <v>8</v>
      </c>
      <c r="AK6">
        <v>6</v>
      </c>
      <c r="AL6">
        <v>2</v>
      </c>
      <c r="AM6">
        <v>2</v>
      </c>
      <c r="AN6">
        <f t="shared" si="6"/>
        <v>2</v>
      </c>
      <c r="AO6">
        <v>11</v>
      </c>
      <c r="AP6">
        <v>10</v>
      </c>
      <c r="AQ6">
        <f t="shared" si="7"/>
        <v>1</v>
      </c>
    </row>
    <row r="7" spans="1:46" x14ac:dyDescent="0.3">
      <c r="A7" s="1" t="s">
        <v>14</v>
      </c>
      <c r="B7" t="s">
        <v>444</v>
      </c>
      <c r="C7" s="3">
        <v>8</v>
      </c>
      <c r="D7">
        <v>6</v>
      </c>
      <c r="E7">
        <v>2</v>
      </c>
      <c r="F7">
        <v>2</v>
      </c>
      <c r="G7">
        <f t="shared" si="4"/>
        <v>2</v>
      </c>
      <c r="H7">
        <v>5</v>
      </c>
      <c r="I7">
        <v>5</v>
      </c>
      <c r="J7">
        <f t="shared" si="5"/>
        <v>0</v>
      </c>
      <c r="L7" t="s">
        <v>15</v>
      </c>
      <c r="M7" t="s">
        <v>462</v>
      </c>
      <c r="N7" s="3">
        <v>27</v>
      </c>
      <c r="O7">
        <v>18</v>
      </c>
      <c r="P7">
        <v>8</v>
      </c>
      <c r="Q7">
        <v>3</v>
      </c>
      <c r="R7">
        <f t="shared" si="0"/>
        <v>7</v>
      </c>
      <c r="S7">
        <v>36</v>
      </c>
      <c r="T7">
        <v>29</v>
      </c>
      <c r="U7">
        <f t="shared" si="1"/>
        <v>7</v>
      </c>
      <c r="AH7" s="1" t="s">
        <v>14</v>
      </c>
      <c r="AI7" t="s">
        <v>446</v>
      </c>
      <c r="AJ7" s="3">
        <v>7</v>
      </c>
      <c r="AK7">
        <v>6</v>
      </c>
      <c r="AL7">
        <v>2</v>
      </c>
      <c r="AM7">
        <v>1</v>
      </c>
      <c r="AN7">
        <f t="shared" si="6"/>
        <v>3</v>
      </c>
      <c r="AO7">
        <v>6</v>
      </c>
      <c r="AP7">
        <v>6</v>
      </c>
      <c r="AQ7">
        <f t="shared" si="7"/>
        <v>0</v>
      </c>
    </row>
    <row r="8" spans="1:46" x14ac:dyDescent="0.3">
      <c r="A8" s="5" t="s">
        <v>15</v>
      </c>
      <c r="B8" t="s">
        <v>445</v>
      </c>
      <c r="C8" s="3">
        <v>7</v>
      </c>
      <c r="D8">
        <v>6</v>
      </c>
      <c r="E8">
        <v>2</v>
      </c>
      <c r="F8">
        <v>1</v>
      </c>
      <c r="G8">
        <f t="shared" si="4"/>
        <v>3</v>
      </c>
      <c r="H8">
        <v>9</v>
      </c>
      <c r="I8">
        <v>9</v>
      </c>
      <c r="J8">
        <f t="shared" si="5"/>
        <v>0</v>
      </c>
      <c r="L8" t="s">
        <v>16</v>
      </c>
      <c r="M8" t="s">
        <v>463</v>
      </c>
      <c r="N8" s="3">
        <v>23</v>
      </c>
      <c r="O8">
        <v>18</v>
      </c>
      <c r="P8">
        <v>7</v>
      </c>
      <c r="Q8">
        <v>2</v>
      </c>
      <c r="R8">
        <f t="shared" si="0"/>
        <v>9</v>
      </c>
      <c r="S8">
        <v>25</v>
      </c>
      <c r="T8">
        <v>26</v>
      </c>
      <c r="U8">
        <f t="shared" si="1"/>
        <v>-1</v>
      </c>
      <c r="AH8" t="s">
        <v>15</v>
      </c>
      <c r="AI8" t="s">
        <v>451</v>
      </c>
      <c r="AJ8" s="3">
        <v>6</v>
      </c>
      <c r="AK8">
        <v>6</v>
      </c>
      <c r="AL8">
        <v>2</v>
      </c>
      <c r="AM8">
        <v>0</v>
      </c>
      <c r="AN8">
        <f t="shared" si="6"/>
        <v>4</v>
      </c>
      <c r="AO8">
        <v>13</v>
      </c>
      <c r="AP8">
        <v>15</v>
      </c>
      <c r="AQ8">
        <f t="shared" si="7"/>
        <v>-2</v>
      </c>
    </row>
    <row r="9" spans="1:46" x14ac:dyDescent="0.3">
      <c r="A9" s="5" t="s">
        <v>16</v>
      </c>
      <c r="B9" t="s">
        <v>446</v>
      </c>
      <c r="C9" s="3">
        <v>5</v>
      </c>
      <c r="D9">
        <v>6</v>
      </c>
      <c r="E9">
        <v>1</v>
      </c>
      <c r="F9">
        <v>2</v>
      </c>
      <c r="G9">
        <f t="shared" si="4"/>
        <v>3</v>
      </c>
      <c r="H9">
        <v>4</v>
      </c>
      <c r="I9">
        <v>6</v>
      </c>
      <c r="J9">
        <f t="shared" si="5"/>
        <v>-2</v>
      </c>
      <c r="L9" t="s">
        <v>17</v>
      </c>
      <c r="M9" t="s">
        <v>464</v>
      </c>
      <c r="N9" s="3">
        <v>22</v>
      </c>
      <c r="O9">
        <v>18</v>
      </c>
      <c r="P9">
        <v>7</v>
      </c>
      <c r="Q9">
        <v>1</v>
      </c>
      <c r="R9">
        <f>O9-P9-Q9</f>
        <v>10</v>
      </c>
      <c r="S9">
        <v>25</v>
      </c>
      <c r="T9">
        <v>29</v>
      </c>
      <c r="U9">
        <f>S9-T9</f>
        <v>-4</v>
      </c>
      <c r="AH9" t="s">
        <v>16</v>
      </c>
      <c r="AI9" t="s">
        <v>448</v>
      </c>
      <c r="AJ9" s="3">
        <v>4</v>
      </c>
      <c r="AK9">
        <v>6</v>
      </c>
      <c r="AL9">
        <v>1</v>
      </c>
      <c r="AM9">
        <v>1</v>
      </c>
      <c r="AN9">
        <f t="shared" si="6"/>
        <v>4</v>
      </c>
      <c r="AO9">
        <v>6</v>
      </c>
      <c r="AP9">
        <v>11</v>
      </c>
      <c r="AQ9">
        <f t="shared" si="7"/>
        <v>-5</v>
      </c>
    </row>
    <row r="10" spans="1:46" x14ac:dyDescent="0.3">
      <c r="L10" t="s">
        <v>18</v>
      </c>
      <c r="M10" t="s">
        <v>98</v>
      </c>
      <c r="N10" s="3">
        <v>22</v>
      </c>
      <c r="O10">
        <v>18</v>
      </c>
      <c r="P10">
        <v>5</v>
      </c>
      <c r="Q10">
        <v>7</v>
      </c>
      <c r="R10">
        <f t="shared" si="0"/>
        <v>6</v>
      </c>
      <c r="S10">
        <v>17</v>
      </c>
      <c r="T10">
        <v>16</v>
      </c>
      <c r="U10">
        <f t="shared" si="1"/>
        <v>1</v>
      </c>
      <c r="AH10" t="s">
        <v>17</v>
      </c>
      <c r="AI10" t="s">
        <v>445</v>
      </c>
      <c r="AJ10" s="3">
        <v>4</v>
      </c>
      <c r="AK10">
        <v>6</v>
      </c>
      <c r="AL10">
        <v>1</v>
      </c>
      <c r="AM10">
        <v>1</v>
      </c>
      <c r="AN10">
        <f t="shared" si="6"/>
        <v>4</v>
      </c>
      <c r="AO10">
        <v>9</v>
      </c>
      <c r="AP10">
        <v>17</v>
      </c>
      <c r="AQ10">
        <f t="shared" si="7"/>
        <v>-8</v>
      </c>
    </row>
    <row r="11" spans="1:46" x14ac:dyDescent="0.3">
      <c r="A11" t="s">
        <v>36</v>
      </c>
      <c r="L11" s="2" t="s">
        <v>55</v>
      </c>
      <c r="M11" t="s">
        <v>465</v>
      </c>
      <c r="N11" s="3">
        <v>17</v>
      </c>
      <c r="O11">
        <v>18</v>
      </c>
      <c r="P11">
        <v>5</v>
      </c>
      <c r="Q11">
        <v>2</v>
      </c>
      <c r="R11">
        <f t="shared" si="0"/>
        <v>11</v>
      </c>
      <c r="S11">
        <v>23</v>
      </c>
      <c r="T11">
        <v>38</v>
      </c>
      <c r="U11">
        <f t="shared" si="1"/>
        <v>-15</v>
      </c>
    </row>
    <row r="12" spans="1:46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s="2" t="s">
        <v>56</v>
      </c>
      <c r="M12" t="s">
        <v>124</v>
      </c>
      <c r="N12" s="3">
        <v>16</v>
      </c>
      <c r="O12">
        <v>18</v>
      </c>
      <c r="P12">
        <v>3</v>
      </c>
      <c r="Q12">
        <v>7</v>
      </c>
      <c r="R12">
        <f t="shared" si="0"/>
        <v>8</v>
      </c>
      <c r="S12">
        <v>24</v>
      </c>
      <c r="T12">
        <v>36</v>
      </c>
      <c r="U12">
        <f t="shared" si="1"/>
        <v>-12</v>
      </c>
      <c r="AH12" t="s">
        <v>36</v>
      </c>
    </row>
    <row r="13" spans="1:46" x14ac:dyDescent="0.3">
      <c r="A13" s="1" t="s">
        <v>11</v>
      </c>
      <c r="B13" t="s">
        <v>447</v>
      </c>
      <c r="C13" s="3">
        <v>11</v>
      </c>
      <c r="D13">
        <v>6</v>
      </c>
      <c r="E13">
        <v>3</v>
      </c>
      <c r="F13">
        <v>2</v>
      </c>
      <c r="G13">
        <f>D13-E13-F13</f>
        <v>1</v>
      </c>
      <c r="H13">
        <v>10</v>
      </c>
      <c r="I13">
        <v>5</v>
      </c>
      <c r="J13">
        <f>H13-I13</f>
        <v>5</v>
      </c>
      <c r="AH13" t="s">
        <v>1</v>
      </c>
      <c r="AI13" t="s">
        <v>2</v>
      </c>
      <c r="AJ13" t="s">
        <v>3</v>
      </c>
      <c r="AK13" t="s">
        <v>4</v>
      </c>
      <c r="AL13" t="s">
        <v>5</v>
      </c>
      <c r="AM13" t="s">
        <v>6</v>
      </c>
      <c r="AN13" t="s">
        <v>7</v>
      </c>
      <c r="AO13" t="s">
        <v>8</v>
      </c>
      <c r="AP13" t="s">
        <v>9</v>
      </c>
      <c r="AQ13" t="s">
        <v>10</v>
      </c>
    </row>
    <row r="14" spans="1:46" x14ac:dyDescent="0.3">
      <c r="A14" s="1" t="s">
        <v>12</v>
      </c>
      <c r="B14" t="s">
        <v>80</v>
      </c>
      <c r="C14" s="3">
        <v>9</v>
      </c>
      <c r="D14">
        <v>6</v>
      </c>
      <c r="E14">
        <v>3</v>
      </c>
      <c r="F14">
        <v>0</v>
      </c>
      <c r="G14">
        <f t="shared" ref="G14:G18" si="8">D14-E14-F14</f>
        <v>3</v>
      </c>
      <c r="H14">
        <v>8</v>
      </c>
      <c r="I14">
        <v>8</v>
      </c>
      <c r="J14">
        <f t="shared" ref="J14:J18" si="9">H14-I14</f>
        <v>0</v>
      </c>
      <c r="AH14" s="1" t="s">
        <v>11</v>
      </c>
      <c r="AI14" t="s">
        <v>443</v>
      </c>
      <c r="AJ14" s="3">
        <v>13</v>
      </c>
      <c r="AK14">
        <v>6</v>
      </c>
      <c r="AL14">
        <v>4</v>
      </c>
      <c r="AM14">
        <v>1</v>
      </c>
      <c r="AN14">
        <f>AK14-AL14-AM14</f>
        <v>1</v>
      </c>
      <c r="AO14">
        <v>9</v>
      </c>
      <c r="AP14">
        <v>6</v>
      </c>
      <c r="AQ14">
        <f>AO14-AP14</f>
        <v>3</v>
      </c>
    </row>
    <row r="15" spans="1:46" x14ac:dyDescent="0.3">
      <c r="A15" s="1" t="s">
        <v>13</v>
      </c>
      <c r="B15" t="s">
        <v>448</v>
      </c>
      <c r="C15" s="3">
        <v>8</v>
      </c>
      <c r="D15">
        <v>6</v>
      </c>
      <c r="E15">
        <v>2</v>
      </c>
      <c r="F15">
        <v>2</v>
      </c>
      <c r="G15">
        <f t="shared" si="8"/>
        <v>2</v>
      </c>
      <c r="H15">
        <v>8</v>
      </c>
      <c r="I15">
        <v>8</v>
      </c>
      <c r="J15">
        <f t="shared" si="9"/>
        <v>0</v>
      </c>
      <c r="AH15" s="1" t="s">
        <v>12</v>
      </c>
      <c r="AI15" t="s">
        <v>441</v>
      </c>
      <c r="AJ15" s="3">
        <v>12</v>
      </c>
      <c r="AK15">
        <v>6</v>
      </c>
      <c r="AL15">
        <v>4</v>
      </c>
      <c r="AM15">
        <v>0</v>
      </c>
      <c r="AN15">
        <f t="shared" ref="AN15:AN20" si="10">AK15-AL15-AM15</f>
        <v>2</v>
      </c>
      <c r="AO15">
        <v>8</v>
      </c>
      <c r="AP15">
        <v>4</v>
      </c>
      <c r="AQ15">
        <f t="shared" ref="AQ15:AQ20" si="11">AO15-AP15</f>
        <v>4</v>
      </c>
    </row>
    <row r="16" spans="1:46" x14ac:dyDescent="0.3">
      <c r="A16" s="1" t="s">
        <v>14</v>
      </c>
      <c r="B16" t="s">
        <v>449</v>
      </c>
      <c r="C16" s="3">
        <v>8</v>
      </c>
      <c r="D16">
        <v>6</v>
      </c>
      <c r="E16">
        <v>2</v>
      </c>
      <c r="F16">
        <v>2</v>
      </c>
      <c r="G16">
        <f t="shared" si="8"/>
        <v>2</v>
      </c>
      <c r="H16">
        <v>6</v>
      </c>
      <c r="I16">
        <v>9</v>
      </c>
      <c r="J16">
        <f t="shared" si="9"/>
        <v>-3</v>
      </c>
      <c r="AH16" s="1" t="s">
        <v>13</v>
      </c>
      <c r="AI16" t="s">
        <v>462</v>
      </c>
      <c r="AJ16" s="3">
        <v>8</v>
      </c>
      <c r="AK16">
        <v>6</v>
      </c>
      <c r="AL16">
        <v>2</v>
      </c>
      <c r="AM16">
        <v>2</v>
      </c>
      <c r="AN16">
        <f t="shared" si="10"/>
        <v>2</v>
      </c>
      <c r="AO16">
        <v>8</v>
      </c>
      <c r="AP16">
        <v>7</v>
      </c>
      <c r="AQ16">
        <f t="shared" si="11"/>
        <v>1</v>
      </c>
    </row>
    <row r="17" spans="1:43" x14ac:dyDescent="0.3">
      <c r="A17" s="5" t="s">
        <v>15</v>
      </c>
      <c r="B17" t="s">
        <v>450</v>
      </c>
      <c r="C17" s="3">
        <v>7</v>
      </c>
      <c r="D17">
        <v>6</v>
      </c>
      <c r="E17">
        <v>1</v>
      </c>
      <c r="F17">
        <v>4</v>
      </c>
      <c r="G17">
        <f t="shared" si="8"/>
        <v>1</v>
      </c>
      <c r="H17">
        <v>5</v>
      </c>
      <c r="I17">
        <v>5</v>
      </c>
      <c r="J17">
        <f t="shared" si="9"/>
        <v>0</v>
      </c>
      <c r="AH17" s="1" t="s">
        <v>14</v>
      </c>
      <c r="AI17" t="s">
        <v>463</v>
      </c>
      <c r="AJ17" s="3">
        <v>8</v>
      </c>
      <c r="AK17">
        <v>6</v>
      </c>
      <c r="AL17">
        <v>2</v>
      </c>
      <c r="AM17">
        <v>2</v>
      </c>
      <c r="AN17">
        <f t="shared" si="10"/>
        <v>2</v>
      </c>
      <c r="AO17">
        <v>7</v>
      </c>
      <c r="AP17">
        <v>6</v>
      </c>
      <c r="AQ17">
        <f t="shared" si="11"/>
        <v>1</v>
      </c>
    </row>
    <row r="18" spans="1:43" x14ac:dyDescent="0.3">
      <c r="A18" s="5" t="s">
        <v>16</v>
      </c>
      <c r="B18" t="s">
        <v>451</v>
      </c>
      <c r="C18" s="3">
        <v>5</v>
      </c>
      <c r="D18">
        <v>6</v>
      </c>
      <c r="E18">
        <v>1</v>
      </c>
      <c r="F18">
        <v>2</v>
      </c>
      <c r="G18">
        <f t="shared" si="8"/>
        <v>3</v>
      </c>
      <c r="H18">
        <v>3</v>
      </c>
      <c r="I18">
        <v>4</v>
      </c>
      <c r="J18">
        <f t="shared" si="9"/>
        <v>-1</v>
      </c>
      <c r="AH18" t="s">
        <v>15</v>
      </c>
      <c r="AI18" t="s">
        <v>450</v>
      </c>
      <c r="AJ18" s="3">
        <v>8</v>
      </c>
      <c r="AK18">
        <v>6</v>
      </c>
      <c r="AL18">
        <v>2</v>
      </c>
      <c r="AM18">
        <v>2</v>
      </c>
      <c r="AN18">
        <f t="shared" si="10"/>
        <v>2</v>
      </c>
      <c r="AO18">
        <v>7</v>
      </c>
      <c r="AP18">
        <v>7</v>
      </c>
      <c r="AQ18">
        <f t="shared" si="11"/>
        <v>0</v>
      </c>
    </row>
    <row r="19" spans="1:43" x14ac:dyDescent="0.3">
      <c r="AH19" t="s">
        <v>16</v>
      </c>
      <c r="AI19" t="s">
        <v>459</v>
      </c>
      <c r="AJ19" s="3">
        <v>6</v>
      </c>
      <c r="AK19">
        <v>6</v>
      </c>
      <c r="AL19">
        <v>2</v>
      </c>
      <c r="AM19">
        <v>0</v>
      </c>
      <c r="AN19">
        <f t="shared" si="10"/>
        <v>4</v>
      </c>
      <c r="AO19">
        <v>8</v>
      </c>
      <c r="AP19">
        <v>10</v>
      </c>
      <c r="AQ19">
        <f t="shared" si="11"/>
        <v>-2</v>
      </c>
    </row>
    <row r="20" spans="1:43" x14ac:dyDescent="0.3">
      <c r="A20" t="s">
        <v>59</v>
      </c>
      <c r="AH20" t="s">
        <v>17</v>
      </c>
      <c r="AI20" t="s">
        <v>464</v>
      </c>
      <c r="AJ20" s="3">
        <v>4</v>
      </c>
      <c r="AK20">
        <v>6</v>
      </c>
      <c r="AL20">
        <v>1</v>
      </c>
      <c r="AM20">
        <v>1</v>
      </c>
      <c r="AN20">
        <f t="shared" si="10"/>
        <v>4</v>
      </c>
      <c r="AO20">
        <v>4</v>
      </c>
      <c r="AP20">
        <v>11</v>
      </c>
      <c r="AQ20">
        <f t="shared" si="11"/>
        <v>-7</v>
      </c>
    </row>
    <row r="21" spans="1:43" x14ac:dyDescent="0.3">
      <c r="A21" t="str">
        <f>B7</f>
        <v>Avaí</v>
      </c>
      <c r="B21" t="s">
        <v>31</v>
      </c>
      <c r="C21" t="str">
        <f>B4</f>
        <v>Brusque</v>
      </c>
      <c r="E21" t="str">
        <f>B4</f>
        <v>Brusque</v>
      </c>
      <c r="F21" t="s">
        <v>30</v>
      </c>
      <c r="G21" t="str">
        <f>B7</f>
        <v>Avaí</v>
      </c>
    </row>
    <row r="22" spans="1:43" x14ac:dyDescent="0.3">
      <c r="A22" t="str">
        <f>B6</f>
        <v>Marcílio Dias</v>
      </c>
      <c r="B22" t="s">
        <v>31</v>
      </c>
      <c r="C22" t="str">
        <f>B5</f>
        <v>Concórdia</v>
      </c>
      <c r="E22" t="str">
        <f>B5</f>
        <v>Concórdia</v>
      </c>
      <c r="F22" t="s">
        <v>452</v>
      </c>
      <c r="G22" t="str">
        <f>B6</f>
        <v>Marcílio Dias</v>
      </c>
      <c r="AH22" t="s">
        <v>59</v>
      </c>
    </row>
    <row r="23" spans="1:43" x14ac:dyDescent="0.3">
      <c r="A23" t="str">
        <f>B16</f>
        <v>Carlos Renaux</v>
      </c>
      <c r="B23" t="s">
        <v>453</v>
      </c>
      <c r="C23" t="str">
        <f>B13</f>
        <v>Chapecoense</v>
      </c>
      <c r="E23" t="str">
        <f>B13</f>
        <v>Chapecoense</v>
      </c>
      <c r="F23" t="s">
        <v>29</v>
      </c>
      <c r="G23" t="str">
        <f>B16</f>
        <v>Carlos Renaux</v>
      </c>
      <c r="AH23" t="str">
        <f>AI17</f>
        <v>Tubarão</v>
      </c>
      <c r="AI23" t="s">
        <v>48</v>
      </c>
      <c r="AJ23" t="str">
        <f>AI4</f>
        <v>Concórdia</v>
      </c>
      <c r="AL23" t="str">
        <f>AI4</f>
        <v>Concórdia</v>
      </c>
      <c r="AM23" t="s">
        <v>33</v>
      </c>
      <c r="AN23" t="str">
        <f>AI17</f>
        <v>Tubarão</v>
      </c>
    </row>
    <row r="24" spans="1:43" x14ac:dyDescent="0.3">
      <c r="A24" t="str">
        <f>B15</f>
        <v>Figueirense</v>
      </c>
      <c r="B24" t="s">
        <v>138</v>
      </c>
      <c r="C24" t="str">
        <f>B14</f>
        <v>Barra</v>
      </c>
      <c r="E24" t="str">
        <f>B14</f>
        <v>Barra</v>
      </c>
      <c r="F24" t="s">
        <v>137</v>
      </c>
      <c r="G24" t="str">
        <f>B15</f>
        <v>Figueirense</v>
      </c>
      <c r="AH24" t="str">
        <f>AI16</f>
        <v>Hercílio Luz</v>
      </c>
      <c r="AI24" t="s">
        <v>28</v>
      </c>
      <c r="AJ24" t="str">
        <f>AI5</f>
        <v>Chapecoense</v>
      </c>
      <c r="AL24" t="str">
        <f>AI5</f>
        <v>Chapecoense</v>
      </c>
      <c r="AM24" t="s">
        <v>31</v>
      </c>
      <c r="AN24" t="str">
        <f>AI16</f>
        <v>Hercílio Luz</v>
      </c>
    </row>
    <row r="25" spans="1:43" x14ac:dyDescent="0.3">
      <c r="AH25" t="str">
        <f>AI6</f>
        <v>Inter de Lages</v>
      </c>
      <c r="AI25" t="s">
        <v>33</v>
      </c>
      <c r="AJ25" t="str">
        <f>AI15</f>
        <v>Brusque</v>
      </c>
      <c r="AL25" t="str">
        <f>AI15</f>
        <v>Brusque</v>
      </c>
      <c r="AM25" t="s">
        <v>109</v>
      </c>
      <c r="AN25" t="str">
        <f>AI6</f>
        <v>Inter de Lages</v>
      </c>
    </row>
    <row r="26" spans="1:43" x14ac:dyDescent="0.3">
      <c r="A26" t="s">
        <v>49</v>
      </c>
      <c r="AH26" t="str">
        <f>AI7</f>
        <v>Camboriú</v>
      </c>
      <c r="AI26" t="s">
        <v>29</v>
      </c>
      <c r="AJ26" t="str">
        <f>AI14</f>
        <v>Marcílio Dias</v>
      </c>
      <c r="AL26" t="str">
        <f>AI14</f>
        <v>Marcílio Dias</v>
      </c>
      <c r="AM26" t="s">
        <v>111</v>
      </c>
      <c r="AN26" t="str">
        <f>AI7</f>
        <v>Camboriú</v>
      </c>
    </row>
    <row r="27" spans="1:43" x14ac:dyDescent="0.3">
      <c r="A27" t="s">
        <v>444</v>
      </c>
      <c r="B27" t="s">
        <v>75</v>
      </c>
      <c r="C27" t="s">
        <v>80</v>
      </c>
      <c r="E27" t="s">
        <v>80</v>
      </c>
      <c r="F27" t="s">
        <v>48</v>
      </c>
      <c r="G27" t="s">
        <v>444</v>
      </c>
    </row>
    <row r="28" spans="1:43" x14ac:dyDescent="0.3">
      <c r="A28" t="s">
        <v>442</v>
      </c>
      <c r="B28" t="s">
        <v>75</v>
      </c>
      <c r="C28" t="s">
        <v>449</v>
      </c>
      <c r="E28" t="s">
        <v>449</v>
      </c>
      <c r="F28" t="s">
        <v>48</v>
      </c>
      <c r="G28" t="s">
        <v>442</v>
      </c>
      <c r="AH28" t="s">
        <v>49</v>
      </c>
    </row>
    <row r="29" spans="1:43" x14ac:dyDescent="0.3">
      <c r="AH29" t="s">
        <v>446</v>
      </c>
      <c r="AI29" t="s">
        <v>75</v>
      </c>
      <c r="AJ29" t="s">
        <v>441</v>
      </c>
      <c r="AL29" t="s">
        <v>441</v>
      </c>
      <c r="AM29" t="s">
        <v>30</v>
      </c>
      <c r="AN29" t="s">
        <v>446</v>
      </c>
    </row>
    <row r="30" spans="1:43" x14ac:dyDescent="0.3">
      <c r="A30" t="s">
        <v>19</v>
      </c>
      <c r="AH30" t="s">
        <v>463</v>
      </c>
      <c r="AI30" t="s">
        <v>75</v>
      </c>
      <c r="AJ30" t="s">
        <v>447</v>
      </c>
      <c r="AL30" t="s">
        <v>447</v>
      </c>
      <c r="AM30" t="s">
        <v>73</v>
      </c>
      <c r="AN30" t="s">
        <v>463</v>
      </c>
    </row>
    <row r="31" spans="1:43" x14ac:dyDescent="0.3">
      <c r="A31" t="s">
        <v>80</v>
      </c>
      <c r="B31" t="s">
        <v>30</v>
      </c>
      <c r="C31" t="s">
        <v>449</v>
      </c>
      <c r="E31" t="s">
        <v>449</v>
      </c>
      <c r="F31" t="s">
        <v>28</v>
      </c>
      <c r="G31" t="s">
        <v>80</v>
      </c>
    </row>
    <row r="32" spans="1:43" x14ac:dyDescent="0.3">
      <c r="AH32" t="s">
        <v>19</v>
      </c>
    </row>
    <row r="33" spans="1:40" x14ac:dyDescent="0.3">
      <c r="A33" t="s">
        <v>455</v>
      </c>
      <c r="AH33" t="s">
        <v>463</v>
      </c>
      <c r="AI33" t="s">
        <v>32</v>
      </c>
      <c r="AJ33" t="s">
        <v>441</v>
      </c>
      <c r="AL33" t="s">
        <v>441</v>
      </c>
      <c r="AM33" t="s">
        <v>75</v>
      </c>
      <c r="AN33" t="s">
        <v>463</v>
      </c>
    </row>
    <row r="34" spans="1:40" x14ac:dyDescent="0.3">
      <c r="A34" t="s">
        <v>59</v>
      </c>
    </row>
    <row r="35" spans="1:40" x14ac:dyDescent="0.3">
      <c r="A35" t="s">
        <v>448</v>
      </c>
      <c r="B35" t="s">
        <v>29</v>
      </c>
      <c r="C35" t="s">
        <v>441</v>
      </c>
      <c r="E35" t="s">
        <v>441</v>
      </c>
      <c r="F35" t="s">
        <v>109</v>
      </c>
      <c r="G35" t="s">
        <v>448</v>
      </c>
    </row>
    <row r="36" spans="1:40" x14ac:dyDescent="0.3">
      <c r="A36" t="s">
        <v>447</v>
      </c>
      <c r="B36" t="s">
        <v>33</v>
      </c>
      <c r="C36" t="s">
        <v>443</v>
      </c>
      <c r="E36" t="s">
        <v>443</v>
      </c>
      <c r="F36" t="s">
        <v>30</v>
      </c>
      <c r="G36" t="s">
        <v>447</v>
      </c>
    </row>
    <row r="38" spans="1:40" x14ac:dyDescent="0.3">
      <c r="A38" t="s">
        <v>49</v>
      </c>
    </row>
    <row r="39" spans="1:40" x14ac:dyDescent="0.3">
      <c r="A39" t="s">
        <v>444</v>
      </c>
      <c r="B39" t="s">
        <v>418</v>
      </c>
      <c r="C39" t="s">
        <v>441</v>
      </c>
    </row>
    <row r="40" spans="1:40" x14ac:dyDescent="0.3">
      <c r="A40" t="s">
        <v>442</v>
      </c>
      <c r="B40" t="s">
        <v>30</v>
      </c>
      <c r="C40" t="s">
        <v>443</v>
      </c>
    </row>
    <row r="42" spans="1:40" x14ac:dyDescent="0.3">
      <c r="A42" t="s">
        <v>19</v>
      </c>
    </row>
    <row r="43" spans="1:40" x14ac:dyDescent="0.3">
      <c r="A43" t="s">
        <v>442</v>
      </c>
      <c r="B43" t="s">
        <v>33</v>
      </c>
      <c r="C43" t="s">
        <v>444</v>
      </c>
    </row>
    <row r="45" spans="1:40" x14ac:dyDescent="0.3">
      <c r="A45" t="s">
        <v>313</v>
      </c>
    </row>
    <row r="46" spans="1:40" x14ac:dyDescent="0.3">
      <c r="A46" t="s">
        <v>1</v>
      </c>
      <c r="B46" t="s">
        <v>2</v>
      </c>
      <c r="C46" t="s">
        <v>3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  <c r="I46" t="s">
        <v>9</v>
      </c>
      <c r="J46" t="s">
        <v>10</v>
      </c>
    </row>
    <row r="47" spans="1:40" x14ac:dyDescent="0.3">
      <c r="A47" t="s">
        <v>11</v>
      </c>
      <c r="B47" t="s">
        <v>451</v>
      </c>
      <c r="C47" s="3">
        <v>14</v>
      </c>
      <c r="D47">
        <v>6</v>
      </c>
      <c r="E47">
        <v>4</v>
      </c>
      <c r="F47">
        <v>2</v>
      </c>
      <c r="G47">
        <f>D47-E47-F47</f>
        <v>0</v>
      </c>
      <c r="H47">
        <v>9</v>
      </c>
      <c r="I47">
        <v>3</v>
      </c>
      <c r="J47">
        <f>H47-I47</f>
        <v>6</v>
      </c>
    </row>
    <row r="48" spans="1:40" x14ac:dyDescent="0.3">
      <c r="A48" s="2" t="s">
        <v>12</v>
      </c>
      <c r="B48" t="s">
        <v>445</v>
      </c>
      <c r="C48" s="3">
        <v>8</v>
      </c>
      <c r="D48">
        <v>6</v>
      </c>
      <c r="E48">
        <v>2</v>
      </c>
      <c r="F48">
        <v>1</v>
      </c>
      <c r="G48">
        <f t="shared" ref="G48:G50" si="12">D48-E48-F48</f>
        <v>3</v>
      </c>
      <c r="H48">
        <v>8</v>
      </c>
      <c r="I48">
        <v>7</v>
      </c>
      <c r="J48">
        <f t="shared" ref="J48:J50" si="13">H48-I48</f>
        <v>1</v>
      </c>
    </row>
    <row r="49" spans="1:10" x14ac:dyDescent="0.3">
      <c r="A49" s="2" t="s">
        <v>13</v>
      </c>
      <c r="B49" t="s">
        <v>446</v>
      </c>
      <c r="C49" s="3">
        <v>7</v>
      </c>
      <c r="D49">
        <v>6</v>
      </c>
      <c r="E49">
        <v>2</v>
      </c>
      <c r="F49">
        <v>1</v>
      </c>
      <c r="G49">
        <f t="shared" si="12"/>
        <v>3</v>
      </c>
      <c r="H49">
        <v>7</v>
      </c>
      <c r="I49">
        <v>10</v>
      </c>
      <c r="J49">
        <f t="shared" si="13"/>
        <v>-3</v>
      </c>
    </row>
    <row r="50" spans="1:10" x14ac:dyDescent="0.3">
      <c r="A50" s="2" t="s">
        <v>14</v>
      </c>
      <c r="B50" t="s">
        <v>450</v>
      </c>
      <c r="C50" s="3">
        <v>6</v>
      </c>
      <c r="D50">
        <v>6</v>
      </c>
      <c r="E50">
        <v>2</v>
      </c>
      <c r="F50">
        <v>0</v>
      </c>
      <c r="G50">
        <f t="shared" si="12"/>
        <v>4</v>
      </c>
      <c r="H50">
        <v>4</v>
      </c>
      <c r="I50">
        <v>8</v>
      </c>
      <c r="J50">
        <f t="shared" si="13"/>
        <v>-4</v>
      </c>
    </row>
    <row r="52" spans="1:10" x14ac:dyDescent="0.3">
      <c r="A52" t="s">
        <v>113</v>
      </c>
    </row>
    <row r="53" spans="1:10" x14ac:dyDescent="0.3">
      <c r="A53" t="s">
        <v>449</v>
      </c>
    </row>
    <row r="54" spans="1:10" x14ac:dyDescent="0.3">
      <c r="A54" t="s">
        <v>442</v>
      </c>
    </row>
    <row r="55" spans="1:10" x14ac:dyDescent="0.3">
      <c r="A55" t="s">
        <v>463</v>
      </c>
    </row>
    <row r="57" spans="1:10" x14ac:dyDescent="0.3">
      <c r="A57" t="s">
        <v>114</v>
      </c>
    </row>
    <row r="58" spans="1:10" x14ac:dyDescent="0.3">
      <c r="A58" t="s">
        <v>80</v>
      </c>
    </row>
    <row r="59" spans="1:10" x14ac:dyDescent="0.3">
      <c r="A59" t="s">
        <v>449</v>
      </c>
    </row>
    <row r="60" spans="1:10" x14ac:dyDescent="0.3">
      <c r="A60" t="s">
        <v>444</v>
      </c>
    </row>
    <row r="61" spans="1:10" x14ac:dyDescent="0.3">
      <c r="A61" t="s">
        <v>441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1B45-315A-474F-BF66-B78E97C5E145}">
  <dimension ref="A1:AT33"/>
  <sheetViews>
    <sheetView topLeftCell="X1" workbookViewId="0">
      <selection activeCell="AH1" sqref="AH1:AQ20"/>
    </sheetView>
  </sheetViews>
  <sheetFormatPr defaultRowHeight="14.4" x14ac:dyDescent="0.3"/>
  <sheetData>
    <row r="1" spans="1:46" x14ac:dyDescent="0.3">
      <c r="A1" t="s">
        <v>76</v>
      </c>
      <c r="L1" t="s">
        <v>79</v>
      </c>
      <c r="W1" t="s">
        <v>660</v>
      </c>
      <c r="AH1" t="s">
        <v>659</v>
      </c>
      <c r="AS1" t="s">
        <v>50</v>
      </c>
    </row>
    <row r="2" spans="1:4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35</v>
      </c>
      <c r="AS2" t="s">
        <v>653</v>
      </c>
      <c r="AT2">
        <v>1</v>
      </c>
    </row>
    <row r="3" spans="1:46" x14ac:dyDescent="0.3">
      <c r="A3" s="1" t="s">
        <v>11</v>
      </c>
      <c r="B3" t="s">
        <v>652</v>
      </c>
      <c r="C3" s="3">
        <v>21</v>
      </c>
      <c r="D3">
        <v>9</v>
      </c>
      <c r="E3">
        <v>7</v>
      </c>
      <c r="F3">
        <v>0</v>
      </c>
      <c r="G3">
        <f t="shared" ref="G3:G12" si="0">D3-E3-F3</f>
        <v>2</v>
      </c>
      <c r="H3">
        <v>19</v>
      </c>
      <c r="I3">
        <v>9</v>
      </c>
      <c r="J3">
        <f t="shared" ref="J3:J12" si="1">H3-I3</f>
        <v>10</v>
      </c>
      <c r="L3" s="1" t="s">
        <v>11</v>
      </c>
      <c r="M3" t="s">
        <v>80</v>
      </c>
      <c r="N3" s="3">
        <v>22</v>
      </c>
      <c r="O3">
        <v>11</v>
      </c>
      <c r="P3">
        <v>7</v>
      </c>
      <c r="Q3">
        <v>1</v>
      </c>
      <c r="R3">
        <f>O3-P3-Q3</f>
        <v>3</v>
      </c>
      <c r="S3">
        <v>18</v>
      </c>
      <c r="T3">
        <v>13</v>
      </c>
      <c r="U3">
        <f>S3-T3</f>
        <v>5</v>
      </c>
      <c r="W3" s="1" t="s">
        <v>11</v>
      </c>
      <c r="X3" t="s">
        <v>779</v>
      </c>
      <c r="Y3" s="3">
        <v>20</v>
      </c>
      <c r="Z3">
        <v>11</v>
      </c>
      <c r="AA3">
        <v>6</v>
      </c>
      <c r="AB3">
        <v>2</v>
      </c>
      <c r="AC3">
        <f>Z3-AA3-AB3</f>
        <v>3</v>
      </c>
      <c r="AD3">
        <v>13</v>
      </c>
      <c r="AE3">
        <v>9</v>
      </c>
      <c r="AF3">
        <f>AD3-AE3</f>
        <v>4</v>
      </c>
      <c r="AH3" t="s">
        <v>1</v>
      </c>
      <c r="AI3" t="s">
        <v>2</v>
      </c>
      <c r="AJ3" t="s">
        <v>3</v>
      </c>
      <c r="AK3" t="s">
        <v>4</v>
      </c>
      <c r="AL3" t="s">
        <v>5</v>
      </c>
      <c r="AM3" t="s">
        <v>6</v>
      </c>
      <c r="AN3" t="s">
        <v>7</v>
      </c>
      <c r="AO3" t="s">
        <v>8</v>
      </c>
      <c r="AP3" t="s">
        <v>9</v>
      </c>
      <c r="AQ3" t="s">
        <v>10</v>
      </c>
      <c r="AS3" t="s">
        <v>80</v>
      </c>
      <c r="AT3">
        <v>1</v>
      </c>
    </row>
    <row r="4" spans="1:46" x14ac:dyDescent="0.3">
      <c r="A4" s="4" t="s">
        <v>12</v>
      </c>
      <c r="B4" t="s">
        <v>656</v>
      </c>
      <c r="C4" s="3">
        <v>18</v>
      </c>
      <c r="D4">
        <v>9</v>
      </c>
      <c r="E4">
        <v>5</v>
      </c>
      <c r="F4">
        <v>3</v>
      </c>
      <c r="G4">
        <f t="shared" si="0"/>
        <v>1</v>
      </c>
      <c r="H4">
        <v>13</v>
      </c>
      <c r="I4">
        <v>9</v>
      </c>
      <c r="J4">
        <f t="shared" si="1"/>
        <v>4</v>
      </c>
      <c r="L4" s="1" t="s">
        <v>12</v>
      </c>
      <c r="M4" t="s">
        <v>81</v>
      </c>
      <c r="N4" s="3">
        <v>21</v>
      </c>
      <c r="O4">
        <v>11</v>
      </c>
      <c r="P4">
        <v>7</v>
      </c>
      <c r="Q4">
        <v>0</v>
      </c>
      <c r="R4">
        <f t="shared" ref="R4:R14" si="2">O4-P4-Q4</f>
        <v>4</v>
      </c>
      <c r="S4">
        <v>18</v>
      </c>
      <c r="T4">
        <v>10</v>
      </c>
      <c r="U4">
        <f t="shared" ref="U4:U14" si="3">S4-T4</f>
        <v>8</v>
      </c>
      <c r="W4" s="1" t="s">
        <v>12</v>
      </c>
      <c r="X4" t="s">
        <v>350</v>
      </c>
      <c r="Y4" s="3">
        <v>19</v>
      </c>
      <c r="Z4">
        <v>11</v>
      </c>
      <c r="AA4">
        <v>6</v>
      </c>
      <c r="AB4">
        <v>1</v>
      </c>
      <c r="AC4">
        <f t="shared" ref="AC4:AC14" si="4">Z4-AA4-AB4</f>
        <v>4</v>
      </c>
      <c r="AD4">
        <v>15</v>
      </c>
      <c r="AE4">
        <v>10</v>
      </c>
      <c r="AF4">
        <f t="shared" ref="AF4:AF14" si="5">AD4-AE4</f>
        <v>5</v>
      </c>
      <c r="AH4" s="1" t="s">
        <v>11</v>
      </c>
      <c r="AI4" t="s">
        <v>657</v>
      </c>
      <c r="AJ4" s="3">
        <v>13</v>
      </c>
      <c r="AK4">
        <v>6</v>
      </c>
      <c r="AL4">
        <v>4</v>
      </c>
      <c r="AM4">
        <v>1</v>
      </c>
      <c r="AN4">
        <f>AK4-AL4-AM4</f>
        <v>1</v>
      </c>
      <c r="AO4">
        <v>11</v>
      </c>
      <c r="AP4">
        <v>6</v>
      </c>
      <c r="AQ4">
        <f>AO4-AP4</f>
        <v>5</v>
      </c>
      <c r="AS4" t="s">
        <v>779</v>
      </c>
      <c r="AT4">
        <v>1</v>
      </c>
    </row>
    <row r="5" spans="1:46" x14ac:dyDescent="0.3">
      <c r="A5" s="4" t="s">
        <v>13</v>
      </c>
      <c r="B5" t="s">
        <v>651</v>
      </c>
      <c r="C5" s="3">
        <v>16</v>
      </c>
      <c r="D5">
        <v>9</v>
      </c>
      <c r="E5">
        <v>4</v>
      </c>
      <c r="F5">
        <v>4</v>
      </c>
      <c r="G5">
        <f t="shared" si="0"/>
        <v>1</v>
      </c>
      <c r="H5">
        <v>14</v>
      </c>
      <c r="I5">
        <v>7</v>
      </c>
      <c r="J5">
        <f t="shared" si="1"/>
        <v>7</v>
      </c>
      <c r="L5" t="s">
        <v>13</v>
      </c>
      <c r="M5" t="s">
        <v>82</v>
      </c>
      <c r="N5" s="3">
        <v>20</v>
      </c>
      <c r="O5">
        <v>11</v>
      </c>
      <c r="P5">
        <v>6</v>
      </c>
      <c r="Q5">
        <v>2</v>
      </c>
      <c r="R5">
        <f t="shared" si="2"/>
        <v>3</v>
      </c>
      <c r="S5">
        <v>22</v>
      </c>
      <c r="T5">
        <v>15</v>
      </c>
      <c r="U5">
        <f t="shared" si="3"/>
        <v>7</v>
      </c>
      <c r="W5" t="s">
        <v>13</v>
      </c>
      <c r="X5" t="s">
        <v>254</v>
      </c>
      <c r="Y5" s="3">
        <v>19</v>
      </c>
      <c r="Z5">
        <v>11</v>
      </c>
      <c r="AA5">
        <v>6</v>
      </c>
      <c r="AB5">
        <v>1</v>
      </c>
      <c r="AC5">
        <f t="shared" si="4"/>
        <v>4</v>
      </c>
      <c r="AD5">
        <v>19</v>
      </c>
      <c r="AE5">
        <v>15</v>
      </c>
      <c r="AF5">
        <f t="shared" si="5"/>
        <v>4</v>
      </c>
      <c r="AH5" s="1" t="s">
        <v>12</v>
      </c>
      <c r="AI5" t="s">
        <v>656</v>
      </c>
      <c r="AJ5" s="3">
        <v>8</v>
      </c>
      <c r="AK5">
        <v>6</v>
      </c>
      <c r="AL5">
        <v>2</v>
      </c>
      <c r="AM5">
        <v>2</v>
      </c>
      <c r="AN5">
        <f t="shared" ref="AN5:AN7" si="6">AK5-AL5-AM5</f>
        <v>2</v>
      </c>
      <c r="AO5">
        <v>8</v>
      </c>
      <c r="AP5">
        <v>7</v>
      </c>
      <c r="AQ5">
        <f t="shared" ref="AQ5:AQ7" si="7">AO5-AP5</f>
        <v>1</v>
      </c>
      <c r="AS5" t="s">
        <v>657</v>
      </c>
      <c r="AT5">
        <v>1</v>
      </c>
    </row>
    <row r="6" spans="1:46" x14ac:dyDescent="0.3">
      <c r="A6" s="4" t="s">
        <v>14</v>
      </c>
      <c r="B6" t="s">
        <v>653</v>
      </c>
      <c r="C6" s="3">
        <v>14</v>
      </c>
      <c r="D6">
        <v>9</v>
      </c>
      <c r="E6">
        <v>4</v>
      </c>
      <c r="F6">
        <v>2</v>
      </c>
      <c r="G6">
        <f t="shared" si="0"/>
        <v>3</v>
      </c>
      <c r="H6">
        <v>13</v>
      </c>
      <c r="I6">
        <v>11</v>
      </c>
      <c r="J6">
        <f t="shared" si="1"/>
        <v>2</v>
      </c>
      <c r="L6" t="s">
        <v>14</v>
      </c>
      <c r="M6" t="s">
        <v>25</v>
      </c>
      <c r="N6" s="3">
        <v>18</v>
      </c>
      <c r="O6">
        <v>11</v>
      </c>
      <c r="P6">
        <v>5</v>
      </c>
      <c r="Q6">
        <v>3</v>
      </c>
      <c r="R6">
        <f t="shared" si="2"/>
        <v>3</v>
      </c>
      <c r="S6">
        <v>20</v>
      </c>
      <c r="T6">
        <v>11</v>
      </c>
      <c r="U6">
        <f t="shared" si="3"/>
        <v>9</v>
      </c>
      <c r="W6" t="s">
        <v>14</v>
      </c>
      <c r="X6" t="s">
        <v>661</v>
      </c>
      <c r="Y6" s="3">
        <v>19</v>
      </c>
      <c r="Z6">
        <v>11</v>
      </c>
      <c r="AA6">
        <v>6</v>
      </c>
      <c r="AB6">
        <v>1</v>
      </c>
      <c r="AC6">
        <f t="shared" si="4"/>
        <v>4</v>
      </c>
      <c r="AD6">
        <v>17</v>
      </c>
      <c r="AE6">
        <v>14</v>
      </c>
      <c r="AF6">
        <f t="shared" si="5"/>
        <v>3</v>
      </c>
      <c r="AH6" t="s">
        <v>13</v>
      </c>
      <c r="AI6" t="s">
        <v>655</v>
      </c>
      <c r="AJ6" s="3">
        <v>6</v>
      </c>
      <c r="AK6">
        <v>6</v>
      </c>
      <c r="AL6">
        <v>2</v>
      </c>
      <c r="AM6">
        <v>0</v>
      </c>
      <c r="AN6">
        <f t="shared" si="6"/>
        <v>4</v>
      </c>
      <c r="AO6">
        <v>5</v>
      </c>
      <c r="AP6">
        <v>11</v>
      </c>
      <c r="AQ6">
        <f t="shared" si="7"/>
        <v>-6</v>
      </c>
    </row>
    <row r="7" spans="1:46" x14ac:dyDescent="0.3">
      <c r="A7" s="4" t="s">
        <v>15</v>
      </c>
      <c r="B7" t="s">
        <v>303</v>
      </c>
      <c r="C7" s="3">
        <v>14</v>
      </c>
      <c r="D7">
        <v>9</v>
      </c>
      <c r="E7">
        <v>4</v>
      </c>
      <c r="F7">
        <v>2</v>
      </c>
      <c r="G7">
        <f t="shared" si="0"/>
        <v>3</v>
      </c>
      <c r="H7">
        <v>8</v>
      </c>
      <c r="I7">
        <v>8</v>
      </c>
      <c r="J7">
        <f t="shared" si="1"/>
        <v>0</v>
      </c>
      <c r="L7" t="s">
        <v>15</v>
      </c>
      <c r="M7" t="s">
        <v>83</v>
      </c>
      <c r="N7" s="3">
        <v>18</v>
      </c>
      <c r="O7">
        <v>11</v>
      </c>
      <c r="P7">
        <v>5</v>
      </c>
      <c r="Q7">
        <v>3</v>
      </c>
      <c r="R7">
        <f t="shared" si="2"/>
        <v>3</v>
      </c>
      <c r="S7">
        <v>17</v>
      </c>
      <c r="T7">
        <v>16</v>
      </c>
      <c r="U7">
        <f t="shared" si="3"/>
        <v>1</v>
      </c>
      <c r="W7" t="s">
        <v>15</v>
      </c>
      <c r="X7" t="s">
        <v>662</v>
      </c>
      <c r="Y7" s="3">
        <v>19</v>
      </c>
      <c r="Z7">
        <v>11</v>
      </c>
      <c r="AA7">
        <v>6</v>
      </c>
      <c r="AB7">
        <v>1</v>
      </c>
      <c r="AC7">
        <f t="shared" si="4"/>
        <v>4</v>
      </c>
      <c r="AD7">
        <v>16</v>
      </c>
      <c r="AE7">
        <v>13</v>
      </c>
      <c r="AF7">
        <f t="shared" si="5"/>
        <v>3</v>
      </c>
      <c r="AH7" t="s">
        <v>14</v>
      </c>
      <c r="AI7" t="s">
        <v>653</v>
      </c>
      <c r="AJ7" s="3">
        <v>6</v>
      </c>
      <c r="AK7">
        <v>6</v>
      </c>
      <c r="AL7">
        <v>1</v>
      </c>
      <c r="AM7">
        <v>3</v>
      </c>
      <c r="AN7">
        <f t="shared" si="6"/>
        <v>2</v>
      </c>
      <c r="AO7">
        <v>10</v>
      </c>
      <c r="AP7">
        <v>10</v>
      </c>
      <c r="AQ7">
        <f t="shared" si="7"/>
        <v>0</v>
      </c>
    </row>
    <row r="8" spans="1:46" x14ac:dyDescent="0.3">
      <c r="A8" s="4" t="s">
        <v>16</v>
      </c>
      <c r="B8" t="s">
        <v>655</v>
      </c>
      <c r="C8" s="3">
        <v>13</v>
      </c>
      <c r="D8">
        <v>9</v>
      </c>
      <c r="E8">
        <v>4</v>
      </c>
      <c r="F8">
        <v>1</v>
      </c>
      <c r="G8">
        <f t="shared" si="0"/>
        <v>4</v>
      </c>
      <c r="H8">
        <v>12</v>
      </c>
      <c r="I8">
        <v>14</v>
      </c>
      <c r="J8">
        <f t="shared" si="1"/>
        <v>-2</v>
      </c>
      <c r="L8" t="s">
        <v>16</v>
      </c>
      <c r="M8" t="s">
        <v>84</v>
      </c>
      <c r="N8" s="3">
        <v>16</v>
      </c>
      <c r="O8">
        <v>11</v>
      </c>
      <c r="P8">
        <v>5</v>
      </c>
      <c r="Q8">
        <v>1</v>
      </c>
      <c r="R8">
        <f t="shared" si="2"/>
        <v>5</v>
      </c>
      <c r="S8">
        <v>13</v>
      </c>
      <c r="T8">
        <v>15</v>
      </c>
      <c r="U8">
        <f t="shared" si="3"/>
        <v>-2</v>
      </c>
      <c r="W8" t="s">
        <v>16</v>
      </c>
      <c r="X8" t="s">
        <v>663</v>
      </c>
      <c r="Y8" s="3">
        <v>19</v>
      </c>
      <c r="Z8">
        <v>11</v>
      </c>
      <c r="AA8">
        <v>6</v>
      </c>
      <c r="AB8">
        <v>1</v>
      </c>
      <c r="AC8">
        <f t="shared" si="4"/>
        <v>4</v>
      </c>
      <c r="AD8">
        <v>16</v>
      </c>
      <c r="AE8">
        <v>16</v>
      </c>
      <c r="AF8">
        <f t="shared" si="5"/>
        <v>0</v>
      </c>
    </row>
    <row r="9" spans="1:46" x14ac:dyDescent="0.3">
      <c r="A9" s="4" t="s">
        <v>17</v>
      </c>
      <c r="B9" t="s">
        <v>657</v>
      </c>
      <c r="C9" s="3">
        <v>10</v>
      </c>
      <c r="D9">
        <v>9</v>
      </c>
      <c r="E9">
        <v>3</v>
      </c>
      <c r="F9">
        <v>1</v>
      </c>
      <c r="G9">
        <f t="shared" si="0"/>
        <v>5</v>
      </c>
      <c r="H9">
        <v>9</v>
      </c>
      <c r="I9">
        <v>14</v>
      </c>
      <c r="J9">
        <f t="shared" si="1"/>
        <v>-5</v>
      </c>
      <c r="L9" t="s">
        <v>17</v>
      </c>
      <c r="M9" t="s">
        <v>85</v>
      </c>
      <c r="N9" s="3">
        <v>14</v>
      </c>
      <c r="O9">
        <v>11</v>
      </c>
      <c r="P9">
        <v>4</v>
      </c>
      <c r="Q9">
        <v>2</v>
      </c>
      <c r="R9">
        <f t="shared" si="2"/>
        <v>5</v>
      </c>
      <c r="S9">
        <v>14</v>
      </c>
      <c r="T9">
        <v>20</v>
      </c>
      <c r="U9">
        <f t="shared" si="3"/>
        <v>-6</v>
      </c>
      <c r="W9" t="s">
        <v>17</v>
      </c>
      <c r="X9" t="s">
        <v>664</v>
      </c>
      <c r="Y9" s="3">
        <v>18</v>
      </c>
      <c r="Z9">
        <v>11</v>
      </c>
      <c r="AA9">
        <v>6</v>
      </c>
      <c r="AB9">
        <v>0</v>
      </c>
      <c r="AC9">
        <f t="shared" si="4"/>
        <v>5</v>
      </c>
      <c r="AD9">
        <v>21</v>
      </c>
      <c r="AE9">
        <v>20</v>
      </c>
      <c r="AF9">
        <f t="shared" si="5"/>
        <v>1</v>
      </c>
      <c r="AH9" t="s">
        <v>36</v>
      </c>
    </row>
    <row r="10" spans="1:46" x14ac:dyDescent="0.3">
      <c r="A10" t="s">
        <v>18</v>
      </c>
      <c r="B10" t="s">
        <v>613</v>
      </c>
      <c r="C10" s="3">
        <v>9</v>
      </c>
      <c r="D10">
        <v>9</v>
      </c>
      <c r="E10">
        <v>3</v>
      </c>
      <c r="F10">
        <v>0</v>
      </c>
      <c r="G10">
        <f t="shared" si="0"/>
        <v>6</v>
      </c>
      <c r="H10">
        <v>8</v>
      </c>
      <c r="I10">
        <v>13</v>
      </c>
      <c r="J10">
        <f t="shared" si="1"/>
        <v>-5</v>
      </c>
      <c r="L10" t="s">
        <v>18</v>
      </c>
      <c r="M10" t="s">
        <v>86</v>
      </c>
      <c r="N10" s="3">
        <v>13</v>
      </c>
      <c r="O10">
        <v>11</v>
      </c>
      <c r="P10">
        <v>4</v>
      </c>
      <c r="Q10">
        <v>1</v>
      </c>
      <c r="R10">
        <f t="shared" si="2"/>
        <v>6</v>
      </c>
      <c r="S10">
        <v>13</v>
      </c>
      <c r="T10">
        <v>15</v>
      </c>
      <c r="U10">
        <f t="shared" si="3"/>
        <v>-2</v>
      </c>
      <c r="W10" t="s">
        <v>18</v>
      </c>
      <c r="X10" t="s">
        <v>106</v>
      </c>
      <c r="Y10" s="3">
        <v>18</v>
      </c>
      <c r="Z10">
        <v>11</v>
      </c>
      <c r="AA10">
        <v>6</v>
      </c>
      <c r="AB10">
        <v>0</v>
      </c>
      <c r="AC10">
        <f t="shared" si="4"/>
        <v>5</v>
      </c>
      <c r="AD10">
        <v>18</v>
      </c>
      <c r="AE10">
        <v>17</v>
      </c>
      <c r="AF10">
        <f t="shared" si="5"/>
        <v>1</v>
      </c>
      <c r="AH10" t="s">
        <v>1</v>
      </c>
      <c r="AI10" t="s">
        <v>2</v>
      </c>
      <c r="AJ10" t="s">
        <v>3</v>
      </c>
      <c r="AK10" t="s">
        <v>4</v>
      </c>
      <c r="AL10" t="s">
        <v>5</v>
      </c>
      <c r="AM10" t="s">
        <v>6</v>
      </c>
      <c r="AN10" t="s">
        <v>7</v>
      </c>
      <c r="AO10" t="s">
        <v>8</v>
      </c>
      <c r="AP10" t="s">
        <v>9</v>
      </c>
      <c r="AQ10" t="s">
        <v>10</v>
      </c>
    </row>
    <row r="11" spans="1:46" x14ac:dyDescent="0.3">
      <c r="A11" s="2" t="s">
        <v>55</v>
      </c>
      <c r="B11" t="s">
        <v>654</v>
      </c>
      <c r="C11" s="3">
        <v>7</v>
      </c>
      <c r="D11">
        <v>9</v>
      </c>
      <c r="E11">
        <v>2</v>
      </c>
      <c r="F11">
        <v>1</v>
      </c>
      <c r="G11">
        <f t="shared" si="0"/>
        <v>6</v>
      </c>
      <c r="H11">
        <v>8</v>
      </c>
      <c r="I11">
        <v>12</v>
      </c>
      <c r="J11">
        <f t="shared" si="1"/>
        <v>-4</v>
      </c>
      <c r="L11" t="s">
        <v>55</v>
      </c>
      <c r="M11" t="s">
        <v>87</v>
      </c>
      <c r="N11" s="3">
        <v>13</v>
      </c>
      <c r="O11">
        <v>11</v>
      </c>
      <c r="P11">
        <v>4</v>
      </c>
      <c r="Q11">
        <v>1</v>
      </c>
      <c r="R11">
        <f>O11-P11-Q11</f>
        <v>6</v>
      </c>
      <c r="S11">
        <v>14</v>
      </c>
      <c r="T11">
        <v>17</v>
      </c>
      <c r="U11">
        <f>S11-T11</f>
        <v>-3</v>
      </c>
      <c r="W11" t="s">
        <v>55</v>
      </c>
      <c r="X11" t="s">
        <v>665</v>
      </c>
      <c r="Y11" s="3">
        <v>14</v>
      </c>
      <c r="Z11">
        <v>11</v>
      </c>
      <c r="AA11">
        <v>4</v>
      </c>
      <c r="AB11">
        <v>2</v>
      </c>
      <c r="AC11">
        <f>Z11-AA11-AB11</f>
        <v>5</v>
      </c>
      <c r="AD11">
        <v>12</v>
      </c>
      <c r="AE11">
        <v>14</v>
      </c>
      <c r="AF11">
        <f>AD11-AE11</f>
        <v>-2</v>
      </c>
      <c r="AH11" s="1" t="s">
        <v>11</v>
      </c>
      <c r="AI11" t="s">
        <v>651</v>
      </c>
      <c r="AJ11" s="3">
        <v>11</v>
      </c>
      <c r="AK11">
        <v>6</v>
      </c>
      <c r="AL11">
        <v>3</v>
      </c>
      <c r="AM11">
        <v>2</v>
      </c>
      <c r="AN11">
        <f>AK11-AL11-AM11</f>
        <v>1</v>
      </c>
      <c r="AO11">
        <v>10</v>
      </c>
      <c r="AP11">
        <v>7</v>
      </c>
      <c r="AQ11">
        <f>AO11-AP11</f>
        <v>3</v>
      </c>
    </row>
    <row r="12" spans="1:46" x14ac:dyDescent="0.3">
      <c r="A12" s="2" t="s">
        <v>56</v>
      </c>
      <c r="B12" t="s">
        <v>650</v>
      </c>
      <c r="C12" s="3">
        <v>6</v>
      </c>
      <c r="D12">
        <v>9</v>
      </c>
      <c r="E12">
        <v>2</v>
      </c>
      <c r="F12">
        <v>0</v>
      </c>
      <c r="G12">
        <f t="shared" si="0"/>
        <v>7</v>
      </c>
      <c r="H12">
        <v>7</v>
      </c>
      <c r="I12">
        <v>14</v>
      </c>
      <c r="J12">
        <f t="shared" si="1"/>
        <v>-7</v>
      </c>
      <c r="L12" t="s">
        <v>56</v>
      </c>
      <c r="M12" t="s">
        <v>88</v>
      </c>
      <c r="N12" s="3">
        <v>12</v>
      </c>
      <c r="O12">
        <v>11</v>
      </c>
      <c r="P12">
        <v>3</v>
      </c>
      <c r="Q12">
        <v>3</v>
      </c>
      <c r="R12">
        <f t="shared" si="2"/>
        <v>5</v>
      </c>
      <c r="S12">
        <v>14</v>
      </c>
      <c r="T12">
        <v>15</v>
      </c>
      <c r="U12">
        <f t="shared" si="3"/>
        <v>-1</v>
      </c>
      <c r="W12" t="s">
        <v>56</v>
      </c>
      <c r="X12" t="s">
        <v>666</v>
      </c>
      <c r="Y12" s="3">
        <v>13</v>
      </c>
      <c r="Z12">
        <v>11</v>
      </c>
      <c r="AA12">
        <v>4</v>
      </c>
      <c r="AB12">
        <v>1</v>
      </c>
      <c r="AC12">
        <f t="shared" si="4"/>
        <v>6</v>
      </c>
      <c r="AD12">
        <v>8</v>
      </c>
      <c r="AE12">
        <v>15</v>
      </c>
      <c r="AF12">
        <f t="shared" si="5"/>
        <v>-7</v>
      </c>
      <c r="AH12" s="1" t="s">
        <v>12</v>
      </c>
      <c r="AI12" t="s">
        <v>613</v>
      </c>
      <c r="AJ12" s="3">
        <v>9</v>
      </c>
      <c r="AK12">
        <v>6</v>
      </c>
      <c r="AL12">
        <v>3</v>
      </c>
      <c r="AM12">
        <v>0</v>
      </c>
      <c r="AN12">
        <f t="shared" ref="AN12:AN14" si="8">AK12-AL12-AM12</f>
        <v>3</v>
      </c>
      <c r="AO12">
        <v>8</v>
      </c>
      <c r="AP12">
        <v>7</v>
      </c>
      <c r="AQ12">
        <f t="shared" ref="AQ12:AQ14" si="9">AO12-AP12</f>
        <v>1</v>
      </c>
    </row>
    <row r="13" spans="1:46" x14ac:dyDescent="0.3">
      <c r="L13" s="2" t="s">
        <v>57</v>
      </c>
      <c r="M13" t="s">
        <v>89</v>
      </c>
      <c r="N13" s="3">
        <v>11</v>
      </c>
      <c r="O13">
        <v>11</v>
      </c>
      <c r="P13">
        <v>3</v>
      </c>
      <c r="Q13">
        <v>2</v>
      </c>
      <c r="R13">
        <f>O13-P13-Q13</f>
        <v>6</v>
      </c>
      <c r="S13">
        <v>11</v>
      </c>
      <c r="T13">
        <v>19</v>
      </c>
      <c r="U13">
        <f>S13-T13</f>
        <v>-8</v>
      </c>
      <c r="W13" t="s">
        <v>57</v>
      </c>
      <c r="X13" t="s">
        <v>667</v>
      </c>
      <c r="Y13" s="3">
        <v>10</v>
      </c>
      <c r="Z13">
        <v>11</v>
      </c>
      <c r="AA13">
        <v>3</v>
      </c>
      <c r="AB13">
        <v>1</v>
      </c>
      <c r="AC13">
        <f>Z13-AA13-AB13</f>
        <v>7</v>
      </c>
      <c r="AD13">
        <v>19</v>
      </c>
      <c r="AE13">
        <v>21</v>
      </c>
      <c r="AF13">
        <f>AD13-AE13</f>
        <v>-2</v>
      </c>
      <c r="AH13" t="s">
        <v>13</v>
      </c>
      <c r="AI13" t="s">
        <v>652</v>
      </c>
      <c r="AJ13" s="3">
        <v>7</v>
      </c>
      <c r="AK13">
        <v>6</v>
      </c>
      <c r="AL13">
        <v>2</v>
      </c>
      <c r="AM13">
        <v>1</v>
      </c>
      <c r="AN13">
        <f t="shared" si="8"/>
        <v>3</v>
      </c>
      <c r="AO13">
        <v>5</v>
      </c>
      <c r="AP13">
        <v>6</v>
      </c>
      <c r="AQ13">
        <f t="shared" si="9"/>
        <v>-1</v>
      </c>
    </row>
    <row r="14" spans="1:46" x14ac:dyDescent="0.3">
      <c r="A14" t="s">
        <v>78</v>
      </c>
      <c r="L14" s="2" t="s">
        <v>58</v>
      </c>
      <c r="M14" t="s">
        <v>90</v>
      </c>
      <c r="N14" s="3">
        <v>10</v>
      </c>
      <c r="O14">
        <v>11</v>
      </c>
      <c r="P14">
        <v>3</v>
      </c>
      <c r="Q14">
        <v>1</v>
      </c>
      <c r="R14">
        <f t="shared" si="2"/>
        <v>7</v>
      </c>
      <c r="S14">
        <v>11</v>
      </c>
      <c r="T14">
        <v>19</v>
      </c>
      <c r="U14">
        <f t="shared" si="3"/>
        <v>-8</v>
      </c>
      <c r="W14" t="s">
        <v>58</v>
      </c>
      <c r="X14" t="s">
        <v>668</v>
      </c>
      <c r="Y14" s="3">
        <v>4</v>
      </c>
      <c r="Z14">
        <v>11</v>
      </c>
      <c r="AA14">
        <v>1</v>
      </c>
      <c r="AB14">
        <v>1</v>
      </c>
      <c r="AC14">
        <f t="shared" si="4"/>
        <v>9</v>
      </c>
      <c r="AD14">
        <v>13</v>
      </c>
      <c r="AE14">
        <v>23</v>
      </c>
      <c r="AF14">
        <f t="shared" si="5"/>
        <v>-10</v>
      </c>
      <c r="AH14" t="s">
        <v>14</v>
      </c>
      <c r="AI14" t="s">
        <v>303</v>
      </c>
      <c r="AJ14" s="3">
        <v>7</v>
      </c>
      <c r="AK14">
        <v>6</v>
      </c>
      <c r="AL14">
        <v>2</v>
      </c>
      <c r="AM14">
        <v>1</v>
      </c>
      <c r="AN14">
        <f t="shared" si="8"/>
        <v>3</v>
      </c>
      <c r="AO14">
        <v>6</v>
      </c>
      <c r="AP14">
        <v>9</v>
      </c>
      <c r="AQ14">
        <f t="shared" si="9"/>
        <v>-3</v>
      </c>
    </row>
    <row r="15" spans="1:46" x14ac:dyDescent="0.3">
      <c r="A15" t="str">
        <f>B4</f>
        <v>Dorense</v>
      </c>
      <c r="B15" t="s">
        <v>33</v>
      </c>
      <c r="C15" t="str">
        <f>B9</f>
        <v>Atlético Gloriense</v>
      </c>
    </row>
    <row r="16" spans="1:46" x14ac:dyDescent="0.3">
      <c r="A16" t="str">
        <f>B5</f>
        <v>América de Propriá</v>
      </c>
      <c r="B16" t="s">
        <v>32</v>
      </c>
      <c r="C16" t="str">
        <f>B8</f>
        <v>Sergipe</v>
      </c>
      <c r="AH16" t="s">
        <v>49</v>
      </c>
    </row>
    <row r="17" spans="1:36" x14ac:dyDescent="0.3">
      <c r="A17" t="str">
        <f>B6</f>
        <v>Lagarto</v>
      </c>
      <c r="B17" t="s">
        <v>30</v>
      </c>
      <c r="C17" t="str">
        <f>B7</f>
        <v>Guarany</v>
      </c>
      <c r="AH17" t="str">
        <f>AI4</f>
        <v>Atlético Gloriense</v>
      </c>
      <c r="AI17" t="s">
        <v>31</v>
      </c>
      <c r="AJ17" t="str">
        <f>AI12</f>
        <v>Confiança</v>
      </c>
    </row>
    <row r="18" spans="1:36" x14ac:dyDescent="0.3">
      <c r="AH18" t="str">
        <f>AI11</f>
        <v>América de Propriá</v>
      </c>
      <c r="AI18" t="s">
        <v>549</v>
      </c>
      <c r="AJ18" t="str">
        <f>AI5</f>
        <v>Dorense</v>
      </c>
    </row>
    <row r="19" spans="1:36" x14ac:dyDescent="0.3">
      <c r="A19" t="s">
        <v>49</v>
      </c>
    </row>
    <row r="20" spans="1:36" x14ac:dyDescent="0.3">
      <c r="A20" t="s">
        <v>657</v>
      </c>
      <c r="B20" t="s">
        <v>33</v>
      </c>
      <c r="C20" t="str">
        <f>B3</f>
        <v>Itabaiana</v>
      </c>
      <c r="E20" t="str">
        <f>B3</f>
        <v>Itabaiana</v>
      </c>
      <c r="F20" t="s">
        <v>75</v>
      </c>
      <c r="G20" t="s">
        <v>657</v>
      </c>
      <c r="AH20" t="s">
        <v>19</v>
      </c>
    </row>
    <row r="21" spans="1:36" x14ac:dyDescent="0.3">
      <c r="A21" t="s">
        <v>653</v>
      </c>
      <c r="B21" t="s">
        <v>48</v>
      </c>
      <c r="C21" t="s">
        <v>651</v>
      </c>
      <c r="E21" t="s">
        <v>651</v>
      </c>
      <c r="F21" t="s">
        <v>32</v>
      </c>
      <c r="G21" t="s">
        <v>653</v>
      </c>
      <c r="AH21" t="s">
        <v>657</v>
      </c>
      <c r="AI21" t="s">
        <v>196</v>
      </c>
      <c r="AJ21" t="s">
        <v>656</v>
      </c>
    </row>
    <row r="23" spans="1:36" x14ac:dyDescent="0.3">
      <c r="A23" t="s">
        <v>19</v>
      </c>
    </row>
    <row r="24" spans="1:36" x14ac:dyDescent="0.3">
      <c r="A24" t="s">
        <v>653</v>
      </c>
      <c r="B24" t="s">
        <v>75</v>
      </c>
      <c r="C24" t="s">
        <v>652</v>
      </c>
      <c r="E24" t="s">
        <v>652</v>
      </c>
      <c r="F24" t="s">
        <v>658</v>
      </c>
      <c r="G24" t="s">
        <v>653</v>
      </c>
    </row>
    <row r="26" spans="1:36" x14ac:dyDescent="0.3">
      <c r="A26" t="s">
        <v>113</v>
      </c>
    </row>
    <row r="27" spans="1:36" x14ac:dyDescent="0.3">
      <c r="A27" t="s">
        <v>653</v>
      </c>
    </row>
    <row r="28" spans="1:36" x14ac:dyDescent="0.3">
      <c r="A28" t="s">
        <v>657</v>
      </c>
    </row>
    <row r="30" spans="1:36" x14ac:dyDescent="0.3">
      <c r="A30" t="s">
        <v>114</v>
      </c>
    </row>
    <row r="31" spans="1:36" x14ac:dyDescent="0.3">
      <c r="A31" t="s">
        <v>653</v>
      </c>
    </row>
    <row r="32" spans="1:36" x14ac:dyDescent="0.3">
      <c r="A32" t="s">
        <v>652</v>
      </c>
    </row>
    <row r="33" spans="1:1" x14ac:dyDescent="0.3">
      <c r="A33" t="s">
        <v>651</v>
      </c>
    </row>
  </sheetData>
  <sortState xmlns:xlrd2="http://schemas.microsoft.com/office/spreadsheetml/2017/richdata2" ref="B3:J12">
    <sortCondition descending="1" ref="C3:C12"/>
    <sortCondition descending="1" ref="E3:E12"/>
    <sortCondition descending="1" ref="J3:J12"/>
    <sortCondition descending="1" ref="H3:H12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4809-1EB2-494A-8FA3-DAC6F713AA2E}">
  <dimension ref="A1:BP59"/>
  <sheetViews>
    <sheetView tabSelected="1" workbookViewId="0">
      <selection activeCell="B39" sqref="B39"/>
    </sheetView>
  </sheetViews>
  <sheetFormatPr defaultRowHeight="14.4" x14ac:dyDescent="0.3"/>
  <sheetData>
    <row r="1" spans="1:68" x14ac:dyDescent="0.3">
      <c r="A1" t="s">
        <v>149</v>
      </c>
      <c r="L1" t="s">
        <v>116</v>
      </c>
      <c r="W1" t="s">
        <v>141</v>
      </c>
      <c r="AH1" t="s">
        <v>159</v>
      </c>
      <c r="AS1" t="s">
        <v>178</v>
      </c>
      <c r="BD1" t="s">
        <v>115</v>
      </c>
      <c r="BO1" t="s">
        <v>50</v>
      </c>
    </row>
    <row r="2" spans="1:6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H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35</v>
      </c>
      <c r="BD2" t="s">
        <v>35</v>
      </c>
      <c r="BO2" t="s">
        <v>99</v>
      </c>
      <c r="BP2">
        <v>1</v>
      </c>
    </row>
    <row r="3" spans="1:68" x14ac:dyDescent="0.3">
      <c r="A3" s="1" t="s">
        <v>11</v>
      </c>
      <c r="B3" t="s">
        <v>95</v>
      </c>
      <c r="C3" s="3">
        <v>17</v>
      </c>
      <c r="D3">
        <v>8</v>
      </c>
      <c r="E3">
        <v>5</v>
      </c>
      <c r="F3">
        <v>2</v>
      </c>
      <c r="G3">
        <f>D3-E3-F3</f>
        <v>1</v>
      </c>
      <c r="H3">
        <v>12</v>
      </c>
      <c r="I3">
        <v>5</v>
      </c>
      <c r="J3">
        <f>H3-I3</f>
        <v>7</v>
      </c>
      <c r="L3" s="1" t="s">
        <v>11</v>
      </c>
      <c r="M3" t="s">
        <v>120</v>
      </c>
      <c r="N3" s="3">
        <v>29</v>
      </c>
      <c r="O3">
        <v>15</v>
      </c>
      <c r="P3">
        <v>9</v>
      </c>
      <c r="Q3">
        <v>2</v>
      </c>
      <c r="R3">
        <f t="shared" ref="R3:R18" si="0">O3-P3-Q3</f>
        <v>4</v>
      </c>
      <c r="S3">
        <v>17</v>
      </c>
      <c r="T3">
        <v>8</v>
      </c>
      <c r="U3">
        <f t="shared" ref="U3:U18" si="1">S3-T3</f>
        <v>9</v>
      </c>
      <c r="W3" s="1" t="s">
        <v>11</v>
      </c>
      <c r="X3" t="s">
        <v>144</v>
      </c>
      <c r="Y3" s="3">
        <v>27</v>
      </c>
      <c r="Z3">
        <v>15</v>
      </c>
      <c r="AA3">
        <v>8</v>
      </c>
      <c r="AB3">
        <v>3</v>
      </c>
      <c r="AC3">
        <f t="shared" ref="AC3:AC18" si="2">Z3-AA3-AB3</f>
        <v>4</v>
      </c>
      <c r="AD3">
        <v>24</v>
      </c>
      <c r="AE3">
        <v>10</v>
      </c>
      <c r="AF3">
        <f t="shared" ref="AF3:AF18" si="3">AD3-AE3</f>
        <v>14</v>
      </c>
      <c r="AH3" s="1" t="s">
        <v>11</v>
      </c>
      <c r="AI3" t="s">
        <v>172</v>
      </c>
      <c r="AJ3" s="3">
        <v>26</v>
      </c>
      <c r="AK3">
        <v>15</v>
      </c>
      <c r="AL3">
        <v>7</v>
      </c>
      <c r="AM3">
        <v>5</v>
      </c>
      <c r="AN3">
        <f t="shared" ref="AN3:AN18" si="4">AK3-AL3-AM3</f>
        <v>3</v>
      </c>
      <c r="AO3">
        <v>23</v>
      </c>
      <c r="AP3">
        <v>20</v>
      </c>
      <c r="AQ3">
        <f t="shared" ref="AQ3:AQ18" si="5">AO3-AP3</f>
        <v>3</v>
      </c>
      <c r="AS3" t="s">
        <v>1</v>
      </c>
      <c r="AT3" t="s">
        <v>2</v>
      </c>
      <c r="AU3" t="s">
        <v>3</v>
      </c>
      <c r="AV3" t="s">
        <v>4</v>
      </c>
      <c r="AW3" t="s">
        <v>5</v>
      </c>
      <c r="AX3" t="s">
        <v>6</v>
      </c>
      <c r="AY3" t="s">
        <v>7</v>
      </c>
      <c r="AZ3" t="s">
        <v>8</v>
      </c>
      <c r="BA3" t="s">
        <v>9</v>
      </c>
      <c r="BB3" t="s">
        <v>10</v>
      </c>
      <c r="BD3" t="s">
        <v>1</v>
      </c>
      <c r="BE3" t="s">
        <v>2</v>
      </c>
      <c r="BF3" t="s">
        <v>3</v>
      </c>
      <c r="BG3" t="s">
        <v>4</v>
      </c>
      <c r="BH3" t="s">
        <v>5</v>
      </c>
      <c r="BI3" t="s">
        <v>6</v>
      </c>
      <c r="BJ3" t="s">
        <v>7</v>
      </c>
      <c r="BK3" t="s">
        <v>8</v>
      </c>
      <c r="BL3" t="s">
        <v>9</v>
      </c>
      <c r="BM3" t="s">
        <v>10</v>
      </c>
      <c r="BO3" t="s">
        <v>120</v>
      </c>
      <c r="BP3">
        <v>4</v>
      </c>
    </row>
    <row r="4" spans="1:68" x14ac:dyDescent="0.3">
      <c r="A4" s="1" t="s">
        <v>12</v>
      </c>
      <c r="B4" t="s">
        <v>96</v>
      </c>
      <c r="C4" s="3">
        <v>16</v>
      </c>
      <c r="D4">
        <v>8</v>
      </c>
      <c r="E4">
        <v>5</v>
      </c>
      <c r="F4">
        <v>1</v>
      </c>
      <c r="G4">
        <f t="shared" ref="G4:G18" si="6">D4-E4-F4</f>
        <v>2</v>
      </c>
      <c r="H4">
        <v>12</v>
      </c>
      <c r="I4">
        <v>7</v>
      </c>
      <c r="J4">
        <f t="shared" ref="J4:J18" si="7">H4-I4</f>
        <v>5</v>
      </c>
      <c r="L4" s="1" t="s">
        <v>12</v>
      </c>
      <c r="M4" t="s">
        <v>122</v>
      </c>
      <c r="N4" s="3">
        <v>26</v>
      </c>
      <c r="O4">
        <v>15</v>
      </c>
      <c r="P4">
        <v>8</v>
      </c>
      <c r="Q4">
        <v>2</v>
      </c>
      <c r="R4">
        <f t="shared" si="0"/>
        <v>5</v>
      </c>
      <c r="S4">
        <v>22</v>
      </c>
      <c r="T4">
        <v>13</v>
      </c>
      <c r="U4">
        <f t="shared" si="1"/>
        <v>9</v>
      </c>
      <c r="W4" s="1" t="s">
        <v>12</v>
      </c>
      <c r="X4" t="s">
        <v>143</v>
      </c>
      <c r="Y4" s="3">
        <v>27</v>
      </c>
      <c r="Z4">
        <v>15</v>
      </c>
      <c r="AA4">
        <v>8</v>
      </c>
      <c r="AB4">
        <v>3</v>
      </c>
      <c r="AC4">
        <f t="shared" si="2"/>
        <v>4</v>
      </c>
      <c r="AD4">
        <v>20</v>
      </c>
      <c r="AE4">
        <v>13</v>
      </c>
      <c r="AF4">
        <f t="shared" si="3"/>
        <v>7</v>
      </c>
      <c r="AH4" s="1" t="s">
        <v>12</v>
      </c>
      <c r="AI4" t="s">
        <v>170</v>
      </c>
      <c r="AJ4" s="3">
        <v>25</v>
      </c>
      <c r="AK4">
        <v>15</v>
      </c>
      <c r="AL4">
        <v>7</v>
      </c>
      <c r="AM4">
        <v>4</v>
      </c>
      <c r="AN4">
        <f t="shared" si="4"/>
        <v>4</v>
      </c>
      <c r="AO4">
        <v>21</v>
      </c>
      <c r="AP4">
        <v>11</v>
      </c>
      <c r="AQ4">
        <f t="shared" si="5"/>
        <v>10</v>
      </c>
      <c r="AS4" s="1" t="s">
        <v>11</v>
      </c>
      <c r="AT4" t="s">
        <v>180</v>
      </c>
      <c r="AU4" s="3">
        <v>11</v>
      </c>
      <c r="AV4">
        <v>6</v>
      </c>
      <c r="AW4">
        <v>3</v>
      </c>
      <c r="AX4">
        <v>2</v>
      </c>
      <c r="AY4">
        <f>AV4-AW4-AX4</f>
        <v>1</v>
      </c>
      <c r="AZ4">
        <v>7</v>
      </c>
      <c r="BA4">
        <v>5</v>
      </c>
      <c r="BB4">
        <f>AZ4-BA4</f>
        <v>2</v>
      </c>
      <c r="BD4" s="1" t="s">
        <v>11</v>
      </c>
      <c r="BE4" t="s">
        <v>26</v>
      </c>
      <c r="BF4" s="3">
        <v>22</v>
      </c>
      <c r="BG4">
        <v>10</v>
      </c>
      <c r="BH4">
        <v>7</v>
      </c>
      <c r="BI4">
        <v>1</v>
      </c>
      <c r="BJ4">
        <f t="shared" ref="BJ4:BJ9" si="8">BG4-BH4-BI4</f>
        <v>2</v>
      </c>
      <c r="BK4">
        <v>19</v>
      </c>
      <c r="BL4">
        <v>8</v>
      </c>
      <c r="BM4">
        <f t="shared" ref="BM4:BM9" si="9">BK4-BL4</f>
        <v>11</v>
      </c>
      <c r="BO4" t="s">
        <v>154</v>
      </c>
      <c r="BP4">
        <v>2</v>
      </c>
    </row>
    <row r="5" spans="1:68" x14ac:dyDescent="0.3">
      <c r="A5" s="1" t="s">
        <v>13</v>
      </c>
      <c r="B5" t="s">
        <v>45</v>
      </c>
      <c r="C5" s="3">
        <v>16</v>
      </c>
      <c r="D5">
        <v>8</v>
      </c>
      <c r="E5">
        <v>5</v>
      </c>
      <c r="F5">
        <v>1</v>
      </c>
      <c r="G5">
        <f t="shared" si="6"/>
        <v>2</v>
      </c>
      <c r="H5">
        <v>10</v>
      </c>
      <c r="I5">
        <v>6</v>
      </c>
      <c r="J5">
        <f t="shared" si="7"/>
        <v>4</v>
      </c>
      <c r="L5" s="1" t="s">
        <v>13</v>
      </c>
      <c r="M5" t="s">
        <v>131</v>
      </c>
      <c r="N5" s="3">
        <v>25</v>
      </c>
      <c r="O5">
        <v>15</v>
      </c>
      <c r="P5">
        <v>7</v>
      </c>
      <c r="Q5">
        <v>4</v>
      </c>
      <c r="R5">
        <f t="shared" si="0"/>
        <v>4</v>
      </c>
      <c r="S5">
        <v>15</v>
      </c>
      <c r="T5">
        <v>11</v>
      </c>
      <c r="U5">
        <f t="shared" si="1"/>
        <v>4</v>
      </c>
      <c r="W5" s="1" t="s">
        <v>13</v>
      </c>
      <c r="X5" t="s">
        <v>154</v>
      </c>
      <c r="Y5" s="3">
        <v>25</v>
      </c>
      <c r="Z5">
        <v>15</v>
      </c>
      <c r="AA5">
        <v>8</v>
      </c>
      <c r="AB5">
        <v>1</v>
      </c>
      <c r="AC5">
        <f t="shared" si="2"/>
        <v>6</v>
      </c>
      <c r="AD5">
        <v>14</v>
      </c>
      <c r="AE5">
        <v>14</v>
      </c>
      <c r="AF5">
        <f t="shared" si="3"/>
        <v>0</v>
      </c>
      <c r="AH5" s="1" t="s">
        <v>13</v>
      </c>
      <c r="AI5" t="s">
        <v>169</v>
      </c>
      <c r="AJ5" s="3">
        <v>24</v>
      </c>
      <c r="AK5">
        <v>15</v>
      </c>
      <c r="AL5">
        <v>8</v>
      </c>
      <c r="AM5">
        <v>0</v>
      </c>
      <c r="AN5">
        <f t="shared" si="4"/>
        <v>7</v>
      </c>
      <c r="AO5">
        <v>16</v>
      </c>
      <c r="AP5">
        <v>14</v>
      </c>
      <c r="AQ5">
        <f t="shared" si="5"/>
        <v>2</v>
      </c>
      <c r="AS5" s="1" t="s">
        <v>12</v>
      </c>
      <c r="AT5" t="s">
        <v>181</v>
      </c>
      <c r="AU5" s="3">
        <v>8</v>
      </c>
      <c r="AV5">
        <v>6</v>
      </c>
      <c r="AW5">
        <v>2</v>
      </c>
      <c r="AX5">
        <v>2</v>
      </c>
      <c r="AY5">
        <f>AV5-AW5-AX5</f>
        <v>2</v>
      </c>
      <c r="AZ5">
        <v>7</v>
      </c>
      <c r="BA5">
        <v>7</v>
      </c>
      <c r="BB5">
        <f>AZ5-BA5</f>
        <v>0</v>
      </c>
      <c r="BD5" s="1" t="s">
        <v>12</v>
      </c>
      <c r="BE5" t="s">
        <v>150</v>
      </c>
      <c r="BF5" s="3">
        <v>15</v>
      </c>
      <c r="BG5">
        <v>10</v>
      </c>
      <c r="BH5">
        <v>4</v>
      </c>
      <c r="BI5">
        <v>3</v>
      </c>
      <c r="BJ5">
        <f t="shared" si="8"/>
        <v>3</v>
      </c>
      <c r="BK5">
        <v>12</v>
      </c>
      <c r="BL5">
        <v>12</v>
      </c>
      <c r="BM5">
        <f t="shared" si="9"/>
        <v>0</v>
      </c>
      <c r="BO5" t="s">
        <v>161</v>
      </c>
      <c r="BP5">
        <v>1</v>
      </c>
    </row>
    <row r="6" spans="1:68" x14ac:dyDescent="0.3">
      <c r="A6" s="1" t="s">
        <v>14</v>
      </c>
      <c r="B6" t="s">
        <v>97</v>
      </c>
      <c r="C6" s="3">
        <v>14</v>
      </c>
      <c r="D6">
        <v>8</v>
      </c>
      <c r="E6">
        <v>4</v>
      </c>
      <c r="F6">
        <v>2</v>
      </c>
      <c r="G6">
        <f t="shared" si="6"/>
        <v>2</v>
      </c>
      <c r="H6">
        <v>7</v>
      </c>
      <c r="I6">
        <v>3</v>
      </c>
      <c r="J6">
        <f t="shared" si="7"/>
        <v>4</v>
      </c>
      <c r="L6" s="1" t="s">
        <v>14</v>
      </c>
      <c r="M6" t="s">
        <v>127</v>
      </c>
      <c r="N6" s="3">
        <v>24</v>
      </c>
      <c r="O6">
        <v>15</v>
      </c>
      <c r="P6">
        <v>7</v>
      </c>
      <c r="Q6">
        <v>3</v>
      </c>
      <c r="R6">
        <f t="shared" si="0"/>
        <v>5</v>
      </c>
      <c r="S6">
        <v>17</v>
      </c>
      <c r="T6">
        <v>13</v>
      </c>
      <c r="U6">
        <f t="shared" si="1"/>
        <v>4</v>
      </c>
      <c r="W6" s="1" t="s">
        <v>14</v>
      </c>
      <c r="X6" t="s">
        <v>155</v>
      </c>
      <c r="Y6" s="3">
        <v>24</v>
      </c>
      <c r="Z6">
        <v>15</v>
      </c>
      <c r="AA6">
        <v>7</v>
      </c>
      <c r="AB6">
        <v>3</v>
      </c>
      <c r="AC6">
        <f t="shared" si="2"/>
        <v>5</v>
      </c>
      <c r="AD6">
        <v>16</v>
      </c>
      <c r="AE6">
        <v>13</v>
      </c>
      <c r="AF6">
        <f t="shared" si="3"/>
        <v>3</v>
      </c>
      <c r="AH6" s="1" t="s">
        <v>14</v>
      </c>
      <c r="AI6" t="s">
        <v>174</v>
      </c>
      <c r="AJ6" s="3">
        <v>24</v>
      </c>
      <c r="AK6">
        <v>15</v>
      </c>
      <c r="AL6">
        <v>7</v>
      </c>
      <c r="AM6">
        <v>3</v>
      </c>
      <c r="AN6">
        <f t="shared" si="4"/>
        <v>5</v>
      </c>
      <c r="AO6">
        <v>15</v>
      </c>
      <c r="AP6">
        <v>13</v>
      </c>
      <c r="AQ6">
        <f t="shared" si="5"/>
        <v>2</v>
      </c>
      <c r="AS6" t="s">
        <v>13</v>
      </c>
      <c r="AT6" t="s">
        <v>182</v>
      </c>
      <c r="AU6" s="3">
        <v>7</v>
      </c>
      <c r="AV6">
        <v>6</v>
      </c>
      <c r="AW6">
        <v>2</v>
      </c>
      <c r="AX6">
        <v>1</v>
      </c>
      <c r="AY6">
        <f>AV6-AW6-AX6</f>
        <v>3</v>
      </c>
      <c r="AZ6">
        <v>6</v>
      </c>
      <c r="BA6">
        <v>7</v>
      </c>
      <c r="BB6">
        <f>AZ6-BA6</f>
        <v>-1</v>
      </c>
      <c r="BD6" s="1" t="s">
        <v>13</v>
      </c>
      <c r="BE6" t="s">
        <v>144</v>
      </c>
      <c r="BF6" s="3">
        <v>14</v>
      </c>
      <c r="BG6">
        <v>10</v>
      </c>
      <c r="BH6">
        <v>3</v>
      </c>
      <c r="BI6">
        <v>5</v>
      </c>
      <c r="BJ6">
        <f t="shared" si="8"/>
        <v>2</v>
      </c>
      <c r="BK6">
        <v>12</v>
      </c>
      <c r="BL6">
        <v>9</v>
      </c>
      <c r="BM6">
        <f t="shared" si="9"/>
        <v>3</v>
      </c>
      <c r="BO6" t="s">
        <v>192</v>
      </c>
      <c r="BP6">
        <v>1</v>
      </c>
    </row>
    <row r="7" spans="1:68" x14ac:dyDescent="0.3">
      <c r="A7" s="1" t="s">
        <v>15</v>
      </c>
      <c r="B7" t="s">
        <v>24</v>
      </c>
      <c r="C7" s="3">
        <v>13</v>
      </c>
      <c r="D7">
        <v>8</v>
      </c>
      <c r="E7">
        <v>4</v>
      </c>
      <c r="F7">
        <v>1</v>
      </c>
      <c r="G7">
        <f t="shared" si="6"/>
        <v>3</v>
      </c>
      <c r="H7">
        <v>9</v>
      </c>
      <c r="I7">
        <v>9</v>
      </c>
      <c r="J7">
        <f t="shared" si="7"/>
        <v>0</v>
      </c>
      <c r="L7" s="1" t="s">
        <v>15</v>
      </c>
      <c r="M7" t="s">
        <v>121</v>
      </c>
      <c r="N7" s="3">
        <v>23</v>
      </c>
      <c r="O7">
        <v>15</v>
      </c>
      <c r="P7">
        <v>6</v>
      </c>
      <c r="Q7">
        <v>5</v>
      </c>
      <c r="R7">
        <f t="shared" si="0"/>
        <v>4</v>
      </c>
      <c r="S7">
        <v>15</v>
      </c>
      <c r="T7">
        <v>12</v>
      </c>
      <c r="U7">
        <f t="shared" si="1"/>
        <v>3</v>
      </c>
      <c r="W7" s="1" t="s">
        <v>15</v>
      </c>
      <c r="X7" t="s">
        <v>150</v>
      </c>
      <c r="Y7" s="3">
        <v>24</v>
      </c>
      <c r="Z7">
        <v>15</v>
      </c>
      <c r="AA7">
        <v>7</v>
      </c>
      <c r="AB7">
        <v>3</v>
      </c>
      <c r="AC7">
        <f t="shared" si="2"/>
        <v>5</v>
      </c>
      <c r="AD7">
        <v>14</v>
      </c>
      <c r="AE7">
        <v>14</v>
      </c>
      <c r="AF7">
        <f t="shared" si="3"/>
        <v>0</v>
      </c>
      <c r="AH7" s="1" t="s">
        <v>15</v>
      </c>
      <c r="AI7" t="s">
        <v>161</v>
      </c>
      <c r="AJ7" s="3">
        <v>23</v>
      </c>
      <c r="AK7">
        <v>15</v>
      </c>
      <c r="AL7">
        <v>7</v>
      </c>
      <c r="AM7">
        <v>2</v>
      </c>
      <c r="AN7">
        <f t="shared" si="4"/>
        <v>6</v>
      </c>
      <c r="AO7">
        <v>24</v>
      </c>
      <c r="AP7">
        <v>20</v>
      </c>
      <c r="AQ7">
        <f t="shared" si="5"/>
        <v>4</v>
      </c>
      <c r="AS7" t="s">
        <v>14</v>
      </c>
      <c r="AT7" t="s">
        <v>183</v>
      </c>
      <c r="AU7" s="3">
        <v>7</v>
      </c>
      <c r="AV7">
        <v>6</v>
      </c>
      <c r="AW7">
        <v>2</v>
      </c>
      <c r="AX7">
        <v>1</v>
      </c>
      <c r="AY7">
        <f>AV7-AW7-AX7</f>
        <v>3</v>
      </c>
      <c r="AZ7">
        <v>3</v>
      </c>
      <c r="BA7">
        <v>4</v>
      </c>
      <c r="BB7">
        <f>AZ7-BA7</f>
        <v>-1</v>
      </c>
      <c r="BD7" s="1" t="s">
        <v>14</v>
      </c>
      <c r="BE7" t="s">
        <v>171</v>
      </c>
      <c r="BF7" s="3">
        <v>12</v>
      </c>
      <c r="BG7">
        <v>10</v>
      </c>
      <c r="BH7">
        <v>2</v>
      </c>
      <c r="BI7">
        <v>6</v>
      </c>
      <c r="BJ7">
        <f t="shared" si="8"/>
        <v>2</v>
      </c>
      <c r="BK7">
        <v>13</v>
      </c>
      <c r="BL7">
        <v>16</v>
      </c>
      <c r="BM7">
        <f t="shared" si="9"/>
        <v>-3</v>
      </c>
      <c r="BO7" t="s">
        <v>172</v>
      </c>
      <c r="BP7">
        <v>1</v>
      </c>
    </row>
    <row r="8" spans="1:68" x14ac:dyDescent="0.3">
      <c r="A8" s="1" t="s">
        <v>16</v>
      </c>
      <c r="B8" t="s">
        <v>37</v>
      </c>
      <c r="C8" s="3">
        <v>13</v>
      </c>
      <c r="D8">
        <v>8</v>
      </c>
      <c r="E8">
        <v>3</v>
      </c>
      <c r="F8">
        <v>4</v>
      </c>
      <c r="G8">
        <f t="shared" si="6"/>
        <v>1</v>
      </c>
      <c r="H8">
        <v>8</v>
      </c>
      <c r="I8">
        <v>5</v>
      </c>
      <c r="J8">
        <f t="shared" si="7"/>
        <v>3</v>
      </c>
      <c r="L8" s="1" t="s">
        <v>16</v>
      </c>
      <c r="M8" t="s">
        <v>123</v>
      </c>
      <c r="N8" s="3">
        <v>23</v>
      </c>
      <c r="O8">
        <v>15</v>
      </c>
      <c r="P8">
        <v>6</v>
      </c>
      <c r="Q8">
        <v>5</v>
      </c>
      <c r="R8">
        <f t="shared" si="0"/>
        <v>4</v>
      </c>
      <c r="S8">
        <v>14</v>
      </c>
      <c r="T8">
        <v>12</v>
      </c>
      <c r="U8">
        <f t="shared" si="1"/>
        <v>2</v>
      </c>
      <c r="W8" s="1" t="s">
        <v>16</v>
      </c>
      <c r="X8" t="s">
        <v>147</v>
      </c>
      <c r="Y8" s="3">
        <v>23</v>
      </c>
      <c r="Z8">
        <v>15</v>
      </c>
      <c r="AA8">
        <v>6</v>
      </c>
      <c r="AB8">
        <v>5</v>
      </c>
      <c r="AC8">
        <f t="shared" si="2"/>
        <v>4</v>
      </c>
      <c r="AD8">
        <v>14</v>
      </c>
      <c r="AE8">
        <v>14</v>
      </c>
      <c r="AF8">
        <f t="shared" si="3"/>
        <v>0</v>
      </c>
      <c r="AH8" s="1" t="s">
        <v>16</v>
      </c>
      <c r="AI8" t="s">
        <v>171</v>
      </c>
      <c r="AJ8" s="3">
        <v>23</v>
      </c>
      <c r="AK8">
        <v>15</v>
      </c>
      <c r="AL8">
        <v>7</v>
      </c>
      <c r="AM8">
        <v>2</v>
      </c>
      <c r="AN8">
        <f t="shared" si="4"/>
        <v>6</v>
      </c>
      <c r="AO8">
        <v>16</v>
      </c>
      <c r="AP8">
        <v>13</v>
      </c>
      <c r="AQ8">
        <f t="shared" si="5"/>
        <v>3</v>
      </c>
      <c r="BD8" t="s">
        <v>15</v>
      </c>
      <c r="BE8" t="s">
        <v>102</v>
      </c>
      <c r="BF8" s="3">
        <v>9</v>
      </c>
      <c r="BG8">
        <v>10</v>
      </c>
      <c r="BH8">
        <v>2</v>
      </c>
      <c r="BI8">
        <v>3</v>
      </c>
      <c r="BJ8">
        <f t="shared" si="8"/>
        <v>5</v>
      </c>
      <c r="BK8">
        <v>8</v>
      </c>
      <c r="BL8">
        <v>13</v>
      </c>
      <c r="BM8">
        <f t="shared" si="9"/>
        <v>-5</v>
      </c>
    </row>
    <row r="9" spans="1:68" x14ac:dyDescent="0.3">
      <c r="A9" s="1" t="s">
        <v>17</v>
      </c>
      <c r="B9" t="s">
        <v>98</v>
      </c>
      <c r="C9" s="3">
        <v>12</v>
      </c>
      <c r="D9">
        <v>8</v>
      </c>
      <c r="E9">
        <v>4</v>
      </c>
      <c r="F9">
        <v>0</v>
      </c>
      <c r="G9">
        <f t="shared" si="6"/>
        <v>4</v>
      </c>
      <c r="H9">
        <v>12</v>
      </c>
      <c r="I9">
        <v>9</v>
      </c>
      <c r="J9">
        <f t="shared" si="7"/>
        <v>3</v>
      </c>
      <c r="L9" s="1" t="s">
        <v>17</v>
      </c>
      <c r="M9" t="s">
        <v>118</v>
      </c>
      <c r="N9" s="3">
        <v>22</v>
      </c>
      <c r="O9">
        <v>15</v>
      </c>
      <c r="P9">
        <v>6</v>
      </c>
      <c r="Q9">
        <v>4</v>
      </c>
      <c r="R9">
        <f t="shared" si="0"/>
        <v>5</v>
      </c>
      <c r="S9">
        <v>15</v>
      </c>
      <c r="T9">
        <v>11</v>
      </c>
      <c r="U9">
        <f t="shared" si="1"/>
        <v>4</v>
      </c>
      <c r="W9" s="1" t="s">
        <v>17</v>
      </c>
      <c r="X9" t="s">
        <v>156</v>
      </c>
      <c r="Y9" s="3">
        <v>22</v>
      </c>
      <c r="Z9">
        <v>15</v>
      </c>
      <c r="AA9">
        <v>7</v>
      </c>
      <c r="AB9">
        <v>1</v>
      </c>
      <c r="AC9">
        <f t="shared" si="2"/>
        <v>7</v>
      </c>
      <c r="AD9">
        <v>18</v>
      </c>
      <c r="AE9">
        <v>20</v>
      </c>
      <c r="AF9">
        <f t="shared" si="3"/>
        <v>-2</v>
      </c>
      <c r="AH9" s="1" t="s">
        <v>17</v>
      </c>
      <c r="AI9" t="s">
        <v>175</v>
      </c>
      <c r="AJ9" s="3">
        <v>21</v>
      </c>
      <c r="AK9">
        <v>15</v>
      </c>
      <c r="AL9">
        <v>6</v>
      </c>
      <c r="AM9">
        <v>3</v>
      </c>
      <c r="AN9">
        <f t="shared" si="4"/>
        <v>6</v>
      </c>
      <c r="AO9">
        <v>13</v>
      </c>
      <c r="AP9">
        <v>19</v>
      </c>
      <c r="AQ9">
        <f t="shared" si="5"/>
        <v>-6</v>
      </c>
      <c r="AS9" t="s">
        <v>36</v>
      </c>
      <c r="BD9" t="s">
        <v>16</v>
      </c>
      <c r="BE9" t="s">
        <v>169</v>
      </c>
      <c r="BF9" s="3">
        <v>7</v>
      </c>
      <c r="BG9">
        <v>10</v>
      </c>
      <c r="BH9">
        <v>1</v>
      </c>
      <c r="BI9">
        <v>4</v>
      </c>
      <c r="BJ9">
        <f t="shared" si="8"/>
        <v>5</v>
      </c>
      <c r="BK9">
        <v>8</v>
      </c>
      <c r="BL9">
        <v>14</v>
      </c>
      <c r="BM9">
        <f t="shared" si="9"/>
        <v>-6</v>
      </c>
    </row>
    <row r="10" spans="1:68" x14ac:dyDescent="0.3">
      <c r="A10" s="1" t="s">
        <v>18</v>
      </c>
      <c r="B10" t="s">
        <v>99</v>
      </c>
      <c r="C10" s="3">
        <v>12</v>
      </c>
      <c r="D10">
        <v>8</v>
      </c>
      <c r="E10">
        <v>4</v>
      </c>
      <c r="F10">
        <v>0</v>
      </c>
      <c r="G10">
        <f t="shared" si="6"/>
        <v>4</v>
      </c>
      <c r="H10">
        <v>10</v>
      </c>
      <c r="I10">
        <v>9</v>
      </c>
      <c r="J10">
        <f t="shared" si="7"/>
        <v>1</v>
      </c>
      <c r="L10" s="1" t="s">
        <v>18</v>
      </c>
      <c r="M10" t="s">
        <v>130</v>
      </c>
      <c r="N10" s="3">
        <v>22</v>
      </c>
      <c r="O10">
        <v>15</v>
      </c>
      <c r="P10">
        <v>6</v>
      </c>
      <c r="Q10">
        <v>4</v>
      </c>
      <c r="R10">
        <f t="shared" si="0"/>
        <v>5</v>
      </c>
      <c r="S10">
        <v>15</v>
      </c>
      <c r="T10">
        <v>13</v>
      </c>
      <c r="U10">
        <f t="shared" si="1"/>
        <v>2</v>
      </c>
      <c r="W10" s="1" t="s">
        <v>18</v>
      </c>
      <c r="X10" t="s">
        <v>148</v>
      </c>
      <c r="Y10" s="3">
        <v>21</v>
      </c>
      <c r="Z10">
        <v>15</v>
      </c>
      <c r="AA10">
        <v>6</v>
      </c>
      <c r="AB10">
        <v>3</v>
      </c>
      <c r="AC10">
        <f t="shared" si="2"/>
        <v>6</v>
      </c>
      <c r="AD10">
        <v>19</v>
      </c>
      <c r="AE10">
        <v>14</v>
      </c>
      <c r="AF10">
        <f t="shared" si="3"/>
        <v>5</v>
      </c>
      <c r="AH10" s="1" t="s">
        <v>18</v>
      </c>
      <c r="AI10" t="s">
        <v>162</v>
      </c>
      <c r="AJ10" s="3">
        <v>21</v>
      </c>
      <c r="AK10">
        <v>15</v>
      </c>
      <c r="AL10">
        <v>5</v>
      </c>
      <c r="AM10">
        <v>6</v>
      </c>
      <c r="AN10">
        <f t="shared" si="4"/>
        <v>4</v>
      </c>
      <c r="AO10">
        <v>17</v>
      </c>
      <c r="AP10">
        <v>14</v>
      </c>
      <c r="AQ10">
        <f t="shared" si="5"/>
        <v>3</v>
      </c>
      <c r="AS10" t="s">
        <v>1</v>
      </c>
      <c r="AT10" t="s">
        <v>2</v>
      </c>
      <c r="AU10" t="s">
        <v>3</v>
      </c>
      <c r="AV10" t="s">
        <v>4</v>
      </c>
      <c r="AW10" t="s">
        <v>5</v>
      </c>
      <c r="AX10" t="s">
        <v>6</v>
      </c>
      <c r="AY10" t="s">
        <v>7</v>
      </c>
      <c r="AZ10" t="s">
        <v>8</v>
      </c>
      <c r="BA10" t="s">
        <v>9</v>
      </c>
      <c r="BB10" t="s">
        <v>10</v>
      </c>
    </row>
    <row r="11" spans="1:68" x14ac:dyDescent="0.3">
      <c r="A11" t="s">
        <v>55</v>
      </c>
      <c r="B11" t="s">
        <v>100</v>
      </c>
      <c r="C11" s="3">
        <v>12</v>
      </c>
      <c r="D11">
        <v>8</v>
      </c>
      <c r="E11">
        <v>4</v>
      </c>
      <c r="F11">
        <v>0</v>
      </c>
      <c r="G11">
        <f t="shared" si="6"/>
        <v>4</v>
      </c>
      <c r="H11">
        <v>9</v>
      </c>
      <c r="I11">
        <v>8</v>
      </c>
      <c r="J11">
        <f t="shared" si="7"/>
        <v>1</v>
      </c>
      <c r="L11" t="s">
        <v>55</v>
      </c>
      <c r="M11" t="s">
        <v>26</v>
      </c>
      <c r="N11" s="3">
        <v>21</v>
      </c>
      <c r="O11">
        <v>15</v>
      </c>
      <c r="P11">
        <v>6</v>
      </c>
      <c r="Q11">
        <v>3</v>
      </c>
      <c r="R11">
        <f t="shared" si="0"/>
        <v>6</v>
      </c>
      <c r="S11">
        <v>15</v>
      </c>
      <c r="T11">
        <v>14</v>
      </c>
      <c r="U11">
        <f t="shared" si="1"/>
        <v>1</v>
      </c>
      <c r="W11" t="s">
        <v>55</v>
      </c>
      <c r="X11" t="s">
        <v>151</v>
      </c>
      <c r="Y11" s="3">
        <v>21</v>
      </c>
      <c r="Z11">
        <v>15</v>
      </c>
      <c r="AA11">
        <v>6</v>
      </c>
      <c r="AB11">
        <v>3</v>
      </c>
      <c r="AC11">
        <f t="shared" si="2"/>
        <v>6</v>
      </c>
      <c r="AD11">
        <v>22</v>
      </c>
      <c r="AE11">
        <v>18</v>
      </c>
      <c r="AF11">
        <f t="shared" si="3"/>
        <v>4</v>
      </c>
      <c r="AH11" t="s">
        <v>55</v>
      </c>
      <c r="AI11" t="s">
        <v>165</v>
      </c>
      <c r="AJ11" s="3">
        <v>21</v>
      </c>
      <c r="AK11">
        <v>15</v>
      </c>
      <c r="AL11">
        <v>5</v>
      </c>
      <c r="AM11">
        <v>6</v>
      </c>
      <c r="AN11">
        <f t="shared" si="4"/>
        <v>4</v>
      </c>
      <c r="AO11">
        <v>17</v>
      </c>
      <c r="AP11">
        <v>17</v>
      </c>
      <c r="AQ11">
        <f t="shared" si="5"/>
        <v>0</v>
      </c>
      <c r="AS11" s="1" t="s">
        <v>11</v>
      </c>
      <c r="AT11" t="s">
        <v>184</v>
      </c>
      <c r="AU11" s="3">
        <v>10</v>
      </c>
      <c r="AV11">
        <v>6</v>
      </c>
      <c r="AW11">
        <v>3</v>
      </c>
      <c r="AX11">
        <v>1</v>
      </c>
      <c r="AY11">
        <f>AV11-AW11-AX11</f>
        <v>2</v>
      </c>
      <c r="AZ11">
        <v>9</v>
      </c>
      <c r="BA11">
        <v>7</v>
      </c>
      <c r="BB11">
        <f>AZ11-BA11</f>
        <v>2</v>
      </c>
      <c r="BD11" t="s">
        <v>36</v>
      </c>
    </row>
    <row r="12" spans="1:68" x14ac:dyDescent="0.3">
      <c r="A12" t="s">
        <v>56</v>
      </c>
      <c r="B12" t="s">
        <v>101</v>
      </c>
      <c r="C12" s="3">
        <v>10</v>
      </c>
      <c r="D12">
        <v>8</v>
      </c>
      <c r="E12">
        <v>3</v>
      </c>
      <c r="F12">
        <v>1</v>
      </c>
      <c r="G12">
        <f t="shared" si="6"/>
        <v>4</v>
      </c>
      <c r="H12">
        <v>10</v>
      </c>
      <c r="I12">
        <v>8</v>
      </c>
      <c r="J12">
        <f t="shared" si="7"/>
        <v>2</v>
      </c>
      <c r="L12" t="s">
        <v>56</v>
      </c>
      <c r="M12" t="s">
        <v>119</v>
      </c>
      <c r="N12" s="3">
        <v>20</v>
      </c>
      <c r="O12">
        <v>15</v>
      </c>
      <c r="P12">
        <v>5</v>
      </c>
      <c r="Q12">
        <v>5</v>
      </c>
      <c r="R12">
        <f t="shared" si="0"/>
        <v>5</v>
      </c>
      <c r="S12">
        <v>13</v>
      </c>
      <c r="T12">
        <v>13</v>
      </c>
      <c r="U12">
        <f t="shared" si="1"/>
        <v>0</v>
      </c>
      <c r="W12" t="s">
        <v>56</v>
      </c>
      <c r="X12" t="s">
        <v>149</v>
      </c>
      <c r="Y12" s="3">
        <v>20</v>
      </c>
      <c r="Z12">
        <v>15</v>
      </c>
      <c r="AA12">
        <v>6</v>
      </c>
      <c r="AB12">
        <v>2</v>
      </c>
      <c r="AC12">
        <f t="shared" si="2"/>
        <v>7</v>
      </c>
      <c r="AD12">
        <v>13</v>
      </c>
      <c r="AE12">
        <v>14</v>
      </c>
      <c r="AF12">
        <f t="shared" si="3"/>
        <v>-1</v>
      </c>
      <c r="AH12" t="s">
        <v>56</v>
      </c>
      <c r="AI12" t="s">
        <v>164</v>
      </c>
      <c r="AJ12" s="3">
        <v>20</v>
      </c>
      <c r="AK12">
        <v>15</v>
      </c>
      <c r="AL12">
        <v>6</v>
      </c>
      <c r="AM12">
        <v>2</v>
      </c>
      <c r="AN12">
        <f t="shared" si="4"/>
        <v>7</v>
      </c>
      <c r="AO12">
        <v>10</v>
      </c>
      <c r="AP12">
        <v>10</v>
      </c>
      <c r="AQ12">
        <f t="shared" si="5"/>
        <v>0</v>
      </c>
      <c r="AS12" s="1" t="s">
        <v>12</v>
      </c>
      <c r="AT12" t="s">
        <v>185</v>
      </c>
      <c r="AU12" s="3">
        <v>9</v>
      </c>
      <c r="AV12">
        <v>6</v>
      </c>
      <c r="AW12">
        <v>3</v>
      </c>
      <c r="AX12">
        <v>0</v>
      </c>
      <c r="AY12">
        <f>AV12-AW12-AX12</f>
        <v>3</v>
      </c>
      <c r="AZ12">
        <v>7</v>
      </c>
      <c r="BA12">
        <v>7</v>
      </c>
      <c r="BB12">
        <f>AZ12-BA12</f>
        <v>0</v>
      </c>
      <c r="BD12" t="s">
        <v>1</v>
      </c>
      <c r="BE12" t="s">
        <v>2</v>
      </c>
      <c r="BF12" t="s">
        <v>3</v>
      </c>
      <c r="BG12" t="s">
        <v>4</v>
      </c>
      <c r="BH12" t="s">
        <v>5</v>
      </c>
      <c r="BI12" t="s">
        <v>6</v>
      </c>
      <c r="BJ12" t="s">
        <v>7</v>
      </c>
      <c r="BK12" t="s">
        <v>8</v>
      </c>
      <c r="BL12" t="s">
        <v>9</v>
      </c>
      <c r="BM12" t="s">
        <v>10</v>
      </c>
    </row>
    <row r="13" spans="1:68" x14ac:dyDescent="0.3">
      <c r="A13" t="s">
        <v>57</v>
      </c>
      <c r="B13" t="s">
        <v>102</v>
      </c>
      <c r="C13" s="3">
        <v>10</v>
      </c>
      <c r="D13">
        <v>8</v>
      </c>
      <c r="E13">
        <v>3</v>
      </c>
      <c r="F13">
        <v>1</v>
      </c>
      <c r="G13">
        <f t="shared" si="6"/>
        <v>4</v>
      </c>
      <c r="H13">
        <v>7</v>
      </c>
      <c r="I13">
        <v>6</v>
      </c>
      <c r="J13">
        <f t="shared" si="7"/>
        <v>1</v>
      </c>
      <c r="L13" t="s">
        <v>57</v>
      </c>
      <c r="M13" t="s">
        <v>128</v>
      </c>
      <c r="N13" s="3">
        <v>19</v>
      </c>
      <c r="O13">
        <v>15</v>
      </c>
      <c r="P13">
        <v>5</v>
      </c>
      <c r="Q13">
        <v>4</v>
      </c>
      <c r="R13">
        <f t="shared" si="0"/>
        <v>6</v>
      </c>
      <c r="S13">
        <v>11</v>
      </c>
      <c r="T13">
        <v>13</v>
      </c>
      <c r="U13">
        <f t="shared" si="1"/>
        <v>-2</v>
      </c>
      <c r="W13" t="s">
        <v>57</v>
      </c>
      <c r="X13" t="s">
        <v>153</v>
      </c>
      <c r="Y13" s="3">
        <v>20</v>
      </c>
      <c r="Z13">
        <v>15</v>
      </c>
      <c r="AA13">
        <v>5</v>
      </c>
      <c r="AB13">
        <v>5</v>
      </c>
      <c r="AC13">
        <f t="shared" si="2"/>
        <v>5</v>
      </c>
      <c r="AD13">
        <v>14</v>
      </c>
      <c r="AE13">
        <v>18</v>
      </c>
      <c r="AF13">
        <f t="shared" si="3"/>
        <v>-4</v>
      </c>
      <c r="AH13" t="s">
        <v>57</v>
      </c>
      <c r="AI13" t="s">
        <v>168</v>
      </c>
      <c r="AJ13" s="3">
        <v>20</v>
      </c>
      <c r="AK13">
        <v>15</v>
      </c>
      <c r="AL13">
        <v>4</v>
      </c>
      <c r="AM13">
        <v>8</v>
      </c>
      <c r="AN13">
        <f t="shared" si="4"/>
        <v>3</v>
      </c>
      <c r="AO13">
        <v>13</v>
      </c>
      <c r="AP13">
        <v>12</v>
      </c>
      <c r="AQ13">
        <f t="shared" si="5"/>
        <v>1</v>
      </c>
      <c r="AS13" t="s">
        <v>13</v>
      </c>
      <c r="AT13" t="s">
        <v>186</v>
      </c>
      <c r="AU13" s="3">
        <v>8</v>
      </c>
      <c r="AV13">
        <v>6</v>
      </c>
      <c r="AW13">
        <v>2</v>
      </c>
      <c r="AX13">
        <v>2</v>
      </c>
      <c r="AY13">
        <f>AV13-AW13-AX13</f>
        <v>2</v>
      </c>
      <c r="AZ13">
        <v>7</v>
      </c>
      <c r="BA13">
        <v>8</v>
      </c>
      <c r="BB13">
        <f>AZ13-BA13</f>
        <v>-1</v>
      </c>
      <c r="BD13" s="1" t="s">
        <v>11</v>
      </c>
      <c r="BE13" t="s">
        <v>147</v>
      </c>
      <c r="BF13" s="3">
        <v>19</v>
      </c>
      <c r="BG13">
        <v>10</v>
      </c>
      <c r="BH13">
        <v>6</v>
      </c>
      <c r="BI13">
        <v>1</v>
      </c>
      <c r="BJ13">
        <f t="shared" ref="BJ13:BJ18" si="10">BG13-BH13-BI13</f>
        <v>3</v>
      </c>
      <c r="BK13">
        <v>11</v>
      </c>
      <c r="BL13">
        <v>7</v>
      </c>
      <c r="BM13">
        <f t="shared" ref="BM13:BM18" si="11">BK13-BL13</f>
        <v>4</v>
      </c>
    </row>
    <row r="14" spans="1:68" x14ac:dyDescent="0.3">
      <c r="A14" t="s">
        <v>58</v>
      </c>
      <c r="B14" t="s">
        <v>103</v>
      </c>
      <c r="C14" s="3">
        <v>10</v>
      </c>
      <c r="D14">
        <v>8</v>
      </c>
      <c r="E14">
        <v>3</v>
      </c>
      <c r="F14">
        <v>1</v>
      </c>
      <c r="G14">
        <f t="shared" si="6"/>
        <v>4</v>
      </c>
      <c r="H14">
        <v>9</v>
      </c>
      <c r="I14">
        <v>13</v>
      </c>
      <c r="J14">
        <f t="shared" si="7"/>
        <v>-4</v>
      </c>
      <c r="L14" t="s">
        <v>58</v>
      </c>
      <c r="M14" t="s">
        <v>125</v>
      </c>
      <c r="N14" s="3">
        <v>17</v>
      </c>
      <c r="O14">
        <v>15</v>
      </c>
      <c r="P14">
        <v>4</v>
      </c>
      <c r="Q14">
        <v>5</v>
      </c>
      <c r="R14">
        <f t="shared" si="0"/>
        <v>6</v>
      </c>
      <c r="S14">
        <v>12</v>
      </c>
      <c r="T14">
        <v>15</v>
      </c>
      <c r="U14">
        <f t="shared" si="1"/>
        <v>-3</v>
      </c>
      <c r="W14" t="s">
        <v>58</v>
      </c>
      <c r="X14" t="s">
        <v>146</v>
      </c>
      <c r="Y14" s="3">
        <v>18</v>
      </c>
      <c r="Z14">
        <v>15</v>
      </c>
      <c r="AA14">
        <v>5</v>
      </c>
      <c r="AB14">
        <v>3</v>
      </c>
      <c r="AC14">
        <f t="shared" si="2"/>
        <v>7</v>
      </c>
      <c r="AD14">
        <v>19</v>
      </c>
      <c r="AE14">
        <v>19</v>
      </c>
      <c r="AF14">
        <f t="shared" si="3"/>
        <v>0</v>
      </c>
      <c r="AH14" t="s">
        <v>58</v>
      </c>
      <c r="AI14" t="s">
        <v>163</v>
      </c>
      <c r="AJ14" s="3">
        <v>18</v>
      </c>
      <c r="AK14">
        <v>15</v>
      </c>
      <c r="AL14">
        <v>4</v>
      </c>
      <c r="AM14">
        <v>6</v>
      </c>
      <c r="AN14">
        <f t="shared" si="4"/>
        <v>5</v>
      </c>
      <c r="AO14">
        <v>14</v>
      </c>
      <c r="AP14">
        <v>15</v>
      </c>
      <c r="AQ14">
        <f t="shared" si="5"/>
        <v>-1</v>
      </c>
      <c r="AS14" t="s">
        <v>14</v>
      </c>
      <c r="AT14" t="s">
        <v>187</v>
      </c>
      <c r="AU14" s="3">
        <v>7</v>
      </c>
      <c r="AV14">
        <v>6</v>
      </c>
      <c r="AW14">
        <v>2</v>
      </c>
      <c r="AX14">
        <v>1</v>
      </c>
      <c r="AY14">
        <f>AV14-AW14-AX14</f>
        <v>3</v>
      </c>
      <c r="AZ14">
        <v>8</v>
      </c>
      <c r="BA14">
        <v>9</v>
      </c>
      <c r="BB14">
        <f>AZ14-BA14</f>
        <v>-1</v>
      </c>
      <c r="BD14" s="1" t="s">
        <v>12</v>
      </c>
      <c r="BE14" t="s">
        <v>104</v>
      </c>
      <c r="BF14" s="3">
        <v>17</v>
      </c>
      <c r="BG14">
        <v>10</v>
      </c>
      <c r="BH14">
        <v>5</v>
      </c>
      <c r="BI14">
        <v>2</v>
      </c>
      <c r="BJ14">
        <f t="shared" si="10"/>
        <v>3</v>
      </c>
      <c r="BK14">
        <v>12</v>
      </c>
      <c r="BL14">
        <v>10</v>
      </c>
      <c r="BM14">
        <f t="shared" si="11"/>
        <v>2</v>
      </c>
    </row>
    <row r="15" spans="1:68" x14ac:dyDescent="0.3">
      <c r="A15" t="s">
        <v>91</v>
      </c>
      <c r="B15" t="s">
        <v>104</v>
      </c>
      <c r="C15" s="3">
        <v>9</v>
      </c>
      <c r="D15">
        <v>8</v>
      </c>
      <c r="E15">
        <v>3</v>
      </c>
      <c r="F15">
        <v>0</v>
      </c>
      <c r="G15">
        <f t="shared" si="6"/>
        <v>5</v>
      </c>
      <c r="H15">
        <v>9</v>
      </c>
      <c r="I15">
        <v>12</v>
      </c>
      <c r="J15">
        <f t="shared" si="7"/>
        <v>-3</v>
      </c>
      <c r="L15" t="s">
        <v>91</v>
      </c>
      <c r="M15" t="s">
        <v>124</v>
      </c>
      <c r="N15" s="3">
        <v>16</v>
      </c>
      <c r="O15">
        <v>15</v>
      </c>
      <c r="P15">
        <v>4</v>
      </c>
      <c r="Q15">
        <v>4</v>
      </c>
      <c r="R15">
        <f t="shared" si="0"/>
        <v>7</v>
      </c>
      <c r="S15">
        <v>14</v>
      </c>
      <c r="T15">
        <v>20</v>
      </c>
      <c r="U15">
        <f t="shared" si="1"/>
        <v>-6</v>
      </c>
      <c r="W15" t="s">
        <v>91</v>
      </c>
      <c r="X15" t="s">
        <v>152</v>
      </c>
      <c r="Y15" s="3">
        <v>18</v>
      </c>
      <c r="Z15">
        <v>15</v>
      </c>
      <c r="AA15">
        <v>5</v>
      </c>
      <c r="AB15">
        <v>3</v>
      </c>
      <c r="AC15">
        <f t="shared" si="2"/>
        <v>7</v>
      </c>
      <c r="AD15">
        <v>14</v>
      </c>
      <c r="AE15">
        <v>18</v>
      </c>
      <c r="AF15">
        <f t="shared" si="3"/>
        <v>-4</v>
      </c>
      <c r="AH15" t="s">
        <v>91</v>
      </c>
      <c r="AI15" t="s">
        <v>167</v>
      </c>
      <c r="AJ15" s="3">
        <v>16</v>
      </c>
      <c r="AK15">
        <v>15</v>
      </c>
      <c r="AL15">
        <v>4</v>
      </c>
      <c r="AM15">
        <v>4</v>
      </c>
      <c r="AN15">
        <f t="shared" si="4"/>
        <v>7</v>
      </c>
      <c r="AO15">
        <v>12</v>
      </c>
      <c r="AP15">
        <v>14</v>
      </c>
      <c r="AQ15">
        <f t="shared" si="5"/>
        <v>-2</v>
      </c>
      <c r="BD15" s="1" t="s">
        <v>13</v>
      </c>
      <c r="BE15" t="s">
        <v>155</v>
      </c>
      <c r="BF15" s="3">
        <v>15</v>
      </c>
      <c r="BG15">
        <v>10</v>
      </c>
      <c r="BH15">
        <v>4</v>
      </c>
      <c r="BI15">
        <v>3</v>
      </c>
      <c r="BJ15">
        <f t="shared" si="10"/>
        <v>3</v>
      </c>
      <c r="BK15">
        <v>9</v>
      </c>
      <c r="BL15">
        <v>9</v>
      </c>
      <c r="BM15">
        <f t="shared" si="11"/>
        <v>0</v>
      </c>
    </row>
    <row r="16" spans="1:68" x14ac:dyDescent="0.3">
      <c r="A16" t="s">
        <v>92</v>
      </c>
      <c r="B16" t="s">
        <v>105</v>
      </c>
      <c r="C16" s="3">
        <v>7</v>
      </c>
      <c r="D16">
        <v>8</v>
      </c>
      <c r="E16">
        <v>2</v>
      </c>
      <c r="F16">
        <v>1</v>
      </c>
      <c r="G16">
        <f t="shared" si="6"/>
        <v>5</v>
      </c>
      <c r="H16">
        <v>6</v>
      </c>
      <c r="I16">
        <v>11</v>
      </c>
      <c r="J16">
        <f t="shared" si="7"/>
        <v>-5</v>
      </c>
      <c r="L16" t="s">
        <v>92</v>
      </c>
      <c r="M16" t="s">
        <v>129</v>
      </c>
      <c r="N16" s="3">
        <v>13</v>
      </c>
      <c r="O16">
        <v>15</v>
      </c>
      <c r="P16">
        <v>3</v>
      </c>
      <c r="Q16">
        <v>4</v>
      </c>
      <c r="R16">
        <f t="shared" si="0"/>
        <v>8</v>
      </c>
      <c r="S16">
        <v>8</v>
      </c>
      <c r="T16">
        <v>17</v>
      </c>
      <c r="U16">
        <f t="shared" si="1"/>
        <v>-9</v>
      </c>
      <c r="W16" t="s">
        <v>92</v>
      </c>
      <c r="X16" t="s">
        <v>145</v>
      </c>
      <c r="Y16" s="3">
        <v>16</v>
      </c>
      <c r="Z16">
        <v>15</v>
      </c>
      <c r="AA16">
        <v>4</v>
      </c>
      <c r="AB16">
        <v>4</v>
      </c>
      <c r="AC16">
        <f t="shared" si="2"/>
        <v>7</v>
      </c>
      <c r="AD16">
        <v>11</v>
      </c>
      <c r="AE16">
        <v>16</v>
      </c>
      <c r="AF16">
        <f t="shared" si="3"/>
        <v>-5</v>
      </c>
      <c r="AH16" t="s">
        <v>92</v>
      </c>
      <c r="AI16" t="s">
        <v>166</v>
      </c>
      <c r="AJ16" s="3">
        <v>16</v>
      </c>
      <c r="AK16">
        <v>15</v>
      </c>
      <c r="AL16">
        <v>3</v>
      </c>
      <c r="AM16">
        <v>7</v>
      </c>
      <c r="AN16">
        <f t="shared" si="4"/>
        <v>5</v>
      </c>
      <c r="AO16">
        <v>15</v>
      </c>
      <c r="AP16">
        <v>19</v>
      </c>
      <c r="AQ16">
        <f t="shared" si="5"/>
        <v>-4</v>
      </c>
      <c r="AS16" t="s">
        <v>52</v>
      </c>
      <c r="BD16" s="1" t="s">
        <v>14</v>
      </c>
      <c r="BE16" t="s">
        <v>98</v>
      </c>
      <c r="BF16" s="3">
        <v>13</v>
      </c>
      <c r="BG16">
        <v>10</v>
      </c>
      <c r="BH16">
        <v>3</v>
      </c>
      <c r="BI16">
        <v>4</v>
      </c>
      <c r="BJ16">
        <f t="shared" si="10"/>
        <v>3</v>
      </c>
      <c r="BK16">
        <v>11</v>
      </c>
      <c r="BL16">
        <v>10</v>
      </c>
      <c r="BM16">
        <f t="shared" si="11"/>
        <v>1</v>
      </c>
    </row>
    <row r="17" spans="1:65" x14ac:dyDescent="0.3">
      <c r="A17" s="2" t="s">
        <v>93</v>
      </c>
      <c r="B17" t="s">
        <v>106</v>
      </c>
      <c r="C17" s="3">
        <v>7</v>
      </c>
      <c r="D17">
        <v>8</v>
      </c>
      <c r="E17">
        <v>2</v>
      </c>
      <c r="F17">
        <v>1</v>
      </c>
      <c r="G17">
        <f t="shared" si="6"/>
        <v>5</v>
      </c>
      <c r="H17">
        <v>6</v>
      </c>
      <c r="I17">
        <v>13</v>
      </c>
      <c r="J17">
        <f t="shared" si="7"/>
        <v>-7</v>
      </c>
      <c r="L17" s="2" t="s">
        <v>93</v>
      </c>
      <c r="M17" t="s">
        <v>126</v>
      </c>
      <c r="N17" s="3">
        <v>13</v>
      </c>
      <c r="O17">
        <v>15</v>
      </c>
      <c r="P17">
        <v>3</v>
      </c>
      <c r="Q17">
        <v>4</v>
      </c>
      <c r="R17">
        <f t="shared" si="0"/>
        <v>8</v>
      </c>
      <c r="S17">
        <v>11</v>
      </c>
      <c r="T17">
        <v>22</v>
      </c>
      <c r="U17">
        <f t="shared" si="1"/>
        <v>-11</v>
      </c>
      <c r="W17" s="2" t="s">
        <v>93</v>
      </c>
      <c r="X17" t="s">
        <v>157</v>
      </c>
      <c r="Y17" s="3">
        <v>15</v>
      </c>
      <c r="Z17">
        <v>15</v>
      </c>
      <c r="AA17">
        <v>4</v>
      </c>
      <c r="AB17">
        <v>3</v>
      </c>
      <c r="AC17">
        <f t="shared" si="2"/>
        <v>8</v>
      </c>
      <c r="AD17">
        <v>15</v>
      </c>
      <c r="AE17">
        <v>26</v>
      </c>
      <c r="AF17">
        <f t="shared" si="3"/>
        <v>-11</v>
      </c>
      <c r="AH17" s="2" t="s">
        <v>93</v>
      </c>
      <c r="AI17" t="s">
        <v>173</v>
      </c>
      <c r="AJ17" s="3">
        <v>15</v>
      </c>
      <c r="AK17">
        <v>15</v>
      </c>
      <c r="AL17">
        <v>4</v>
      </c>
      <c r="AM17">
        <v>3</v>
      </c>
      <c r="AN17">
        <f t="shared" si="4"/>
        <v>8</v>
      </c>
      <c r="AO17">
        <v>11</v>
      </c>
      <c r="AP17">
        <v>19</v>
      </c>
      <c r="AQ17">
        <f t="shared" si="5"/>
        <v>-8</v>
      </c>
      <c r="AS17" t="s">
        <v>1</v>
      </c>
      <c r="AT17" t="s">
        <v>2</v>
      </c>
      <c r="AU17" t="s">
        <v>3</v>
      </c>
      <c r="AV17" t="s">
        <v>4</v>
      </c>
      <c r="AW17" t="s">
        <v>5</v>
      </c>
      <c r="AX17" t="s">
        <v>6</v>
      </c>
      <c r="AY17" t="s">
        <v>7</v>
      </c>
      <c r="AZ17" t="s">
        <v>8</v>
      </c>
      <c r="BA17" t="s">
        <v>9</v>
      </c>
      <c r="BB17" t="s">
        <v>10</v>
      </c>
      <c r="BD17" t="s">
        <v>15</v>
      </c>
      <c r="BE17" t="s">
        <v>154</v>
      </c>
      <c r="BF17" s="3">
        <v>10</v>
      </c>
      <c r="BG17">
        <v>10</v>
      </c>
      <c r="BH17">
        <v>2</v>
      </c>
      <c r="BI17">
        <v>4</v>
      </c>
      <c r="BJ17">
        <f t="shared" si="10"/>
        <v>4</v>
      </c>
      <c r="BK17">
        <v>12</v>
      </c>
      <c r="BL17">
        <v>15</v>
      </c>
      <c r="BM17">
        <f t="shared" si="11"/>
        <v>-3</v>
      </c>
    </row>
    <row r="18" spans="1:65" x14ac:dyDescent="0.3">
      <c r="A18" s="2" t="s">
        <v>94</v>
      </c>
      <c r="B18" t="s">
        <v>107</v>
      </c>
      <c r="C18" s="3">
        <v>6</v>
      </c>
      <c r="D18">
        <v>8</v>
      </c>
      <c r="E18">
        <v>2</v>
      </c>
      <c r="F18">
        <v>0</v>
      </c>
      <c r="G18">
        <f t="shared" si="6"/>
        <v>6</v>
      </c>
      <c r="H18">
        <v>5</v>
      </c>
      <c r="I18">
        <v>17</v>
      </c>
      <c r="J18">
        <f t="shared" si="7"/>
        <v>-12</v>
      </c>
      <c r="L18" s="2" t="s">
        <v>94</v>
      </c>
      <c r="M18" t="s">
        <v>778</v>
      </c>
      <c r="N18" s="3">
        <v>11</v>
      </c>
      <c r="O18">
        <v>15</v>
      </c>
      <c r="P18">
        <v>1</v>
      </c>
      <c r="Q18">
        <v>8</v>
      </c>
      <c r="R18">
        <f t="shared" si="0"/>
        <v>6</v>
      </c>
      <c r="S18">
        <v>8</v>
      </c>
      <c r="T18">
        <v>16</v>
      </c>
      <c r="U18">
        <f t="shared" si="1"/>
        <v>-8</v>
      </c>
      <c r="W18" s="2" t="s">
        <v>94</v>
      </c>
      <c r="X18" t="s">
        <v>142</v>
      </c>
      <c r="Y18" s="3">
        <v>14</v>
      </c>
      <c r="Z18">
        <v>15</v>
      </c>
      <c r="AA18">
        <v>3</v>
      </c>
      <c r="AB18">
        <v>5</v>
      </c>
      <c r="AC18">
        <f t="shared" si="2"/>
        <v>7</v>
      </c>
      <c r="AD18">
        <v>15</v>
      </c>
      <c r="AE18">
        <v>24</v>
      </c>
      <c r="AF18">
        <f t="shared" si="3"/>
        <v>-9</v>
      </c>
      <c r="AH18" s="2" t="s">
        <v>94</v>
      </c>
      <c r="AI18" t="s">
        <v>160</v>
      </c>
      <c r="AJ18" s="3">
        <v>12</v>
      </c>
      <c r="AK18">
        <v>15</v>
      </c>
      <c r="AL18">
        <v>1</v>
      </c>
      <c r="AM18">
        <v>9</v>
      </c>
      <c r="AN18">
        <f t="shared" si="4"/>
        <v>5</v>
      </c>
      <c r="AO18">
        <v>10</v>
      </c>
      <c r="AP18">
        <v>17</v>
      </c>
      <c r="AQ18">
        <f t="shared" si="5"/>
        <v>-7</v>
      </c>
      <c r="AS18" s="1" t="s">
        <v>11</v>
      </c>
      <c r="AT18" t="s">
        <v>25</v>
      </c>
      <c r="AU18" s="3">
        <v>12</v>
      </c>
      <c r="AV18">
        <v>6</v>
      </c>
      <c r="AW18">
        <v>3</v>
      </c>
      <c r="AX18">
        <v>3</v>
      </c>
      <c r="AY18">
        <f>AV18-AW18-AX18</f>
        <v>0</v>
      </c>
      <c r="AZ18">
        <v>8</v>
      </c>
      <c r="BA18">
        <v>5</v>
      </c>
      <c r="BB18">
        <f>AZ18-BA18</f>
        <v>3</v>
      </c>
      <c r="BD18" t="s">
        <v>16</v>
      </c>
      <c r="BE18" t="s">
        <v>107</v>
      </c>
      <c r="BF18" s="3">
        <v>8</v>
      </c>
      <c r="BG18">
        <v>10</v>
      </c>
      <c r="BH18">
        <v>2</v>
      </c>
      <c r="BI18">
        <v>2</v>
      </c>
      <c r="BJ18">
        <f t="shared" si="10"/>
        <v>6</v>
      </c>
      <c r="BK18">
        <v>9</v>
      </c>
      <c r="BL18">
        <v>13</v>
      </c>
      <c r="BM18">
        <f t="shared" si="11"/>
        <v>-4</v>
      </c>
    </row>
    <row r="19" spans="1:65" x14ac:dyDescent="0.3">
      <c r="AS19" s="1" t="s">
        <v>12</v>
      </c>
      <c r="AT19" t="s">
        <v>188</v>
      </c>
      <c r="AU19" s="3">
        <v>11</v>
      </c>
      <c r="AV19">
        <v>6</v>
      </c>
      <c r="AW19">
        <v>3</v>
      </c>
      <c r="AX19">
        <v>2</v>
      </c>
      <c r="AY19">
        <f>AV19-AW19-AX19</f>
        <v>1</v>
      </c>
      <c r="AZ19">
        <v>10</v>
      </c>
      <c r="BA19">
        <v>8</v>
      </c>
      <c r="BB19">
        <f>AZ19-BA19</f>
        <v>2</v>
      </c>
    </row>
    <row r="20" spans="1:65" x14ac:dyDescent="0.3">
      <c r="A20" t="s">
        <v>59</v>
      </c>
      <c r="L20" t="s">
        <v>117</v>
      </c>
      <c r="W20" t="s">
        <v>59</v>
      </c>
      <c r="AH20" t="s">
        <v>59</v>
      </c>
      <c r="AS20" t="s">
        <v>13</v>
      </c>
      <c r="AT20" t="s">
        <v>189</v>
      </c>
      <c r="AU20" s="3">
        <v>5</v>
      </c>
      <c r="AV20">
        <v>6</v>
      </c>
      <c r="AW20">
        <v>1</v>
      </c>
      <c r="AX20">
        <v>2</v>
      </c>
      <c r="AY20">
        <f>AV20-AW20-AX20</f>
        <v>3</v>
      </c>
      <c r="AZ20">
        <v>6</v>
      </c>
      <c r="BA20">
        <v>7</v>
      </c>
      <c r="BB20">
        <f>AZ20-BA20</f>
        <v>-1</v>
      </c>
      <c r="BD20" t="s">
        <v>52</v>
      </c>
    </row>
    <row r="21" spans="1:65" x14ac:dyDescent="0.3">
      <c r="A21" t="str">
        <f>B3</f>
        <v>Capivariano</v>
      </c>
      <c r="B21" t="s">
        <v>108</v>
      </c>
      <c r="C21" t="str">
        <f>B10</f>
        <v>Velo Clube</v>
      </c>
      <c r="L21" t="s">
        <v>35</v>
      </c>
      <c r="W21" t="str">
        <f>X10</f>
        <v>Marília</v>
      </c>
      <c r="X21" t="s">
        <v>48</v>
      </c>
      <c r="Y21" t="str">
        <f>X3</f>
        <v>Desportivo Brasil</v>
      </c>
      <c r="AA21" t="str">
        <f>X3</f>
        <v>Desportivo Brasil</v>
      </c>
      <c r="AB21" t="s">
        <v>30</v>
      </c>
      <c r="AC21" t="str">
        <f>X10</f>
        <v>Marília</v>
      </c>
      <c r="AH21" t="str">
        <f>AI10</f>
        <v>Colorado Caieiras</v>
      </c>
      <c r="AI21" t="s">
        <v>32</v>
      </c>
      <c r="AJ21" t="str">
        <f>AI3</f>
        <v>São-Carlense</v>
      </c>
      <c r="AL21" t="str">
        <f>AI3</f>
        <v>São-Carlense</v>
      </c>
      <c r="AM21" t="s">
        <v>136</v>
      </c>
      <c r="AN21" t="str">
        <f>AI10</f>
        <v>Colorado Caieiras</v>
      </c>
      <c r="AS21" t="s">
        <v>14</v>
      </c>
      <c r="AT21" t="s">
        <v>190</v>
      </c>
      <c r="AU21" s="3">
        <v>3</v>
      </c>
      <c r="AV21">
        <v>6</v>
      </c>
      <c r="AW21">
        <v>0</v>
      </c>
      <c r="AX21">
        <v>3</v>
      </c>
      <c r="AY21">
        <f>AV21-AW21-AX21</f>
        <v>3</v>
      </c>
      <c r="AZ21">
        <v>4</v>
      </c>
      <c r="BA21">
        <v>8</v>
      </c>
      <c r="BB21">
        <f>AZ21-BA21</f>
        <v>-4</v>
      </c>
      <c r="BD21" t="s"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  <c r="BK21" t="s">
        <v>8</v>
      </c>
      <c r="BL21" t="s">
        <v>9</v>
      </c>
      <c r="BM21" t="s">
        <v>10</v>
      </c>
    </row>
    <row r="22" spans="1:65" x14ac:dyDescent="0.3">
      <c r="A22" t="str">
        <f>B4</f>
        <v>Novorizontino</v>
      </c>
      <c r="B22" t="s">
        <v>31</v>
      </c>
      <c r="C22" t="str">
        <f>B9</f>
        <v>Guarani</v>
      </c>
      <c r="L22" t="s">
        <v>1</v>
      </c>
      <c r="M22" t="s">
        <v>2</v>
      </c>
      <c r="N22" t="s">
        <v>3</v>
      </c>
      <c r="O22" t="s">
        <v>4</v>
      </c>
      <c r="P22" t="s">
        <v>5</v>
      </c>
      <c r="Q22" t="s">
        <v>6</v>
      </c>
      <c r="R22" t="s">
        <v>7</v>
      </c>
      <c r="S22" t="s">
        <v>8</v>
      </c>
      <c r="T22" t="s">
        <v>9</v>
      </c>
      <c r="U22" t="s">
        <v>10</v>
      </c>
      <c r="W22" t="str">
        <f>X9</f>
        <v>União Suzano</v>
      </c>
      <c r="X22" t="s">
        <v>28</v>
      </c>
      <c r="Y22" t="str">
        <f>X4</f>
        <v>Catanduva</v>
      </c>
      <c r="AA22" t="str">
        <f>X4</f>
        <v>Catanduva</v>
      </c>
      <c r="AB22" t="s">
        <v>112</v>
      </c>
      <c r="AC22" t="str">
        <f>X9</f>
        <v>União Suzano</v>
      </c>
      <c r="AH22" t="str">
        <f>AI9</f>
        <v>Vocem</v>
      </c>
      <c r="AI22" t="s">
        <v>109</v>
      </c>
      <c r="AJ22" t="str">
        <f>AI4</f>
        <v>Penapolense</v>
      </c>
      <c r="AL22" t="str">
        <f>AI4</f>
        <v>Penapolense</v>
      </c>
      <c r="AM22" t="s">
        <v>73</v>
      </c>
      <c r="AN22" t="str">
        <f>AI9</f>
        <v>Vocem</v>
      </c>
      <c r="BD22" s="1" t="s">
        <v>11</v>
      </c>
      <c r="BE22" t="s">
        <v>106</v>
      </c>
      <c r="BF22" s="3">
        <v>25</v>
      </c>
      <c r="BG22">
        <v>10</v>
      </c>
      <c r="BH22">
        <v>8</v>
      </c>
      <c r="BI22">
        <v>1</v>
      </c>
      <c r="BJ22">
        <f t="shared" ref="BJ22:BJ27" si="12">BG22-BH22-BI22</f>
        <v>1</v>
      </c>
      <c r="BK22">
        <v>15</v>
      </c>
      <c r="BL22">
        <v>5</v>
      </c>
      <c r="BM22">
        <f t="shared" ref="BM22:BM27" si="13">BK22-BL22</f>
        <v>10</v>
      </c>
    </row>
    <row r="23" spans="1:65" x14ac:dyDescent="0.3">
      <c r="A23" t="str">
        <f>B5</f>
        <v>São Paulo</v>
      </c>
      <c r="B23" t="s">
        <v>109</v>
      </c>
      <c r="C23" t="str">
        <f>B8</f>
        <v>Portuguesa</v>
      </c>
      <c r="L23" s="1" t="s">
        <v>11</v>
      </c>
      <c r="M23" t="s">
        <v>123</v>
      </c>
      <c r="N23" s="3">
        <v>12</v>
      </c>
      <c r="O23">
        <v>6</v>
      </c>
      <c r="P23">
        <v>3</v>
      </c>
      <c r="Q23">
        <v>3</v>
      </c>
      <c r="R23">
        <f>O23-P23-Q23</f>
        <v>0</v>
      </c>
      <c r="S23">
        <v>7</v>
      </c>
      <c r="T23">
        <v>4</v>
      </c>
      <c r="U23">
        <f>S23-T23</f>
        <v>3</v>
      </c>
      <c r="W23" t="str">
        <f>X8</f>
        <v>Itapirense</v>
      </c>
      <c r="X23" t="s">
        <v>138</v>
      </c>
      <c r="Y23" t="str">
        <f>X5</f>
        <v>União Barbarense</v>
      </c>
      <c r="AA23" t="str">
        <f>X5</f>
        <v>União Barbarense</v>
      </c>
      <c r="AB23" t="s">
        <v>31</v>
      </c>
      <c r="AC23" t="str">
        <f>X8</f>
        <v>Itapirense</v>
      </c>
      <c r="AH23" t="str">
        <f>AI8</f>
        <v>São Caetano</v>
      </c>
      <c r="AI23" t="s">
        <v>31</v>
      </c>
      <c r="AJ23" t="str">
        <f>AI5</f>
        <v>Nacional</v>
      </c>
      <c r="AL23" t="str">
        <f>AI5</f>
        <v>Nacional</v>
      </c>
      <c r="AM23" t="s">
        <v>28</v>
      </c>
      <c r="AN23" t="str">
        <f>AI8</f>
        <v>São Caetano</v>
      </c>
      <c r="AS23" t="s">
        <v>53</v>
      </c>
      <c r="BD23" s="1" t="s">
        <v>12</v>
      </c>
      <c r="BE23" t="s">
        <v>172</v>
      </c>
      <c r="BF23" s="3">
        <v>17</v>
      </c>
      <c r="BG23">
        <v>10</v>
      </c>
      <c r="BH23">
        <v>5</v>
      </c>
      <c r="BI23">
        <v>2</v>
      </c>
      <c r="BJ23">
        <f t="shared" si="12"/>
        <v>3</v>
      </c>
      <c r="BK23">
        <v>14</v>
      </c>
      <c r="BL23">
        <v>13</v>
      </c>
      <c r="BM23">
        <f t="shared" si="13"/>
        <v>1</v>
      </c>
    </row>
    <row r="24" spans="1:65" x14ac:dyDescent="0.3">
      <c r="A24" t="str">
        <f>B6</f>
        <v>Palmeiras</v>
      </c>
      <c r="B24" t="s">
        <v>110</v>
      </c>
      <c r="C24" t="str">
        <f>B7</f>
        <v>Santos</v>
      </c>
      <c r="L24" s="1" t="s">
        <v>12</v>
      </c>
      <c r="M24" t="s">
        <v>120</v>
      </c>
      <c r="N24" s="3">
        <v>7</v>
      </c>
      <c r="O24">
        <v>6</v>
      </c>
      <c r="P24">
        <v>2</v>
      </c>
      <c r="Q24">
        <v>1</v>
      </c>
      <c r="R24">
        <f t="shared" ref="R24:R26" si="14">O24-P24-Q24</f>
        <v>3</v>
      </c>
      <c r="S24">
        <v>6</v>
      </c>
      <c r="T24">
        <v>6</v>
      </c>
      <c r="U24">
        <f t="shared" ref="U24:U26" si="15">S24-T24</f>
        <v>0</v>
      </c>
      <c r="W24" t="str">
        <f>X7</f>
        <v>Portuguesa Santista</v>
      </c>
      <c r="X24" t="s">
        <v>32</v>
      </c>
      <c r="Y24" t="str">
        <f>X6</f>
        <v>União São João</v>
      </c>
      <c r="AA24" t="str">
        <f>X6</f>
        <v>União São João</v>
      </c>
      <c r="AB24" t="s">
        <v>28</v>
      </c>
      <c r="AC24" t="str">
        <f>X7</f>
        <v>Portuguesa Santista</v>
      </c>
      <c r="AH24" t="str">
        <f>AI7</f>
        <v>Barretos</v>
      </c>
      <c r="AI24" t="s">
        <v>32</v>
      </c>
      <c r="AJ24" t="str">
        <f>AI6</f>
        <v>Tanabi</v>
      </c>
      <c r="AL24" t="str">
        <f>AI6</f>
        <v>Tanabi</v>
      </c>
      <c r="AM24" t="s">
        <v>73</v>
      </c>
      <c r="AN24" t="str">
        <f>AI7</f>
        <v>Barretos</v>
      </c>
      <c r="AS24" t="s">
        <v>1</v>
      </c>
      <c r="AT24" t="s">
        <v>2</v>
      </c>
      <c r="AU24" t="s">
        <v>3</v>
      </c>
      <c r="AV24" t="s">
        <v>4</v>
      </c>
      <c r="AW24" t="s">
        <v>5</v>
      </c>
      <c r="AX24" t="s">
        <v>6</v>
      </c>
      <c r="AY24" t="s">
        <v>7</v>
      </c>
      <c r="AZ24" t="s">
        <v>8</v>
      </c>
      <c r="BA24" t="s">
        <v>9</v>
      </c>
      <c r="BB24" t="s">
        <v>10</v>
      </c>
      <c r="BD24" s="1" t="s">
        <v>13</v>
      </c>
      <c r="BE24" t="s">
        <v>161</v>
      </c>
      <c r="BF24" s="3">
        <v>15</v>
      </c>
      <c r="BG24">
        <v>10</v>
      </c>
      <c r="BH24">
        <v>5</v>
      </c>
      <c r="BI24">
        <v>0</v>
      </c>
      <c r="BJ24">
        <f t="shared" si="12"/>
        <v>5</v>
      </c>
      <c r="BK24">
        <v>9</v>
      </c>
      <c r="BL24">
        <v>11</v>
      </c>
      <c r="BM24">
        <f t="shared" si="13"/>
        <v>-2</v>
      </c>
    </row>
    <row r="25" spans="1:65" x14ac:dyDescent="0.3">
      <c r="L25" t="s">
        <v>13</v>
      </c>
      <c r="M25" t="s">
        <v>131</v>
      </c>
      <c r="N25" s="3">
        <v>7</v>
      </c>
      <c r="O25">
        <v>6</v>
      </c>
      <c r="P25">
        <v>1</v>
      </c>
      <c r="Q25">
        <v>4</v>
      </c>
      <c r="R25">
        <f t="shared" si="14"/>
        <v>1</v>
      </c>
      <c r="S25">
        <v>5</v>
      </c>
      <c r="T25">
        <v>6</v>
      </c>
      <c r="U25">
        <f t="shared" si="15"/>
        <v>-1</v>
      </c>
      <c r="AS25" s="1" t="s">
        <v>11</v>
      </c>
      <c r="AT25" t="s">
        <v>191</v>
      </c>
      <c r="AU25" s="3">
        <v>15</v>
      </c>
      <c r="AV25">
        <v>6</v>
      </c>
      <c r="AW25">
        <v>5</v>
      </c>
      <c r="AX25">
        <v>0</v>
      </c>
      <c r="AY25">
        <f>AV25-AW25-AX25</f>
        <v>1</v>
      </c>
      <c r="AZ25">
        <v>8</v>
      </c>
      <c r="BA25">
        <v>4</v>
      </c>
      <c r="BB25">
        <f>AZ25-BA25</f>
        <v>4</v>
      </c>
      <c r="BD25" s="1" t="s">
        <v>14</v>
      </c>
      <c r="BE25" t="s">
        <v>128</v>
      </c>
      <c r="BF25" s="3">
        <v>13</v>
      </c>
      <c r="BG25">
        <v>10</v>
      </c>
      <c r="BH25">
        <v>4</v>
      </c>
      <c r="BI25">
        <v>1</v>
      </c>
      <c r="BJ25">
        <f t="shared" si="12"/>
        <v>5</v>
      </c>
      <c r="BK25">
        <v>13</v>
      </c>
      <c r="BL25">
        <v>12</v>
      </c>
      <c r="BM25">
        <f t="shared" si="13"/>
        <v>1</v>
      </c>
    </row>
    <row r="26" spans="1:65" x14ac:dyDescent="0.3">
      <c r="A26" t="s">
        <v>49</v>
      </c>
      <c r="L26" t="s">
        <v>14</v>
      </c>
      <c r="M26" t="s">
        <v>130</v>
      </c>
      <c r="N26" s="3">
        <v>5</v>
      </c>
      <c r="O26">
        <v>6</v>
      </c>
      <c r="P26">
        <v>1</v>
      </c>
      <c r="Q26">
        <v>2</v>
      </c>
      <c r="R26">
        <f t="shared" si="14"/>
        <v>3</v>
      </c>
      <c r="S26">
        <v>6</v>
      </c>
      <c r="T26">
        <v>8</v>
      </c>
      <c r="U26">
        <f t="shared" si="15"/>
        <v>-2</v>
      </c>
      <c r="W26" t="s">
        <v>49</v>
      </c>
      <c r="AH26" t="s">
        <v>49</v>
      </c>
      <c r="AS26" s="1" t="s">
        <v>12</v>
      </c>
      <c r="AT26" t="s">
        <v>192</v>
      </c>
      <c r="AU26" s="3">
        <v>10</v>
      </c>
      <c r="AV26">
        <v>6</v>
      </c>
      <c r="AW26">
        <v>3</v>
      </c>
      <c r="AX26">
        <v>1</v>
      </c>
      <c r="AY26">
        <f>AV26-AW26-AX26</f>
        <v>2</v>
      </c>
      <c r="AZ26">
        <v>5</v>
      </c>
      <c r="BA26">
        <v>3</v>
      </c>
      <c r="BB26">
        <f>AZ26-BA26</f>
        <v>2</v>
      </c>
      <c r="BD26" t="s">
        <v>15</v>
      </c>
      <c r="BE26" t="s">
        <v>118</v>
      </c>
      <c r="BF26" s="3">
        <v>9</v>
      </c>
      <c r="BG26">
        <v>10</v>
      </c>
      <c r="BH26">
        <v>2</v>
      </c>
      <c r="BI26">
        <v>3</v>
      </c>
      <c r="BJ26">
        <f t="shared" si="12"/>
        <v>5</v>
      </c>
      <c r="BK26">
        <v>10</v>
      </c>
      <c r="BL26">
        <v>14</v>
      </c>
      <c r="BM26">
        <f t="shared" si="13"/>
        <v>-4</v>
      </c>
    </row>
    <row r="27" spans="1:65" x14ac:dyDescent="0.3">
      <c r="A27" t="s">
        <v>96</v>
      </c>
      <c r="B27" t="s">
        <v>111</v>
      </c>
      <c r="C27" t="s">
        <v>99</v>
      </c>
      <c r="W27" t="s">
        <v>156</v>
      </c>
      <c r="X27" t="s">
        <v>75</v>
      </c>
      <c r="Y27" t="s">
        <v>154</v>
      </c>
      <c r="AA27" t="s">
        <v>154</v>
      </c>
      <c r="AB27" t="s">
        <v>31</v>
      </c>
      <c r="AC27" t="s">
        <v>156</v>
      </c>
      <c r="AH27" t="s">
        <v>162</v>
      </c>
      <c r="AI27" t="s">
        <v>75</v>
      </c>
      <c r="AJ27" t="s">
        <v>161</v>
      </c>
      <c r="AL27" t="s">
        <v>161</v>
      </c>
      <c r="AM27" t="s">
        <v>75</v>
      </c>
      <c r="AN27" t="s">
        <v>162</v>
      </c>
      <c r="AS27" t="s">
        <v>13</v>
      </c>
      <c r="AT27" t="s">
        <v>193</v>
      </c>
      <c r="AU27" s="3">
        <v>5</v>
      </c>
      <c r="AV27">
        <v>6</v>
      </c>
      <c r="AW27">
        <v>1</v>
      </c>
      <c r="AX27">
        <v>2</v>
      </c>
      <c r="AY27">
        <f>AV27-AW27-AX27</f>
        <v>3</v>
      </c>
      <c r="AZ27">
        <v>5</v>
      </c>
      <c r="BA27">
        <v>7</v>
      </c>
      <c r="BB27">
        <f>AZ27-BA27</f>
        <v>-2</v>
      </c>
      <c r="BD27" t="s">
        <v>16</v>
      </c>
      <c r="BE27" t="s">
        <v>127</v>
      </c>
      <c r="BF27" s="3">
        <v>7</v>
      </c>
      <c r="BG27">
        <v>10</v>
      </c>
      <c r="BH27">
        <v>2</v>
      </c>
      <c r="BI27">
        <v>1</v>
      </c>
      <c r="BJ27">
        <f t="shared" si="12"/>
        <v>7</v>
      </c>
      <c r="BK27">
        <v>7</v>
      </c>
      <c r="BL27">
        <v>13</v>
      </c>
      <c r="BM27">
        <f t="shared" si="13"/>
        <v>-6</v>
      </c>
    </row>
    <row r="28" spans="1:65" x14ac:dyDescent="0.3">
      <c r="A28" t="s">
        <v>45</v>
      </c>
      <c r="B28" t="s">
        <v>112</v>
      </c>
      <c r="C28" t="s">
        <v>97</v>
      </c>
      <c r="L28" t="s">
        <v>36</v>
      </c>
      <c r="W28" t="s">
        <v>148</v>
      </c>
      <c r="X28" t="s">
        <v>31</v>
      </c>
      <c r="Y28" t="s">
        <v>150</v>
      </c>
      <c r="AA28" t="s">
        <v>150</v>
      </c>
      <c r="AB28" t="s">
        <v>30</v>
      </c>
      <c r="AC28" t="s">
        <v>148</v>
      </c>
      <c r="AH28" t="s">
        <v>175</v>
      </c>
      <c r="AI28" t="s">
        <v>137</v>
      </c>
      <c r="AJ28" t="s">
        <v>171</v>
      </c>
      <c r="AL28" t="s">
        <v>171</v>
      </c>
      <c r="AM28" t="s">
        <v>48</v>
      </c>
      <c r="AN28" t="s">
        <v>175</v>
      </c>
      <c r="AS28" t="s">
        <v>14</v>
      </c>
      <c r="AT28" t="s">
        <v>89</v>
      </c>
      <c r="AU28" s="3">
        <v>3</v>
      </c>
      <c r="AV28">
        <v>6</v>
      </c>
      <c r="AW28">
        <v>0</v>
      </c>
      <c r="AX28">
        <v>3</v>
      </c>
      <c r="AY28">
        <f>AV28-AW28-AX28</f>
        <v>3</v>
      </c>
      <c r="AZ28">
        <v>4</v>
      </c>
      <c r="BA28">
        <v>8</v>
      </c>
      <c r="BB28">
        <f>AZ28-BA28</f>
        <v>-4</v>
      </c>
    </row>
    <row r="29" spans="1:65" x14ac:dyDescent="0.3">
      <c r="L29" t="s">
        <v>1</v>
      </c>
      <c r="M29" t="s">
        <v>2</v>
      </c>
      <c r="N29" t="s">
        <v>3</v>
      </c>
      <c r="O29" t="s">
        <v>4</v>
      </c>
      <c r="P29" t="s">
        <v>5</v>
      </c>
      <c r="Q29" t="s">
        <v>6</v>
      </c>
      <c r="R29" t="s">
        <v>7</v>
      </c>
      <c r="S29" t="s">
        <v>8</v>
      </c>
      <c r="T29" t="s">
        <v>9</v>
      </c>
      <c r="U29" t="s">
        <v>10</v>
      </c>
      <c r="BD29" t="s">
        <v>53</v>
      </c>
    </row>
    <row r="30" spans="1:65" x14ac:dyDescent="0.3">
      <c r="A30" t="s">
        <v>19</v>
      </c>
      <c r="L30" s="1" t="s">
        <v>11</v>
      </c>
      <c r="M30" t="s">
        <v>118</v>
      </c>
      <c r="N30" s="3">
        <v>13</v>
      </c>
      <c r="O30">
        <v>6</v>
      </c>
      <c r="P30">
        <v>4</v>
      </c>
      <c r="Q30">
        <v>1</v>
      </c>
      <c r="R30">
        <f>O30-P30-Q30</f>
        <v>1</v>
      </c>
      <c r="S30">
        <v>8</v>
      </c>
      <c r="T30">
        <v>2</v>
      </c>
      <c r="U30">
        <f>S30-T30</f>
        <v>6</v>
      </c>
      <c r="W30" t="s">
        <v>19</v>
      </c>
      <c r="AH30" t="s">
        <v>19</v>
      </c>
      <c r="AS30" t="s">
        <v>179</v>
      </c>
      <c r="BD30" t="s">
        <v>1</v>
      </c>
      <c r="BE30" t="s">
        <v>2</v>
      </c>
      <c r="BF30" t="s">
        <v>3</v>
      </c>
      <c r="BG30" t="s">
        <v>4</v>
      </c>
      <c r="BH30" t="s">
        <v>5</v>
      </c>
      <c r="BI30" t="s">
        <v>6</v>
      </c>
      <c r="BJ30" t="s">
        <v>7</v>
      </c>
      <c r="BK30" t="s">
        <v>8</v>
      </c>
      <c r="BL30" t="s">
        <v>9</v>
      </c>
      <c r="BM30" t="s">
        <v>10</v>
      </c>
    </row>
    <row r="31" spans="1:65" x14ac:dyDescent="0.3">
      <c r="A31" t="s">
        <v>97</v>
      </c>
      <c r="B31" t="s">
        <v>73</v>
      </c>
      <c r="C31" t="s">
        <v>99</v>
      </c>
      <c r="E31" t="s">
        <v>99</v>
      </c>
      <c r="F31" t="s">
        <v>30</v>
      </c>
      <c r="G31" t="s">
        <v>97</v>
      </c>
      <c r="L31" s="1" t="s">
        <v>12</v>
      </c>
      <c r="M31" t="s">
        <v>121</v>
      </c>
      <c r="N31" s="3">
        <v>10</v>
      </c>
      <c r="O31">
        <v>6</v>
      </c>
      <c r="P31">
        <v>3</v>
      </c>
      <c r="Q31">
        <v>1</v>
      </c>
      <c r="R31">
        <f t="shared" ref="R31:R33" si="16">O31-P31-Q31</f>
        <v>2</v>
      </c>
      <c r="S31">
        <v>6</v>
      </c>
      <c r="T31">
        <v>4</v>
      </c>
      <c r="U31">
        <f t="shared" ref="U31:U33" si="17">S31-T31</f>
        <v>2</v>
      </c>
      <c r="W31" t="s">
        <v>148</v>
      </c>
      <c r="X31" t="s">
        <v>33</v>
      </c>
      <c r="Y31" t="s">
        <v>154</v>
      </c>
      <c r="AA31" t="s">
        <v>154</v>
      </c>
      <c r="AB31" t="s">
        <v>73</v>
      </c>
      <c r="AC31" t="s">
        <v>148</v>
      </c>
      <c r="AH31" t="s">
        <v>171</v>
      </c>
      <c r="AI31" t="s">
        <v>73</v>
      </c>
      <c r="AJ31" t="s">
        <v>161</v>
      </c>
      <c r="AL31" t="s">
        <v>161</v>
      </c>
      <c r="AM31" t="s">
        <v>132</v>
      </c>
      <c r="AN31" t="s">
        <v>171</v>
      </c>
      <c r="AS31" t="s">
        <v>35</v>
      </c>
      <c r="BD31" s="1" t="s">
        <v>11</v>
      </c>
      <c r="BE31" t="s">
        <v>148</v>
      </c>
      <c r="BF31" s="3">
        <v>19</v>
      </c>
      <c r="BG31">
        <v>10</v>
      </c>
      <c r="BH31">
        <v>5</v>
      </c>
      <c r="BI31">
        <v>4</v>
      </c>
      <c r="BJ31">
        <f t="shared" ref="BJ31:BJ36" si="18">BG31-BH31-BI31</f>
        <v>1</v>
      </c>
      <c r="BK31">
        <v>17</v>
      </c>
      <c r="BL31">
        <v>10</v>
      </c>
      <c r="BM31">
        <f t="shared" ref="BM31:BM36" si="19">BK31-BL31</f>
        <v>7</v>
      </c>
    </row>
    <row r="32" spans="1:65" x14ac:dyDescent="0.3">
      <c r="L32" t="s">
        <v>13</v>
      </c>
      <c r="M32" t="s">
        <v>122</v>
      </c>
      <c r="N32" s="3">
        <v>7</v>
      </c>
      <c r="O32">
        <v>6</v>
      </c>
      <c r="P32">
        <v>2</v>
      </c>
      <c r="Q32">
        <v>1</v>
      </c>
      <c r="R32">
        <f t="shared" si="16"/>
        <v>3</v>
      </c>
      <c r="S32">
        <v>3</v>
      </c>
      <c r="T32">
        <v>6</v>
      </c>
      <c r="U32">
        <f t="shared" si="17"/>
        <v>-3</v>
      </c>
      <c r="AS32" t="s">
        <v>1</v>
      </c>
      <c r="AT32" t="s">
        <v>2</v>
      </c>
      <c r="AU32" t="s">
        <v>3</v>
      </c>
      <c r="AV32" t="s">
        <v>4</v>
      </c>
      <c r="AW32" t="s">
        <v>5</v>
      </c>
      <c r="AX32" t="s">
        <v>6</v>
      </c>
      <c r="AY32" t="s">
        <v>7</v>
      </c>
      <c r="AZ32" t="s">
        <v>8</v>
      </c>
      <c r="BA32" t="s">
        <v>9</v>
      </c>
      <c r="BB32" t="s">
        <v>10</v>
      </c>
      <c r="BD32" s="1" t="s">
        <v>12</v>
      </c>
      <c r="BE32" t="s">
        <v>170</v>
      </c>
      <c r="BF32" s="3">
        <v>17</v>
      </c>
      <c r="BG32">
        <v>10</v>
      </c>
      <c r="BH32">
        <v>5</v>
      </c>
      <c r="BI32">
        <v>2</v>
      </c>
      <c r="BJ32">
        <f t="shared" si="18"/>
        <v>3</v>
      </c>
      <c r="BK32">
        <v>15</v>
      </c>
      <c r="BL32">
        <v>15</v>
      </c>
      <c r="BM32">
        <f t="shared" si="19"/>
        <v>0</v>
      </c>
    </row>
    <row r="33" spans="1:65" x14ac:dyDescent="0.3">
      <c r="A33" t="s">
        <v>113</v>
      </c>
      <c r="L33" t="s">
        <v>14</v>
      </c>
      <c r="M33" t="s">
        <v>127</v>
      </c>
      <c r="N33" s="3">
        <v>4</v>
      </c>
      <c r="O33">
        <v>6</v>
      </c>
      <c r="P33">
        <v>1</v>
      </c>
      <c r="Q33">
        <v>1</v>
      </c>
      <c r="R33">
        <f t="shared" si="16"/>
        <v>4</v>
      </c>
      <c r="S33">
        <v>3</v>
      </c>
      <c r="T33">
        <v>8</v>
      </c>
      <c r="U33">
        <f t="shared" si="17"/>
        <v>-5</v>
      </c>
      <c r="AS33" s="1" t="s">
        <v>11</v>
      </c>
      <c r="AT33" t="s">
        <v>192</v>
      </c>
      <c r="AU33" s="3">
        <v>13</v>
      </c>
      <c r="AV33">
        <v>6</v>
      </c>
      <c r="AW33">
        <v>4</v>
      </c>
      <c r="AX33">
        <v>1</v>
      </c>
      <c r="AY33">
        <f>AV33-AW33-AX33</f>
        <v>1</v>
      </c>
      <c r="AZ33">
        <v>9</v>
      </c>
      <c r="BA33">
        <v>7</v>
      </c>
      <c r="BB33">
        <f>AZ33-BA33</f>
        <v>2</v>
      </c>
      <c r="BD33" s="1" t="s">
        <v>13</v>
      </c>
      <c r="BE33" t="s">
        <v>125</v>
      </c>
      <c r="BF33" s="3">
        <v>15</v>
      </c>
      <c r="BG33">
        <v>10</v>
      </c>
      <c r="BH33">
        <v>4</v>
      </c>
      <c r="BI33">
        <v>3</v>
      </c>
      <c r="BJ33">
        <f t="shared" si="18"/>
        <v>3</v>
      </c>
      <c r="BK33">
        <v>11</v>
      </c>
      <c r="BL33">
        <v>10</v>
      </c>
      <c r="BM33">
        <f t="shared" si="19"/>
        <v>1</v>
      </c>
    </row>
    <row r="34" spans="1:65" x14ac:dyDescent="0.3">
      <c r="A34" t="s">
        <v>99</v>
      </c>
      <c r="AS34" s="1" t="s">
        <v>12</v>
      </c>
      <c r="AT34" t="s">
        <v>188</v>
      </c>
      <c r="AU34" s="3">
        <v>8</v>
      </c>
      <c r="AV34">
        <v>6</v>
      </c>
      <c r="AW34">
        <v>2</v>
      </c>
      <c r="AX34">
        <v>2</v>
      </c>
      <c r="AY34">
        <f>AV34-AW34-AX34</f>
        <v>2</v>
      </c>
      <c r="AZ34">
        <v>7</v>
      </c>
      <c r="BA34">
        <v>3</v>
      </c>
      <c r="BB34">
        <f>AZ34-BA34</f>
        <v>4</v>
      </c>
      <c r="BD34" s="1" t="s">
        <v>14</v>
      </c>
      <c r="BE34" t="s">
        <v>130</v>
      </c>
      <c r="BF34" s="3">
        <v>13</v>
      </c>
      <c r="BG34">
        <v>10</v>
      </c>
      <c r="BH34">
        <v>4</v>
      </c>
      <c r="BI34">
        <v>1</v>
      </c>
      <c r="BJ34">
        <f t="shared" si="18"/>
        <v>5</v>
      </c>
      <c r="BK34">
        <v>13</v>
      </c>
      <c r="BL34">
        <v>15</v>
      </c>
      <c r="BM34">
        <f t="shared" si="19"/>
        <v>-2</v>
      </c>
    </row>
    <row r="35" spans="1:65" x14ac:dyDescent="0.3">
      <c r="A35" t="s">
        <v>95</v>
      </c>
      <c r="L35" t="s">
        <v>49</v>
      </c>
      <c r="AS35" t="s">
        <v>13</v>
      </c>
      <c r="AT35" t="s">
        <v>181</v>
      </c>
      <c r="AU35" s="3">
        <v>7</v>
      </c>
      <c r="AV35">
        <v>6</v>
      </c>
      <c r="AW35">
        <v>2</v>
      </c>
      <c r="AX35">
        <v>1</v>
      </c>
      <c r="AY35">
        <f>AV35-AW35-AX35</f>
        <v>3</v>
      </c>
      <c r="AZ35">
        <v>4</v>
      </c>
      <c r="BA35">
        <v>7</v>
      </c>
      <c r="BB35">
        <f>AZ35-BA35</f>
        <v>-3</v>
      </c>
      <c r="BD35" t="s">
        <v>15</v>
      </c>
      <c r="BE35" t="s">
        <v>121</v>
      </c>
      <c r="BF35" s="3">
        <v>12</v>
      </c>
      <c r="BG35">
        <v>10</v>
      </c>
      <c r="BH35">
        <v>3</v>
      </c>
      <c r="BI35">
        <v>3</v>
      </c>
      <c r="BJ35">
        <f t="shared" si="18"/>
        <v>4</v>
      </c>
      <c r="BK35">
        <v>10</v>
      </c>
      <c r="BL35">
        <v>11</v>
      </c>
      <c r="BM35">
        <f t="shared" si="19"/>
        <v>-1</v>
      </c>
    </row>
    <row r="36" spans="1:65" x14ac:dyDescent="0.3">
      <c r="A36" t="s">
        <v>37</v>
      </c>
      <c r="L36" t="s">
        <v>121</v>
      </c>
      <c r="M36" t="s">
        <v>29</v>
      </c>
      <c r="N36" t="s">
        <v>120</v>
      </c>
      <c r="P36" t="s">
        <v>120</v>
      </c>
      <c r="Q36" t="s">
        <v>28</v>
      </c>
      <c r="R36" t="s">
        <v>121</v>
      </c>
      <c r="AS36" t="s">
        <v>14</v>
      </c>
      <c r="AT36" t="s">
        <v>191</v>
      </c>
      <c r="AU36" s="3">
        <v>5</v>
      </c>
      <c r="AV36">
        <v>6</v>
      </c>
      <c r="AW36">
        <v>1</v>
      </c>
      <c r="AX36">
        <v>2</v>
      </c>
      <c r="AY36">
        <f>AV36-AW36-AX36</f>
        <v>3</v>
      </c>
      <c r="AZ36">
        <v>4</v>
      </c>
      <c r="BA36">
        <v>7</v>
      </c>
      <c r="BB36">
        <f>AZ36-BA36</f>
        <v>-3</v>
      </c>
      <c r="BD36" t="s">
        <v>16</v>
      </c>
      <c r="BE36" t="s">
        <v>175</v>
      </c>
      <c r="BF36" s="3">
        <v>7</v>
      </c>
      <c r="BG36">
        <v>10</v>
      </c>
      <c r="BH36">
        <v>2</v>
      </c>
      <c r="BI36">
        <v>1</v>
      </c>
      <c r="BJ36">
        <f t="shared" si="18"/>
        <v>7</v>
      </c>
      <c r="BK36">
        <v>9</v>
      </c>
      <c r="BL36">
        <v>14</v>
      </c>
      <c r="BM36">
        <f t="shared" si="19"/>
        <v>-5</v>
      </c>
    </row>
    <row r="37" spans="1:65" x14ac:dyDescent="0.3">
      <c r="A37" t="s">
        <v>172</v>
      </c>
      <c r="L37" t="s">
        <v>123</v>
      </c>
      <c r="M37" t="s">
        <v>32</v>
      </c>
      <c r="N37" t="s">
        <v>118</v>
      </c>
      <c r="P37" t="s">
        <v>118</v>
      </c>
      <c r="Q37" t="s">
        <v>139</v>
      </c>
      <c r="R37" t="s">
        <v>123</v>
      </c>
    </row>
    <row r="38" spans="1:65" x14ac:dyDescent="0.3">
      <c r="AS38" t="s">
        <v>36</v>
      </c>
      <c r="BD38" t="s">
        <v>194</v>
      </c>
    </row>
    <row r="39" spans="1:65" x14ac:dyDescent="0.3">
      <c r="A39" t="s">
        <v>114</v>
      </c>
      <c r="L39" t="s">
        <v>19</v>
      </c>
      <c r="AS39" t="s">
        <v>1</v>
      </c>
      <c r="AT39" t="s">
        <v>2</v>
      </c>
      <c r="AU39" t="s">
        <v>3</v>
      </c>
      <c r="AV39" t="s">
        <v>4</v>
      </c>
      <c r="AW39" t="s">
        <v>5</v>
      </c>
      <c r="AX39" t="s">
        <v>6</v>
      </c>
      <c r="AY39" t="s">
        <v>7</v>
      </c>
      <c r="AZ39" t="s">
        <v>8</v>
      </c>
      <c r="BA39" t="s">
        <v>9</v>
      </c>
      <c r="BB39" t="s">
        <v>10</v>
      </c>
      <c r="BD39" t="s">
        <v>171</v>
      </c>
      <c r="BE39" t="s">
        <v>75</v>
      </c>
      <c r="BF39" t="s">
        <v>106</v>
      </c>
      <c r="BH39" t="s">
        <v>106</v>
      </c>
      <c r="BI39" t="s">
        <v>29</v>
      </c>
      <c r="BJ39" t="s">
        <v>171</v>
      </c>
    </row>
    <row r="40" spans="1:65" x14ac:dyDescent="0.3">
      <c r="A40" t="s">
        <v>99</v>
      </c>
      <c r="L40" t="s">
        <v>123</v>
      </c>
      <c r="M40" t="s">
        <v>32</v>
      </c>
      <c r="N40" t="s">
        <v>120</v>
      </c>
      <c r="P40" t="s">
        <v>120</v>
      </c>
      <c r="Q40" t="s">
        <v>140</v>
      </c>
      <c r="R40" t="s">
        <v>123</v>
      </c>
      <c r="AS40" s="1" t="s">
        <v>11</v>
      </c>
      <c r="AT40" t="s">
        <v>25</v>
      </c>
      <c r="AU40" s="3">
        <v>10</v>
      </c>
      <c r="AV40">
        <v>6</v>
      </c>
      <c r="AW40">
        <v>3</v>
      </c>
      <c r="AX40">
        <v>1</v>
      </c>
      <c r="AY40">
        <f>AV40-AW40-AX40</f>
        <v>2</v>
      </c>
      <c r="AZ40">
        <v>10</v>
      </c>
      <c r="BA40">
        <v>7</v>
      </c>
      <c r="BB40">
        <f>AZ40-BA40</f>
        <v>3</v>
      </c>
      <c r="BD40" t="s">
        <v>98</v>
      </c>
      <c r="BE40" t="s">
        <v>28</v>
      </c>
      <c r="BF40" t="s">
        <v>26</v>
      </c>
      <c r="BH40" t="s">
        <v>26</v>
      </c>
      <c r="BI40" t="s">
        <v>73</v>
      </c>
      <c r="BJ40" t="s">
        <v>98</v>
      </c>
    </row>
    <row r="41" spans="1:65" x14ac:dyDescent="0.3">
      <c r="A41" t="s">
        <v>97</v>
      </c>
      <c r="AS41" s="1" t="s">
        <v>12</v>
      </c>
      <c r="AT41" t="s">
        <v>185</v>
      </c>
      <c r="AU41" s="3">
        <v>10</v>
      </c>
      <c r="AV41">
        <v>6</v>
      </c>
      <c r="AW41">
        <v>3</v>
      </c>
      <c r="AX41">
        <v>1</v>
      </c>
      <c r="AY41">
        <f>AV41-AW41-AX41</f>
        <v>2</v>
      </c>
      <c r="AZ41">
        <v>9</v>
      </c>
      <c r="BA41">
        <v>6</v>
      </c>
      <c r="BB41">
        <f>AZ41-BA41</f>
        <v>3</v>
      </c>
      <c r="BD41" t="s">
        <v>130</v>
      </c>
      <c r="BE41" t="s">
        <v>158</v>
      </c>
      <c r="BF41" t="s">
        <v>147</v>
      </c>
      <c r="BH41" t="s">
        <v>147</v>
      </c>
      <c r="BI41" t="s">
        <v>30</v>
      </c>
      <c r="BJ41" t="s">
        <v>130</v>
      </c>
    </row>
    <row r="42" spans="1:65" x14ac:dyDescent="0.3">
      <c r="A42" t="s">
        <v>45</v>
      </c>
      <c r="AS42" t="s">
        <v>13</v>
      </c>
      <c r="AT42" t="s">
        <v>184</v>
      </c>
      <c r="AU42" s="3">
        <v>10</v>
      </c>
      <c r="AV42">
        <v>6</v>
      </c>
      <c r="AW42">
        <v>3</v>
      </c>
      <c r="AX42">
        <v>1</v>
      </c>
      <c r="AY42">
        <f>AV42-AW42-AX42</f>
        <v>2</v>
      </c>
      <c r="AZ42">
        <v>10</v>
      </c>
      <c r="BA42">
        <v>10</v>
      </c>
      <c r="BB42">
        <f>AZ42-BA42</f>
        <v>0</v>
      </c>
      <c r="BD42" t="s">
        <v>128</v>
      </c>
      <c r="BE42" t="s">
        <v>195</v>
      </c>
      <c r="BF42" t="s">
        <v>148</v>
      </c>
      <c r="BH42" t="s">
        <v>148</v>
      </c>
      <c r="BI42" t="s">
        <v>31</v>
      </c>
      <c r="BJ42" t="s">
        <v>128</v>
      </c>
    </row>
    <row r="43" spans="1:65" x14ac:dyDescent="0.3">
      <c r="A43" t="s">
        <v>96</v>
      </c>
      <c r="AS43" t="s">
        <v>14</v>
      </c>
      <c r="AT43" t="s">
        <v>180</v>
      </c>
      <c r="AU43" s="3">
        <v>4</v>
      </c>
      <c r="AV43">
        <v>6</v>
      </c>
      <c r="AW43">
        <v>1</v>
      </c>
      <c r="AX43">
        <v>1</v>
      </c>
      <c r="AY43">
        <f>AV43-AW43-AX43</f>
        <v>4</v>
      </c>
      <c r="AZ43">
        <v>6</v>
      </c>
      <c r="BA43">
        <v>12</v>
      </c>
      <c r="BB43">
        <f>AZ43-BA43</f>
        <v>-6</v>
      </c>
      <c r="BD43" t="s">
        <v>144</v>
      </c>
      <c r="BE43" t="s">
        <v>132</v>
      </c>
      <c r="BF43" t="s">
        <v>104</v>
      </c>
      <c r="BH43" t="s">
        <v>104</v>
      </c>
      <c r="BI43" t="s">
        <v>75</v>
      </c>
      <c r="BJ43" t="s">
        <v>144</v>
      </c>
    </row>
    <row r="44" spans="1:65" x14ac:dyDescent="0.3">
      <c r="A44" t="s">
        <v>95</v>
      </c>
      <c r="BD44" t="s">
        <v>155</v>
      </c>
      <c r="BE44" t="s">
        <v>75</v>
      </c>
      <c r="BF44" t="s">
        <v>172</v>
      </c>
      <c r="BH44" t="s">
        <v>172</v>
      </c>
      <c r="BI44" t="s">
        <v>132</v>
      </c>
      <c r="BJ44" t="s">
        <v>155</v>
      </c>
    </row>
    <row r="45" spans="1:65" x14ac:dyDescent="0.3">
      <c r="A45" t="s">
        <v>144</v>
      </c>
      <c r="AS45" t="s">
        <v>49</v>
      </c>
      <c r="BD45" t="s">
        <v>150</v>
      </c>
      <c r="BE45" t="s">
        <v>28</v>
      </c>
      <c r="BF45" t="s">
        <v>170</v>
      </c>
      <c r="BH45" t="s">
        <v>170</v>
      </c>
      <c r="BI45" t="s">
        <v>196</v>
      </c>
      <c r="BJ45" t="s">
        <v>150</v>
      </c>
    </row>
    <row r="46" spans="1:65" x14ac:dyDescent="0.3">
      <c r="AS46" t="s">
        <v>185</v>
      </c>
      <c r="AT46" t="s">
        <v>135</v>
      </c>
      <c r="AU46" t="s">
        <v>192</v>
      </c>
      <c r="AW46" t="s">
        <v>192</v>
      </c>
      <c r="AX46" t="s">
        <v>30</v>
      </c>
      <c r="AY46" t="s">
        <v>185</v>
      </c>
      <c r="BD46" t="s">
        <v>125</v>
      </c>
      <c r="BE46" t="s">
        <v>73</v>
      </c>
      <c r="BF46" t="s">
        <v>161</v>
      </c>
      <c r="BH46" t="s">
        <v>161</v>
      </c>
      <c r="BI46" t="s">
        <v>28</v>
      </c>
      <c r="BJ46" t="s">
        <v>125</v>
      </c>
    </row>
    <row r="47" spans="1:65" x14ac:dyDescent="0.3">
      <c r="AS47" t="s">
        <v>188</v>
      </c>
      <c r="AT47" t="s">
        <v>48</v>
      </c>
      <c r="AU47" t="s">
        <v>25</v>
      </c>
      <c r="AW47" t="s">
        <v>25</v>
      </c>
      <c r="AX47" t="s">
        <v>28</v>
      </c>
      <c r="AY47" t="s">
        <v>188</v>
      </c>
    </row>
    <row r="48" spans="1:65" x14ac:dyDescent="0.3">
      <c r="BD48" t="s">
        <v>59</v>
      </c>
    </row>
    <row r="49" spans="45:62" x14ac:dyDescent="0.3">
      <c r="AS49" t="s">
        <v>19</v>
      </c>
      <c r="BD49" t="s">
        <v>171</v>
      </c>
      <c r="BE49" t="s">
        <v>30</v>
      </c>
      <c r="BF49" t="s">
        <v>147</v>
      </c>
      <c r="BH49" t="s">
        <v>147</v>
      </c>
      <c r="BI49" t="s">
        <v>75</v>
      </c>
      <c r="BJ49" t="s">
        <v>171</v>
      </c>
    </row>
    <row r="50" spans="45:62" x14ac:dyDescent="0.3">
      <c r="AS50" t="s">
        <v>188</v>
      </c>
      <c r="AT50" t="s">
        <v>73</v>
      </c>
      <c r="AU50" t="s">
        <v>192</v>
      </c>
      <c r="AW50" t="s">
        <v>192</v>
      </c>
      <c r="AX50" t="s">
        <v>138</v>
      </c>
      <c r="AY50" t="s">
        <v>188</v>
      </c>
      <c r="BD50" t="s">
        <v>128</v>
      </c>
      <c r="BE50" t="s">
        <v>30</v>
      </c>
      <c r="BF50" t="s">
        <v>172</v>
      </c>
      <c r="BH50" t="s">
        <v>172</v>
      </c>
      <c r="BI50" t="s">
        <v>197</v>
      </c>
      <c r="BJ50" t="s">
        <v>128</v>
      </c>
    </row>
    <row r="51" spans="45:62" x14ac:dyDescent="0.3">
      <c r="BD51" t="s">
        <v>98</v>
      </c>
      <c r="BE51" t="s">
        <v>31</v>
      </c>
      <c r="BF51" t="s">
        <v>161</v>
      </c>
      <c r="BH51" t="s">
        <v>161</v>
      </c>
      <c r="BI51" t="s">
        <v>198</v>
      </c>
      <c r="BJ51" t="s">
        <v>98</v>
      </c>
    </row>
    <row r="52" spans="45:62" x14ac:dyDescent="0.3">
      <c r="BD52" t="s">
        <v>144</v>
      </c>
      <c r="BE52" t="s">
        <v>48</v>
      </c>
      <c r="BF52" t="s">
        <v>170</v>
      </c>
      <c r="BH52" t="s">
        <v>170</v>
      </c>
      <c r="BI52" t="s">
        <v>29</v>
      </c>
      <c r="BJ52" t="s">
        <v>144</v>
      </c>
    </row>
    <row r="54" spans="45:62" x14ac:dyDescent="0.3">
      <c r="BD54" t="s">
        <v>49</v>
      </c>
    </row>
    <row r="55" spans="45:62" x14ac:dyDescent="0.3">
      <c r="BD55" t="s">
        <v>171</v>
      </c>
      <c r="BE55" t="s">
        <v>28</v>
      </c>
      <c r="BF55" t="s">
        <v>172</v>
      </c>
      <c r="BH55" t="s">
        <v>172</v>
      </c>
      <c r="BI55" t="s">
        <v>30</v>
      </c>
      <c r="BJ55" t="s">
        <v>171</v>
      </c>
    </row>
    <row r="56" spans="45:62" x14ac:dyDescent="0.3">
      <c r="BD56" t="s">
        <v>98</v>
      </c>
      <c r="BE56" t="s">
        <v>28</v>
      </c>
      <c r="BF56" t="s">
        <v>144</v>
      </c>
      <c r="BH56" t="s">
        <v>144</v>
      </c>
      <c r="BI56" t="s">
        <v>30</v>
      </c>
      <c r="BJ56" t="s">
        <v>98</v>
      </c>
    </row>
    <row r="58" spans="45:62" x14ac:dyDescent="0.3">
      <c r="BD58" t="s">
        <v>19</v>
      </c>
    </row>
    <row r="59" spans="45:62" x14ac:dyDescent="0.3">
      <c r="BD59" t="s">
        <v>144</v>
      </c>
      <c r="BE59" t="s">
        <v>31</v>
      </c>
      <c r="BF59" t="s">
        <v>172</v>
      </c>
      <c r="BH59" t="s">
        <v>172</v>
      </c>
      <c r="BI59" t="s">
        <v>48</v>
      </c>
      <c r="BJ59" t="s">
        <v>144</v>
      </c>
    </row>
  </sheetData>
  <sortState xmlns:xlrd2="http://schemas.microsoft.com/office/spreadsheetml/2017/richdata2" ref="AI3:AQ18">
    <sortCondition descending="1" ref="AJ3:AJ18"/>
    <sortCondition descending="1" ref="AL3:AL18"/>
    <sortCondition descending="1" ref="AQ3:AQ18"/>
    <sortCondition descending="1" ref="AO3:AO18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3633-10B4-49C7-8070-7CC19E512236}">
  <dimension ref="A1:X30"/>
  <sheetViews>
    <sheetView topLeftCell="A5" workbookViewId="0">
      <selection activeCell="R13" sqref="R13"/>
    </sheetView>
  </sheetViews>
  <sheetFormatPr defaultRowHeight="14.4" x14ac:dyDescent="0.3"/>
  <sheetData>
    <row r="1" spans="1:24" x14ac:dyDescent="0.3">
      <c r="A1" t="s">
        <v>719</v>
      </c>
      <c r="L1" t="s">
        <v>726</v>
      </c>
      <c r="W1" t="s">
        <v>50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35</v>
      </c>
      <c r="W2" t="s">
        <v>671</v>
      </c>
      <c r="X2">
        <v>1</v>
      </c>
    </row>
    <row r="3" spans="1:24" x14ac:dyDescent="0.3">
      <c r="A3" s="1" t="s">
        <v>11</v>
      </c>
      <c r="B3" t="s">
        <v>720</v>
      </c>
      <c r="C3" s="3">
        <v>17</v>
      </c>
      <c r="D3">
        <v>7</v>
      </c>
      <c r="E3">
        <v>5</v>
      </c>
      <c r="F3">
        <v>2</v>
      </c>
      <c r="G3">
        <f>D3-E3-F3</f>
        <v>0</v>
      </c>
      <c r="H3">
        <v>11</v>
      </c>
      <c r="I3">
        <v>1</v>
      </c>
      <c r="J3">
        <f>H3-I3</f>
        <v>10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729</v>
      </c>
      <c r="X3">
        <v>2</v>
      </c>
    </row>
    <row r="4" spans="1:24" x14ac:dyDescent="0.3">
      <c r="A4" s="1" t="s">
        <v>12</v>
      </c>
      <c r="B4" t="s">
        <v>721</v>
      </c>
      <c r="C4" s="3">
        <v>12</v>
      </c>
      <c r="D4">
        <v>7</v>
      </c>
      <c r="E4">
        <v>3</v>
      </c>
      <c r="F4">
        <v>3</v>
      </c>
      <c r="G4">
        <f t="shared" ref="G4:G10" si="0">D4-E4-F4</f>
        <v>1</v>
      </c>
      <c r="H4">
        <v>10</v>
      </c>
      <c r="I4">
        <v>7</v>
      </c>
      <c r="J4">
        <f t="shared" ref="J4:J10" si="1">H4-I4</f>
        <v>3</v>
      </c>
      <c r="L4" s="1" t="s">
        <v>11</v>
      </c>
      <c r="M4" t="s">
        <v>727</v>
      </c>
      <c r="N4" s="3">
        <v>12</v>
      </c>
      <c r="O4">
        <v>4</v>
      </c>
      <c r="P4">
        <v>4</v>
      </c>
      <c r="Q4">
        <v>0</v>
      </c>
      <c r="R4">
        <f>O4-P4-Q4</f>
        <v>0</v>
      </c>
      <c r="S4">
        <v>11</v>
      </c>
      <c r="T4">
        <v>2</v>
      </c>
      <c r="U4">
        <f>S4-T4</f>
        <v>9</v>
      </c>
    </row>
    <row r="5" spans="1:24" x14ac:dyDescent="0.3">
      <c r="A5" s="1" t="s">
        <v>13</v>
      </c>
      <c r="B5" t="s">
        <v>671</v>
      </c>
      <c r="C5" s="3">
        <v>11</v>
      </c>
      <c r="D5">
        <v>7</v>
      </c>
      <c r="E5">
        <v>3</v>
      </c>
      <c r="F5">
        <v>2</v>
      </c>
      <c r="G5">
        <f t="shared" si="0"/>
        <v>2</v>
      </c>
      <c r="H5">
        <v>6</v>
      </c>
      <c r="I5">
        <v>6</v>
      </c>
      <c r="J5">
        <f t="shared" si="1"/>
        <v>0</v>
      </c>
      <c r="L5" s="1" t="s">
        <v>12</v>
      </c>
      <c r="M5" t="s">
        <v>728</v>
      </c>
      <c r="N5" s="3">
        <v>9</v>
      </c>
      <c r="O5">
        <v>4</v>
      </c>
      <c r="P5">
        <v>3</v>
      </c>
      <c r="Q5">
        <v>0</v>
      </c>
      <c r="R5">
        <f t="shared" ref="R5:R8" si="2">O5-P5-Q5</f>
        <v>1</v>
      </c>
      <c r="S5">
        <v>7</v>
      </c>
      <c r="T5">
        <v>3</v>
      </c>
      <c r="U5">
        <f t="shared" ref="U5:U8" si="3">S5-T5</f>
        <v>4</v>
      </c>
    </row>
    <row r="6" spans="1:24" x14ac:dyDescent="0.3">
      <c r="A6" s="1" t="s">
        <v>14</v>
      </c>
      <c r="B6" t="s">
        <v>722</v>
      </c>
      <c r="C6" s="3">
        <v>9</v>
      </c>
      <c r="D6">
        <v>7</v>
      </c>
      <c r="E6">
        <v>2</v>
      </c>
      <c r="F6">
        <v>3</v>
      </c>
      <c r="G6">
        <f t="shared" si="0"/>
        <v>2</v>
      </c>
      <c r="H6">
        <v>7</v>
      </c>
      <c r="I6">
        <v>6</v>
      </c>
      <c r="J6">
        <f t="shared" si="1"/>
        <v>1</v>
      </c>
      <c r="L6" s="1" t="s">
        <v>13</v>
      </c>
      <c r="M6" t="s">
        <v>729</v>
      </c>
      <c r="N6" s="3">
        <v>6</v>
      </c>
      <c r="O6">
        <v>4</v>
      </c>
      <c r="P6">
        <v>2</v>
      </c>
      <c r="Q6">
        <v>0</v>
      </c>
      <c r="R6">
        <f t="shared" si="2"/>
        <v>2</v>
      </c>
      <c r="S6">
        <v>7</v>
      </c>
      <c r="T6">
        <v>9</v>
      </c>
      <c r="U6">
        <f t="shared" si="3"/>
        <v>-2</v>
      </c>
    </row>
    <row r="7" spans="1:24" x14ac:dyDescent="0.3">
      <c r="A7" t="s">
        <v>15</v>
      </c>
      <c r="B7" t="s">
        <v>723</v>
      </c>
      <c r="C7" s="3">
        <v>9</v>
      </c>
      <c r="D7">
        <v>7</v>
      </c>
      <c r="E7">
        <v>2</v>
      </c>
      <c r="F7">
        <v>3</v>
      </c>
      <c r="G7">
        <f t="shared" si="0"/>
        <v>2</v>
      </c>
      <c r="H7">
        <v>6</v>
      </c>
      <c r="I7">
        <v>7</v>
      </c>
      <c r="J7">
        <f t="shared" si="1"/>
        <v>-1</v>
      </c>
      <c r="L7" s="1" t="s">
        <v>14</v>
      </c>
      <c r="M7" t="s">
        <v>730</v>
      </c>
      <c r="N7" s="3">
        <v>3</v>
      </c>
      <c r="O7">
        <v>4</v>
      </c>
      <c r="P7">
        <v>1</v>
      </c>
      <c r="Q7">
        <v>0</v>
      </c>
      <c r="R7">
        <f t="shared" si="2"/>
        <v>3</v>
      </c>
      <c r="S7">
        <v>3</v>
      </c>
      <c r="T7">
        <v>6</v>
      </c>
      <c r="U7">
        <f t="shared" si="3"/>
        <v>-3</v>
      </c>
    </row>
    <row r="8" spans="1:24" x14ac:dyDescent="0.3">
      <c r="A8" t="s">
        <v>16</v>
      </c>
      <c r="B8" t="s">
        <v>736</v>
      </c>
      <c r="C8" s="3">
        <v>9</v>
      </c>
      <c r="D8">
        <v>7</v>
      </c>
      <c r="E8">
        <v>2</v>
      </c>
      <c r="F8">
        <v>3</v>
      </c>
      <c r="G8">
        <f t="shared" si="0"/>
        <v>2</v>
      </c>
      <c r="H8">
        <v>4</v>
      </c>
      <c r="I8">
        <v>6</v>
      </c>
      <c r="J8">
        <f t="shared" si="1"/>
        <v>-2</v>
      </c>
      <c r="L8" t="s">
        <v>15</v>
      </c>
      <c r="M8" t="s">
        <v>731</v>
      </c>
      <c r="N8" s="3">
        <v>0</v>
      </c>
      <c r="O8">
        <v>4</v>
      </c>
      <c r="P8">
        <v>0</v>
      </c>
      <c r="Q8">
        <v>0</v>
      </c>
      <c r="R8">
        <f t="shared" si="2"/>
        <v>4</v>
      </c>
      <c r="S8">
        <v>2</v>
      </c>
      <c r="T8">
        <v>10</v>
      </c>
      <c r="U8">
        <f t="shared" si="3"/>
        <v>-8</v>
      </c>
    </row>
    <row r="9" spans="1:24" x14ac:dyDescent="0.3">
      <c r="A9" s="2" t="s">
        <v>17</v>
      </c>
      <c r="B9" t="s">
        <v>724</v>
      </c>
      <c r="C9" s="3">
        <v>4</v>
      </c>
      <c r="D9">
        <v>7</v>
      </c>
      <c r="E9">
        <v>1</v>
      </c>
      <c r="F9">
        <v>1</v>
      </c>
      <c r="G9">
        <f t="shared" si="0"/>
        <v>5</v>
      </c>
      <c r="H9">
        <v>5</v>
      </c>
      <c r="I9">
        <v>9</v>
      </c>
      <c r="J9">
        <f t="shared" si="1"/>
        <v>-4</v>
      </c>
    </row>
    <row r="10" spans="1:24" x14ac:dyDescent="0.3">
      <c r="A10" s="2" t="s">
        <v>18</v>
      </c>
      <c r="B10" t="s">
        <v>725</v>
      </c>
      <c r="C10" s="3">
        <v>4</v>
      </c>
      <c r="D10">
        <v>7</v>
      </c>
      <c r="E10">
        <v>1</v>
      </c>
      <c r="F10">
        <v>1</v>
      </c>
      <c r="G10">
        <f t="shared" si="0"/>
        <v>5</v>
      </c>
      <c r="H10">
        <v>2</v>
      </c>
      <c r="I10">
        <v>9</v>
      </c>
      <c r="J10">
        <f t="shared" si="1"/>
        <v>-7</v>
      </c>
      <c r="L10" t="s">
        <v>36</v>
      </c>
    </row>
    <row r="11" spans="1:24" x14ac:dyDescent="0.3">
      <c r="L11" t="s">
        <v>1</v>
      </c>
      <c r="M11" t="s">
        <v>2</v>
      </c>
      <c r="N11" t="s">
        <v>3</v>
      </c>
      <c r="O11" t="s">
        <v>4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</row>
    <row r="12" spans="1:24" x14ac:dyDescent="0.3">
      <c r="A12" t="s">
        <v>49</v>
      </c>
      <c r="L12" s="1" t="s">
        <v>11</v>
      </c>
      <c r="M12" t="s">
        <v>725</v>
      </c>
      <c r="N12" s="3">
        <v>9</v>
      </c>
      <c r="O12">
        <v>5</v>
      </c>
      <c r="P12">
        <v>3</v>
      </c>
      <c r="Q12">
        <v>0</v>
      </c>
      <c r="R12">
        <f>O12-P12-Q12</f>
        <v>2</v>
      </c>
      <c r="S12">
        <v>6</v>
      </c>
      <c r="T12">
        <v>3</v>
      </c>
      <c r="U12">
        <f>S12-T12</f>
        <v>3</v>
      </c>
    </row>
    <row r="13" spans="1:24" x14ac:dyDescent="0.3">
      <c r="A13" t="str">
        <f>B6</f>
        <v>Tocantinópolis</v>
      </c>
      <c r="B13" t="s">
        <v>31</v>
      </c>
      <c r="C13" t="str">
        <f>B3</f>
        <v>Araguaína</v>
      </c>
      <c r="E13" t="str">
        <f>B3</f>
        <v>Araguaína</v>
      </c>
      <c r="F13" t="s">
        <v>75</v>
      </c>
      <c r="G13" t="str">
        <f>B6</f>
        <v>Tocantinópolis</v>
      </c>
      <c r="L13" s="1" t="s">
        <v>12</v>
      </c>
      <c r="M13" t="s">
        <v>732</v>
      </c>
      <c r="N13" s="3">
        <v>8</v>
      </c>
      <c r="O13">
        <v>5</v>
      </c>
      <c r="P13">
        <v>2</v>
      </c>
      <c r="Q13">
        <v>2</v>
      </c>
      <c r="R13">
        <f t="shared" ref="R13:R17" si="4">O13-P13-Q13</f>
        <v>1</v>
      </c>
      <c r="S13">
        <v>6</v>
      </c>
      <c r="T13">
        <v>5</v>
      </c>
      <c r="U13">
        <f t="shared" ref="U13:U17" si="5">S13-T13</f>
        <v>1</v>
      </c>
    </row>
    <row r="14" spans="1:24" x14ac:dyDescent="0.3">
      <c r="A14" t="str">
        <f>B5</f>
        <v>Capital</v>
      </c>
      <c r="B14" t="s">
        <v>28</v>
      </c>
      <c r="C14" t="str">
        <f>B4</f>
        <v>Bela Vista</v>
      </c>
      <c r="E14" t="str">
        <f>B4</f>
        <v>Bela Vista</v>
      </c>
      <c r="F14" t="s">
        <v>29</v>
      </c>
      <c r="G14" t="str">
        <f>B5</f>
        <v>Capital</v>
      </c>
      <c r="L14" s="1" t="s">
        <v>13</v>
      </c>
      <c r="M14" t="s">
        <v>733</v>
      </c>
      <c r="N14" s="3">
        <v>7</v>
      </c>
      <c r="O14">
        <v>5</v>
      </c>
      <c r="P14">
        <v>2</v>
      </c>
      <c r="Q14">
        <v>1</v>
      </c>
      <c r="R14">
        <f t="shared" si="4"/>
        <v>2</v>
      </c>
      <c r="S14">
        <v>6</v>
      </c>
      <c r="T14">
        <v>6</v>
      </c>
      <c r="U14">
        <f t="shared" si="5"/>
        <v>0</v>
      </c>
    </row>
    <row r="15" spans="1:24" x14ac:dyDescent="0.3">
      <c r="L15" s="1" t="s">
        <v>14</v>
      </c>
      <c r="M15" t="s">
        <v>734</v>
      </c>
      <c r="N15" s="3">
        <v>7</v>
      </c>
      <c r="O15">
        <v>5</v>
      </c>
      <c r="P15">
        <v>2</v>
      </c>
      <c r="Q15">
        <v>1</v>
      </c>
      <c r="R15">
        <f t="shared" si="4"/>
        <v>2</v>
      </c>
      <c r="S15">
        <v>7</v>
      </c>
      <c r="T15">
        <v>8</v>
      </c>
      <c r="U15">
        <f t="shared" si="5"/>
        <v>-1</v>
      </c>
    </row>
    <row r="16" spans="1:24" x14ac:dyDescent="0.3">
      <c r="A16" t="s">
        <v>19</v>
      </c>
      <c r="L16" t="s">
        <v>15</v>
      </c>
      <c r="M16" t="s">
        <v>724</v>
      </c>
      <c r="N16" s="3">
        <v>6</v>
      </c>
      <c r="O16">
        <v>5</v>
      </c>
      <c r="P16">
        <v>2</v>
      </c>
      <c r="Q16">
        <v>0</v>
      </c>
      <c r="R16">
        <f t="shared" si="4"/>
        <v>3</v>
      </c>
      <c r="S16">
        <v>6</v>
      </c>
      <c r="T16">
        <v>7</v>
      </c>
      <c r="U16">
        <f t="shared" si="5"/>
        <v>-1</v>
      </c>
    </row>
    <row r="17" spans="1:21" x14ac:dyDescent="0.3">
      <c r="A17" t="s">
        <v>722</v>
      </c>
      <c r="B17" t="s">
        <v>30</v>
      </c>
      <c r="C17" t="s">
        <v>671</v>
      </c>
      <c r="E17" t="s">
        <v>671</v>
      </c>
      <c r="F17" t="s">
        <v>132</v>
      </c>
      <c r="G17" t="s">
        <v>722</v>
      </c>
      <c r="L17" t="s">
        <v>16</v>
      </c>
      <c r="M17" t="s">
        <v>735</v>
      </c>
      <c r="N17" s="3">
        <v>6</v>
      </c>
      <c r="O17">
        <v>5</v>
      </c>
      <c r="P17">
        <v>2</v>
      </c>
      <c r="Q17">
        <v>0</v>
      </c>
      <c r="R17">
        <f t="shared" si="4"/>
        <v>3</v>
      </c>
      <c r="S17">
        <v>6</v>
      </c>
      <c r="T17">
        <v>8</v>
      </c>
      <c r="U17">
        <f t="shared" si="5"/>
        <v>-2</v>
      </c>
    </row>
    <row r="19" spans="1:21" x14ac:dyDescent="0.3">
      <c r="A19" t="s">
        <v>113</v>
      </c>
      <c r="L19" t="s">
        <v>59</v>
      </c>
    </row>
    <row r="20" spans="1:21" x14ac:dyDescent="0.3">
      <c r="A20" t="s">
        <v>671</v>
      </c>
      <c r="L20" t="str">
        <f>M15</f>
        <v>Tocantins</v>
      </c>
      <c r="M20" t="s">
        <v>31</v>
      </c>
      <c r="N20" t="str">
        <f>M4</f>
        <v>Taquarussu</v>
      </c>
      <c r="P20" t="str">
        <f>M4</f>
        <v>Taquarussu</v>
      </c>
      <c r="Q20" t="s">
        <v>30</v>
      </c>
      <c r="R20" t="str">
        <f>M15</f>
        <v>Tocantins</v>
      </c>
    </row>
    <row r="21" spans="1:21" x14ac:dyDescent="0.3">
      <c r="A21" t="s">
        <v>722</v>
      </c>
      <c r="L21" t="str">
        <f>M14</f>
        <v>Paraíso</v>
      </c>
      <c r="M21" t="s">
        <v>75</v>
      </c>
      <c r="N21" t="str">
        <f>M5</f>
        <v>União de Palmas</v>
      </c>
      <c r="P21" t="str">
        <f>M5</f>
        <v>União de Palmas</v>
      </c>
      <c r="Q21" t="s">
        <v>30</v>
      </c>
      <c r="R21" t="str">
        <f>M14</f>
        <v>Paraíso</v>
      </c>
    </row>
    <row r="22" spans="1:21" x14ac:dyDescent="0.3">
      <c r="L22" t="str">
        <f>M6</f>
        <v>Interporto</v>
      </c>
      <c r="M22" t="s">
        <v>30</v>
      </c>
      <c r="N22" t="str">
        <f>M13</f>
        <v>Araguaia</v>
      </c>
      <c r="P22" t="str">
        <f>M13</f>
        <v>Araguaia</v>
      </c>
      <c r="Q22" t="s">
        <v>158</v>
      </c>
      <c r="R22" t="str">
        <f>M6</f>
        <v>Interporto</v>
      </c>
    </row>
    <row r="23" spans="1:21" x14ac:dyDescent="0.3">
      <c r="A23" t="s">
        <v>114</v>
      </c>
      <c r="L23" t="str">
        <f>M7</f>
        <v>Batalhão</v>
      </c>
      <c r="M23" t="s">
        <v>75</v>
      </c>
      <c r="N23" t="str">
        <f>M12</f>
        <v>Guaraí</v>
      </c>
      <c r="P23" t="str">
        <f>M12</f>
        <v>Guaraí</v>
      </c>
      <c r="Q23" t="s">
        <v>351</v>
      </c>
      <c r="R23" t="str">
        <f>M7</f>
        <v>Batalhão</v>
      </c>
    </row>
    <row r="24" spans="1:21" x14ac:dyDescent="0.3">
      <c r="A24" t="s">
        <v>671</v>
      </c>
    </row>
    <row r="25" spans="1:21" x14ac:dyDescent="0.3">
      <c r="A25" t="s">
        <v>722</v>
      </c>
      <c r="L25" t="s">
        <v>49</v>
      </c>
    </row>
    <row r="26" spans="1:21" x14ac:dyDescent="0.3">
      <c r="A26" t="s">
        <v>720</v>
      </c>
      <c r="L26" t="s">
        <v>734</v>
      </c>
      <c r="M26" t="s">
        <v>29</v>
      </c>
      <c r="N26" t="s">
        <v>728</v>
      </c>
      <c r="P26" t="s">
        <v>728</v>
      </c>
      <c r="Q26" t="s">
        <v>75</v>
      </c>
      <c r="R26" t="s">
        <v>734</v>
      </c>
    </row>
    <row r="27" spans="1:21" x14ac:dyDescent="0.3">
      <c r="L27" t="s">
        <v>725</v>
      </c>
      <c r="M27" t="s">
        <v>75</v>
      </c>
      <c r="N27" t="s">
        <v>729</v>
      </c>
      <c r="P27" t="s">
        <v>729</v>
      </c>
      <c r="Q27" t="s">
        <v>310</v>
      </c>
      <c r="R27" t="s">
        <v>725</v>
      </c>
    </row>
    <row r="29" spans="1:21" x14ac:dyDescent="0.3">
      <c r="L29" t="s">
        <v>19</v>
      </c>
    </row>
    <row r="30" spans="1:21" x14ac:dyDescent="0.3">
      <c r="L30" t="s">
        <v>729</v>
      </c>
      <c r="M30" t="s">
        <v>48</v>
      </c>
      <c r="N30" t="s">
        <v>728</v>
      </c>
      <c r="P30" t="s">
        <v>728</v>
      </c>
      <c r="Q30" t="s">
        <v>75</v>
      </c>
      <c r="R30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2025-12-08T03:00:47Z</dcterms:created>
  <dcterms:modified xsi:type="dcterms:W3CDTF">2026-07-26T04:35:19Z</dcterms:modified>
</cp:coreProperties>
</file>