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\OneDrive\Documentos\"/>
    </mc:Choice>
  </mc:AlternateContent>
  <xr:revisionPtr revIDLastSave="0" documentId="8_{71FF08C1-8BEC-4035-B87D-739D17277876}" xr6:coauthVersionLast="47" xr6:coauthVersionMax="47" xr10:uidLastSave="{00000000-0000-0000-0000-000000000000}"/>
  <bookViews>
    <workbookView xWindow="-108" yWindow="-108" windowWidth="23256" windowHeight="13176" firstSheet="19" activeTab="27" xr2:uid="{1F9EB638-EA59-4F32-A1B7-1BB7C8DF7604}"/>
  </bookViews>
  <sheets>
    <sheet name="Albânia" sheetId="12" r:id="rId1"/>
    <sheet name="Alemanha" sheetId="14" r:id="rId2"/>
    <sheet name="Andorra" sheetId="13" r:id="rId3"/>
    <sheet name="Armênia" sheetId="15" r:id="rId4"/>
    <sheet name="Áustria" sheetId="16" r:id="rId5"/>
    <sheet name="Azerbaijão" sheetId="17" r:id="rId6"/>
    <sheet name="Bélgica" sheetId="18" r:id="rId7"/>
    <sheet name="Bósnia" sheetId="19" r:id="rId8"/>
    <sheet name="Belarus" sheetId="10" r:id="rId9"/>
    <sheet name="Bulgária" sheetId="20" r:id="rId10"/>
    <sheet name="Cazaquistão" sheetId="3" r:id="rId11"/>
    <sheet name="Chipre" sheetId="21" r:id="rId12"/>
    <sheet name="Croácia" sheetId="22" r:id="rId13"/>
    <sheet name="Dinamarca" sheetId="23" r:id="rId14"/>
    <sheet name="Escócia" sheetId="25" r:id="rId15"/>
    <sheet name="Eslováquia" sheetId="26" r:id="rId16"/>
    <sheet name="Eslovênia" sheetId="27" r:id="rId17"/>
    <sheet name="Espanha" sheetId="28" r:id="rId18"/>
    <sheet name="Estônia" sheetId="9" r:id="rId19"/>
    <sheet name="França" sheetId="29" r:id="rId20"/>
    <sheet name="Finlândia" sheetId="2" r:id="rId21"/>
    <sheet name="Geórgia" sheetId="30" r:id="rId22"/>
    <sheet name="Gibraltar" sheetId="31" r:id="rId23"/>
    <sheet name="Grécia" sheetId="32" r:id="rId24"/>
    <sheet name="Holanda" sheetId="33" r:id="rId25"/>
    <sheet name="Hungria" sheetId="34" r:id="rId26"/>
    <sheet name="Ilhas Faroé" sheetId="6" r:id="rId27"/>
    <sheet name="Inglaterra" sheetId="35" r:id="rId28"/>
    <sheet name="Irlanda" sheetId="4" r:id="rId29"/>
    <sheet name="Irlanda do Norte" sheetId="36" r:id="rId30"/>
    <sheet name="Islândia" sheetId="1" r:id="rId31"/>
    <sheet name="Israel" sheetId="37" r:id="rId32"/>
    <sheet name="Itália" sheetId="38" r:id="rId33"/>
    <sheet name="Kosovo" sheetId="39" r:id="rId34"/>
    <sheet name="Letônia" sheetId="7" r:id="rId35"/>
    <sheet name="Liechtenstein" sheetId="40" r:id="rId36"/>
    <sheet name="Lituânia" sheetId="5" r:id="rId37"/>
    <sheet name="Luxemburgo" sheetId="41" r:id="rId38"/>
    <sheet name="Macedônia do Norte" sheetId="43" r:id="rId39"/>
    <sheet name="Malta" sheetId="42" r:id="rId40"/>
    <sheet name="Moldávia" sheetId="44" r:id="rId41"/>
    <sheet name="Montenegro" sheetId="45" r:id="rId42"/>
    <sheet name="Noruega" sheetId="11" r:id="rId43"/>
    <sheet name="País de Gales" sheetId="47" r:id="rId44"/>
    <sheet name="Polônia" sheetId="48" r:id="rId45"/>
    <sheet name="Portugal" sheetId="49" r:id="rId46"/>
    <sheet name="Romênia" sheetId="50" r:id="rId47"/>
    <sheet name="Rússia" sheetId="51" r:id="rId48"/>
    <sheet name="San Marino" sheetId="52" r:id="rId49"/>
    <sheet name="Sérvia" sheetId="53" r:id="rId50"/>
    <sheet name="Suécia" sheetId="8" r:id="rId51"/>
    <sheet name="Suíça" sheetId="24" r:id="rId52"/>
    <sheet name="Tchéquia" sheetId="54" r:id="rId53"/>
    <sheet name="Turquia" sheetId="55" r:id="rId54"/>
    <sheet name="Ucrânia" sheetId="56" r:id="rId5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56" l="1"/>
  <c r="C17" i="56"/>
  <c r="C16" i="56"/>
  <c r="C15" i="56"/>
  <c r="C14" i="56"/>
  <c r="C13" i="56"/>
  <c r="C12" i="56"/>
  <c r="C11" i="56"/>
  <c r="C10" i="56"/>
  <c r="C9" i="56"/>
  <c r="C8" i="56"/>
  <c r="C7" i="56"/>
  <c r="C6" i="56"/>
  <c r="C5" i="56"/>
  <c r="C4" i="56"/>
  <c r="C3" i="56"/>
  <c r="J18" i="56"/>
  <c r="G18" i="56"/>
  <c r="J17" i="56"/>
  <c r="G17" i="56"/>
  <c r="J16" i="56"/>
  <c r="G16" i="56"/>
  <c r="J15" i="56"/>
  <c r="G15" i="56"/>
  <c r="J14" i="56"/>
  <c r="G14" i="56"/>
  <c r="J13" i="56"/>
  <c r="G13" i="56"/>
  <c r="J12" i="56"/>
  <c r="G12" i="56"/>
  <c r="J11" i="56"/>
  <c r="G11" i="56"/>
  <c r="J10" i="56"/>
  <c r="G10" i="56"/>
  <c r="J9" i="56"/>
  <c r="G9" i="56"/>
  <c r="J8" i="56"/>
  <c r="G8" i="56"/>
  <c r="J7" i="56"/>
  <c r="G7" i="56"/>
  <c r="J6" i="56"/>
  <c r="G6" i="56"/>
  <c r="J5" i="56"/>
  <c r="G5" i="56"/>
  <c r="J4" i="56"/>
  <c r="G4" i="56"/>
  <c r="J3" i="56"/>
  <c r="G3" i="56"/>
  <c r="L33" i="55"/>
  <c r="N26" i="55"/>
  <c r="N27" i="55"/>
  <c r="L27" i="55"/>
  <c r="L26" i="55"/>
  <c r="N22" i="55"/>
  <c r="U22" i="55"/>
  <c r="R22" i="55"/>
  <c r="U21" i="55"/>
  <c r="R21" i="55"/>
  <c r="N21" i="55"/>
  <c r="U20" i="55"/>
  <c r="R20" i="55"/>
  <c r="N20" i="55"/>
  <c r="U19" i="55"/>
  <c r="R19" i="55"/>
  <c r="N19" i="55"/>
  <c r="U18" i="55"/>
  <c r="R18" i="55"/>
  <c r="N18" i="55"/>
  <c r="U17" i="55"/>
  <c r="R17" i="55"/>
  <c r="N17" i="55"/>
  <c r="U16" i="55"/>
  <c r="R16" i="55"/>
  <c r="N16" i="55"/>
  <c r="U15" i="55"/>
  <c r="R15" i="55"/>
  <c r="N15" i="55"/>
  <c r="U14" i="55"/>
  <c r="R14" i="55"/>
  <c r="N14" i="55"/>
  <c r="U13" i="55"/>
  <c r="R13" i="55"/>
  <c r="N13" i="55"/>
  <c r="U12" i="55"/>
  <c r="R12" i="55"/>
  <c r="N12" i="55"/>
  <c r="U11" i="55"/>
  <c r="R11" i="55"/>
  <c r="N11" i="55"/>
  <c r="U10" i="55"/>
  <c r="R10" i="55"/>
  <c r="N10" i="55"/>
  <c r="U9" i="55"/>
  <c r="R9" i="55"/>
  <c r="N9" i="55"/>
  <c r="U8" i="55"/>
  <c r="R8" i="55"/>
  <c r="N8" i="55"/>
  <c r="U7" i="55"/>
  <c r="R7" i="55"/>
  <c r="N7" i="55"/>
  <c r="U6" i="55"/>
  <c r="R6" i="55"/>
  <c r="N6" i="55"/>
  <c r="U5" i="55"/>
  <c r="R5" i="55"/>
  <c r="N5" i="55"/>
  <c r="U4" i="55"/>
  <c r="R4" i="55"/>
  <c r="N4" i="55"/>
  <c r="U3" i="55"/>
  <c r="R3" i="55"/>
  <c r="N3" i="55"/>
  <c r="J20" i="55"/>
  <c r="G20" i="55"/>
  <c r="C20" i="55"/>
  <c r="J19" i="55"/>
  <c r="G19" i="55"/>
  <c r="C19" i="55"/>
  <c r="J18" i="55"/>
  <c r="G18" i="55"/>
  <c r="C18" i="55"/>
  <c r="J17" i="55"/>
  <c r="G17" i="55"/>
  <c r="C17" i="55"/>
  <c r="J16" i="55"/>
  <c r="G16" i="55"/>
  <c r="C16" i="55"/>
  <c r="J15" i="55"/>
  <c r="G15" i="55"/>
  <c r="C15" i="55"/>
  <c r="J14" i="55"/>
  <c r="G14" i="55"/>
  <c r="C14" i="55"/>
  <c r="J13" i="55"/>
  <c r="G13" i="55"/>
  <c r="C13" i="55"/>
  <c r="J12" i="55"/>
  <c r="G12" i="55"/>
  <c r="C12" i="55"/>
  <c r="J11" i="55"/>
  <c r="G11" i="55"/>
  <c r="C11" i="55"/>
  <c r="J10" i="55"/>
  <c r="G10" i="55"/>
  <c r="C10" i="55"/>
  <c r="J9" i="55"/>
  <c r="G9" i="55"/>
  <c r="C9" i="55"/>
  <c r="J8" i="55"/>
  <c r="G8" i="55"/>
  <c r="C8" i="55"/>
  <c r="J7" i="55"/>
  <c r="G7" i="55"/>
  <c r="C7" i="55"/>
  <c r="J6" i="55"/>
  <c r="G6" i="55"/>
  <c r="C6" i="55"/>
  <c r="J5" i="55"/>
  <c r="G5" i="55"/>
  <c r="C5" i="55"/>
  <c r="J4" i="55"/>
  <c r="G4" i="55"/>
  <c r="C4" i="55"/>
  <c r="J3" i="55"/>
  <c r="G3" i="55"/>
  <c r="C3" i="55"/>
  <c r="J26" i="54"/>
  <c r="G26" i="54"/>
  <c r="C26" i="54"/>
  <c r="J27" i="54"/>
  <c r="G27" i="54"/>
  <c r="C27" i="54"/>
  <c r="J24" i="54"/>
  <c r="G24" i="54"/>
  <c r="C24" i="54"/>
  <c r="J25" i="54"/>
  <c r="G25" i="54"/>
  <c r="C25" i="54"/>
  <c r="J23" i="54"/>
  <c r="G23" i="54"/>
  <c r="C23" i="54"/>
  <c r="J22" i="54"/>
  <c r="G22" i="54"/>
  <c r="C22" i="54"/>
  <c r="C18" i="54"/>
  <c r="C17" i="54"/>
  <c r="C16" i="54"/>
  <c r="C15" i="54"/>
  <c r="C14" i="54"/>
  <c r="C13" i="54"/>
  <c r="C12" i="54"/>
  <c r="C11" i="54"/>
  <c r="C10" i="54"/>
  <c r="C9" i="54"/>
  <c r="C8" i="54"/>
  <c r="C7" i="54"/>
  <c r="C6" i="54"/>
  <c r="C5" i="54"/>
  <c r="C4" i="54"/>
  <c r="C3" i="54"/>
  <c r="J18" i="54"/>
  <c r="G18" i="54"/>
  <c r="J17" i="54"/>
  <c r="G17" i="54"/>
  <c r="J16" i="54"/>
  <c r="G16" i="54"/>
  <c r="J15" i="54"/>
  <c r="G15" i="54"/>
  <c r="J14" i="54"/>
  <c r="G14" i="54"/>
  <c r="J13" i="54"/>
  <c r="G13" i="54"/>
  <c r="J12" i="54"/>
  <c r="G12" i="54"/>
  <c r="J11" i="54"/>
  <c r="G11" i="54"/>
  <c r="J10" i="54"/>
  <c r="G10" i="54"/>
  <c r="J9" i="54"/>
  <c r="G9" i="54"/>
  <c r="J8" i="54"/>
  <c r="G8" i="54"/>
  <c r="J7" i="54"/>
  <c r="G7" i="54"/>
  <c r="J6" i="54"/>
  <c r="G6" i="54"/>
  <c r="J5" i="54"/>
  <c r="G5" i="54"/>
  <c r="J4" i="54"/>
  <c r="G4" i="54"/>
  <c r="J3" i="54"/>
  <c r="G3" i="54"/>
  <c r="J9" i="24"/>
  <c r="G9" i="24"/>
  <c r="C9" i="24"/>
  <c r="J6" i="24"/>
  <c r="G6" i="24"/>
  <c r="C6" i="24"/>
  <c r="J7" i="24"/>
  <c r="G7" i="24"/>
  <c r="C7" i="24"/>
  <c r="J8" i="24"/>
  <c r="G8" i="24"/>
  <c r="C8" i="24"/>
  <c r="J5" i="24"/>
  <c r="G5" i="24"/>
  <c r="C5" i="24"/>
  <c r="J4" i="24"/>
  <c r="G4" i="24"/>
  <c r="C4" i="24"/>
  <c r="J10" i="53"/>
  <c r="G10" i="53"/>
  <c r="C10" i="53"/>
  <c r="J8" i="53"/>
  <c r="G8" i="53"/>
  <c r="C8" i="53"/>
  <c r="J9" i="53"/>
  <c r="G9" i="53"/>
  <c r="C9" i="53"/>
  <c r="J7" i="53"/>
  <c r="G7" i="53"/>
  <c r="C7" i="53"/>
  <c r="J11" i="53"/>
  <c r="G11" i="53"/>
  <c r="C11" i="53"/>
  <c r="J5" i="53"/>
  <c r="G5" i="53"/>
  <c r="C5" i="53"/>
  <c r="J6" i="53"/>
  <c r="G6" i="53"/>
  <c r="C6" i="53"/>
  <c r="J4" i="53"/>
  <c r="G4" i="53"/>
  <c r="C4" i="53"/>
  <c r="G29" i="52"/>
  <c r="E29" i="52"/>
  <c r="C29" i="52"/>
  <c r="A29" i="52"/>
  <c r="G28" i="52"/>
  <c r="E28" i="52"/>
  <c r="C28" i="52"/>
  <c r="A28" i="52"/>
  <c r="G27" i="52"/>
  <c r="A27" i="52"/>
  <c r="G26" i="52"/>
  <c r="A26" i="52"/>
  <c r="C22" i="52"/>
  <c r="C23" i="52"/>
  <c r="A23" i="52"/>
  <c r="A22" i="52"/>
  <c r="J18" i="52"/>
  <c r="G18" i="52"/>
  <c r="C18" i="52"/>
  <c r="J17" i="52"/>
  <c r="G17" i="52"/>
  <c r="C17" i="52"/>
  <c r="J16" i="52"/>
  <c r="G16" i="52"/>
  <c r="C16" i="52"/>
  <c r="J15" i="52"/>
  <c r="G15" i="52"/>
  <c r="C15" i="52"/>
  <c r="J14" i="52"/>
  <c r="G14" i="52"/>
  <c r="C14" i="52"/>
  <c r="J13" i="52"/>
  <c r="G13" i="52"/>
  <c r="C13" i="52"/>
  <c r="J12" i="52"/>
  <c r="G12" i="52"/>
  <c r="C12" i="52"/>
  <c r="J11" i="52"/>
  <c r="G11" i="52"/>
  <c r="C11" i="52"/>
  <c r="J10" i="52"/>
  <c r="G10" i="52"/>
  <c r="C10" i="52"/>
  <c r="J9" i="52"/>
  <c r="G9" i="52"/>
  <c r="C9" i="52"/>
  <c r="J8" i="52"/>
  <c r="G8" i="52"/>
  <c r="C8" i="52"/>
  <c r="J7" i="52"/>
  <c r="G7" i="52"/>
  <c r="C7" i="52"/>
  <c r="J6" i="52"/>
  <c r="G6" i="52"/>
  <c r="C6" i="52"/>
  <c r="J5" i="52"/>
  <c r="G5" i="52"/>
  <c r="C5" i="52"/>
  <c r="J4" i="52"/>
  <c r="G4" i="52"/>
  <c r="C4" i="52"/>
  <c r="J3" i="52"/>
  <c r="G3" i="52"/>
  <c r="C3" i="52"/>
  <c r="J18" i="51"/>
  <c r="G18" i="51"/>
  <c r="C18" i="51"/>
  <c r="J17" i="51"/>
  <c r="G17" i="51"/>
  <c r="C17" i="51"/>
  <c r="J16" i="51"/>
  <c r="G16" i="51"/>
  <c r="C16" i="51"/>
  <c r="J15" i="51"/>
  <c r="G15" i="51"/>
  <c r="C15" i="51"/>
  <c r="J14" i="51"/>
  <c r="G14" i="51"/>
  <c r="C14" i="51"/>
  <c r="J13" i="51"/>
  <c r="G13" i="51"/>
  <c r="C13" i="51"/>
  <c r="J12" i="51"/>
  <c r="G12" i="51"/>
  <c r="C12" i="51"/>
  <c r="J11" i="51"/>
  <c r="G11" i="51"/>
  <c r="C11" i="51"/>
  <c r="J10" i="51"/>
  <c r="G10" i="51"/>
  <c r="C10" i="51"/>
  <c r="J9" i="51"/>
  <c r="G9" i="51"/>
  <c r="C9" i="51"/>
  <c r="J8" i="51"/>
  <c r="G8" i="51"/>
  <c r="C8" i="51"/>
  <c r="J7" i="51"/>
  <c r="G7" i="51"/>
  <c r="C7" i="51"/>
  <c r="J6" i="51"/>
  <c r="G6" i="51"/>
  <c r="C6" i="51"/>
  <c r="J5" i="51"/>
  <c r="G5" i="51"/>
  <c r="C5" i="51"/>
  <c r="J4" i="51"/>
  <c r="G4" i="51"/>
  <c r="C4" i="51"/>
  <c r="J3" i="51"/>
  <c r="G3" i="51"/>
  <c r="C3" i="51"/>
  <c r="A29" i="50"/>
  <c r="C26" i="50"/>
  <c r="A26" i="50"/>
  <c r="C20" i="50"/>
  <c r="C22" i="50"/>
  <c r="C19" i="50"/>
  <c r="C17" i="50"/>
  <c r="C21" i="50"/>
  <c r="C18" i="50"/>
  <c r="C15" i="50"/>
  <c r="C16" i="50"/>
  <c r="C13" i="50"/>
  <c r="C14" i="50"/>
  <c r="J17" i="50"/>
  <c r="J19" i="50"/>
  <c r="J22" i="50"/>
  <c r="J20" i="50"/>
  <c r="G17" i="50"/>
  <c r="G19" i="50"/>
  <c r="G22" i="50"/>
  <c r="G20" i="50"/>
  <c r="C9" i="50"/>
  <c r="C8" i="50"/>
  <c r="C7" i="50"/>
  <c r="C6" i="50"/>
  <c r="C5" i="50"/>
  <c r="C4" i="50"/>
  <c r="J21" i="50"/>
  <c r="G21" i="50"/>
  <c r="J18" i="50"/>
  <c r="G18" i="50"/>
  <c r="J15" i="50"/>
  <c r="G15" i="50"/>
  <c r="J16" i="50"/>
  <c r="G16" i="50"/>
  <c r="J13" i="50"/>
  <c r="G13" i="50"/>
  <c r="J14" i="50"/>
  <c r="G14" i="50"/>
  <c r="J9" i="50"/>
  <c r="G9" i="50"/>
  <c r="J8" i="50"/>
  <c r="G8" i="50"/>
  <c r="J7" i="50"/>
  <c r="G7" i="50"/>
  <c r="J6" i="50"/>
  <c r="G6" i="50"/>
  <c r="J5" i="50"/>
  <c r="G5" i="50"/>
  <c r="J4" i="50"/>
  <c r="G4" i="50"/>
  <c r="G23" i="49"/>
  <c r="E23" i="49"/>
  <c r="C23" i="49"/>
  <c r="A23" i="49"/>
  <c r="U20" i="49"/>
  <c r="R20" i="49"/>
  <c r="N20" i="49"/>
  <c r="U19" i="49"/>
  <c r="R19" i="49"/>
  <c r="N19" i="49"/>
  <c r="U18" i="49"/>
  <c r="R18" i="49"/>
  <c r="N18" i="49"/>
  <c r="U17" i="49"/>
  <c r="R17" i="49"/>
  <c r="N17" i="49"/>
  <c r="U16" i="49"/>
  <c r="R16" i="49"/>
  <c r="N16" i="49"/>
  <c r="U15" i="49"/>
  <c r="R15" i="49"/>
  <c r="N15" i="49"/>
  <c r="U14" i="49"/>
  <c r="R14" i="49"/>
  <c r="N14" i="49"/>
  <c r="U13" i="49"/>
  <c r="R13" i="49"/>
  <c r="N13" i="49"/>
  <c r="U12" i="49"/>
  <c r="R12" i="49"/>
  <c r="N12" i="49"/>
  <c r="U11" i="49"/>
  <c r="R11" i="49"/>
  <c r="N11" i="49"/>
  <c r="U10" i="49"/>
  <c r="R10" i="49"/>
  <c r="N10" i="49"/>
  <c r="U9" i="49"/>
  <c r="R9" i="49"/>
  <c r="N9" i="49"/>
  <c r="U8" i="49"/>
  <c r="R8" i="49"/>
  <c r="N8" i="49"/>
  <c r="U7" i="49"/>
  <c r="R7" i="49"/>
  <c r="N7" i="49"/>
  <c r="U6" i="49"/>
  <c r="R6" i="49"/>
  <c r="N6" i="49"/>
  <c r="U5" i="49"/>
  <c r="R5" i="49"/>
  <c r="N5" i="49"/>
  <c r="U4" i="49"/>
  <c r="R4" i="49"/>
  <c r="N4" i="49"/>
  <c r="U3" i="49"/>
  <c r="R3" i="49"/>
  <c r="N3" i="49"/>
  <c r="J20" i="49"/>
  <c r="G20" i="49"/>
  <c r="C20" i="49"/>
  <c r="J19" i="49"/>
  <c r="G19" i="49"/>
  <c r="C19" i="49"/>
  <c r="J18" i="49"/>
  <c r="G18" i="49"/>
  <c r="C18" i="49"/>
  <c r="J17" i="49"/>
  <c r="G17" i="49"/>
  <c r="C17" i="49"/>
  <c r="J16" i="49"/>
  <c r="G16" i="49"/>
  <c r="C16" i="49"/>
  <c r="J15" i="49"/>
  <c r="G15" i="49"/>
  <c r="C15" i="49"/>
  <c r="J14" i="49"/>
  <c r="G14" i="49"/>
  <c r="C14" i="49"/>
  <c r="J13" i="49"/>
  <c r="G13" i="49"/>
  <c r="C13" i="49"/>
  <c r="J12" i="49"/>
  <c r="G12" i="49"/>
  <c r="C12" i="49"/>
  <c r="J11" i="49"/>
  <c r="G11" i="49"/>
  <c r="C11" i="49"/>
  <c r="J10" i="49"/>
  <c r="G10" i="49"/>
  <c r="C10" i="49"/>
  <c r="J9" i="49"/>
  <c r="G9" i="49"/>
  <c r="C9" i="49"/>
  <c r="J8" i="49"/>
  <c r="G8" i="49"/>
  <c r="C8" i="49"/>
  <c r="J7" i="49"/>
  <c r="G7" i="49"/>
  <c r="C7" i="49"/>
  <c r="J6" i="49"/>
  <c r="G6" i="49"/>
  <c r="C6" i="49"/>
  <c r="J5" i="49"/>
  <c r="G5" i="49"/>
  <c r="C5" i="49"/>
  <c r="J4" i="49"/>
  <c r="G4" i="49"/>
  <c r="C4" i="49"/>
  <c r="J3" i="49"/>
  <c r="G3" i="49"/>
  <c r="C3" i="49"/>
  <c r="N23" i="48"/>
  <c r="N24" i="48"/>
  <c r="L24" i="48"/>
  <c r="L23" i="48"/>
  <c r="U20" i="48"/>
  <c r="R20" i="48"/>
  <c r="N20" i="48"/>
  <c r="U19" i="48"/>
  <c r="R19" i="48"/>
  <c r="N19" i="48"/>
  <c r="U18" i="48"/>
  <c r="R18" i="48"/>
  <c r="N18" i="48"/>
  <c r="U17" i="48"/>
  <c r="R17" i="48"/>
  <c r="N17" i="48"/>
  <c r="U16" i="48"/>
  <c r="R16" i="48"/>
  <c r="N16" i="48"/>
  <c r="U15" i="48"/>
  <c r="R15" i="48"/>
  <c r="N15" i="48"/>
  <c r="U14" i="48"/>
  <c r="R14" i="48"/>
  <c r="N14" i="48"/>
  <c r="U13" i="48"/>
  <c r="R13" i="48"/>
  <c r="N13" i="48"/>
  <c r="U12" i="48"/>
  <c r="R12" i="48"/>
  <c r="N12" i="48"/>
  <c r="U11" i="48"/>
  <c r="R11" i="48"/>
  <c r="N11" i="48"/>
  <c r="U10" i="48"/>
  <c r="R10" i="48"/>
  <c r="N10" i="48"/>
  <c r="U9" i="48"/>
  <c r="R9" i="48"/>
  <c r="N9" i="48"/>
  <c r="U8" i="48"/>
  <c r="R8" i="48"/>
  <c r="N8" i="48"/>
  <c r="U7" i="48"/>
  <c r="R7" i="48"/>
  <c r="N7" i="48"/>
  <c r="U6" i="48"/>
  <c r="R6" i="48"/>
  <c r="N6" i="48"/>
  <c r="U5" i="48"/>
  <c r="R5" i="48"/>
  <c r="N5" i="48"/>
  <c r="U4" i="48"/>
  <c r="R4" i="48"/>
  <c r="N4" i="48"/>
  <c r="U3" i="48"/>
  <c r="R3" i="48"/>
  <c r="N3" i="48"/>
  <c r="J19" i="48"/>
  <c r="J20" i="48"/>
  <c r="G19" i="48"/>
  <c r="G20" i="48"/>
  <c r="C19" i="48"/>
  <c r="C20" i="48"/>
  <c r="C9" i="48"/>
  <c r="C10" i="48"/>
  <c r="C11" i="48"/>
  <c r="C12" i="48"/>
  <c r="C13" i="48"/>
  <c r="C14" i="48"/>
  <c r="C15" i="48"/>
  <c r="C16" i="48"/>
  <c r="C17" i="48"/>
  <c r="C18" i="48"/>
  <c r="C8" i="48"/>
  <c r="C7" i="48"/>
  <c r="C6" i="48"/>
  <c r="C5" i="48"/>
  <c r="C4" i="48"/>
  <c r="C3" i="48"/>
  <c r="J18" i="48"/>
  <c r="G18" i="48"/>
  <c r="J17" i="48"/>
  <c r="G17" i="48"/>
  <c r="J16" i="48"/>
  <c r="G16" i="48"/>
  <c r="J15" i="48"/>
  <c r="G15" i="48"/>
  <c r="J14" i="48"/>
  <c r="G14" i="48"/>
  <c r="J13" i="48"/>
  <c r="G13" i="48"/>
  <c r="J12" i="48"/>
  <c r="G12" i="48"/>
  <c r="J11" i="48"/>
  <c r="G11" i="48"/>
  <c r="J10" i="48"/>
  <c r="G10" i="48"/>
  <c r="J9" i="48"/>
  <c r="G9" i="48"/>
  <c r="J8" i="48"/>
  <c r="G8" i="48"/>
  <c r="J7" i="48"/>
  <c r="G7" i="48"/>
  <c r="J6" i="48"/>
  <c r="G6" i="48"/>
  <c r="J5" i="48"/>
  <c r="G5" i="48"/>
  <c r="J4" i="48"/>
  <c r="G4" i="48"/>
  <c r="J3" i="48"/>
  <c r="G3" i="48"/>
  <c r="A29" i="47"/>
  <c r="C23" i="47"/>
  <c r="A23" i="47"/>
  <c r="C22" i="47"/>
  <c r="A22" i="47"/>
  <c r="J18" i="47"/>
  <c r="G18" i="47"/>
  <c r="C18" i="47"/>
  <c r="J16" i="47"/>
  <c r="G16" i="47"/>
  <c r="C16" i="47"/>
  <c r="J17" i="47"/>
  <c r="G17" i="47"/>
  <c r="C17" i="47"/>
  <c r="J15" i="47"/>
  <c r="G15" i="47"/>
  <c r="C15" i="47"/>
  <c r="J14" i="47"/>
  <c r="G14" i="47"/>
  <c r="C14" i="47"/>
  <c r="J13" i="47"/>
  <c r="G13" i="47"/>
  <c r="C13" i="47"/>
  <c r="C9" i="47"/>
  <c r="C7" i="47"/>
  <c r="C8" i="47"/>
  <c r="C6" i="47"/>
  <c r="C5" i="47"/>
  <c r="C4" i="47"/>
  <c r="J9" i="47"/>
  <c r="G9" i="47"/>
  <c r="J7" i="47"/>
  <c r="G7" i="47"/>
  <c r="J8" i="47"/>
  <c r="G8" i="47"/>
  <c r="J6" i="47"/>
  <c r="G6" i="47"/>
  <c r="J5" i="47"/>
  <c r="G5" i="47"/>
  <c r="J4" i="47"/>
  <c r="G4" i="47"/>
  <c r="J12" i="45"/>
  <c r="G12" i="45"/>
  <c r="C12" i="45"/>
  <c r="J11" i="45"/>
  <c r="G11" i="45"/>
  <c r="C11" i="45"/>
  <c r="J10" i="45"/>
  <c r="G10" i="45"/>
  <c r="C10" i="45"/>
  <c r="J9" i="45"/>
  <c r="G9" i="45"/>
  <c r="C9" i="45"/>
  <c r="J8" i="45"/>
  <c r="G8" i="45"/>
  <c r="C8" i="45"/>
  <c r="J7" i="45"/>
  <c r="G7" i="45"/>
  <c r="C7" i="45"/>
  <c r="J6" i="45"/>
  <c r="G6" i="45"/>
  <c r="C6" i="45"/>
  <c r="J5" i="45"/>
  <c r="G5" i="45"/>
  <c r="C5" i="45"/>
  <c r="J4" i="45"/>
  <c r="G4" i="45"/>
  <c r="C4" i="45"/>
  <c r="J3" i="45"/>
  <c r="G3" i="45"/>
  <c r="C3" i="45"/>
  <c r="C9" i="44"/>
  <c r="C8" i="44"/>
  <c r="C7" i="44"/>
  <c r="C4" i="44"/>
  <c r="C6" i="44"/>
  <c r="C5" i="44"/>
  <c r="J9" i="44"/>
  <c r="G9" i="44"/>
  <c r="J8" i="44"/>
  <c r="G8" i="44"/>
  <c r="J7" i="44"/>
  <c r="G7" i="44"/>
  <c r="J4" i="44"/>
  <c r="G4" i="44"/>
  <c r="J6" i="44"/>
  <c r="G6" i="44"/>
  <c r="J5" i="44"/>
  <c r="G5" i="44"/>
  <c r="J14" i="43"/>
  <c r="G14" i="43"/>
  <c r="C14" i="43"/>
  <c r="J13" i="43"/>
  <c r="G13" i="43"/>
  <c r="C13" i="43"/>
  <c r="J12" i="43"/>
  <c r="G12" i="43"/>
  <c r="C12" i="43"/>
  <c r="J11" i="43"/>
  <c r="G11" i="43"/>
  <c r="C11" i="43"/>
  <c r="J10" i="43"/>
  <c r="G10" i="43"/>
  <c r="C10" i="43"/>
  <c r="J9" i="43"/>
  <c r="G9" i="43"/>
  <c r="C9" i="43"/>
  <c r="J8" i="43"/>
  <c r="G8" i="43"/>
  <c r="C8" i="43"/>
  <c r="J7" i="43"/>
  <c r="G7" i="43"/>
  <c r="C7" i="43"/>
  <c r="J6" i="43"/>
  <c r="G6" i="43"/>
  <c r="C6" i="43"/>
  <c r="J5" i="43"/>
  <c r="G5" i="43"/>
  <c r="C5" i="43"/>
  <c r="J4" i="43"/>
  <c r="G4" i="43"/>
  <c r="C4" i="43"/>
  <c r="J3" i="43"/>
  <c r="G3" i="43"/>
  <c r="C3" i="43"/>
  <c r="J9" i="42"/>
  <c r="G9" i="42"/>
  <c r="C9" i="42"/>
  <c r="J8" i="42"/>
  <c r="G8" i="42"/>
  <c r="C8" i="42"/>
  <c r="J7" i="42"/>
  <c r="G7" i="42"/>
  <c r="C7" i="42"/>
  <c r="J6" i="42"/>
  <c r="G6" i="42"/>
  <c r="C6" i="42"/>
  <c r="J5" i="42"/>
  <c r="G5" i="42"/>
  <c r="C5" i="42"/>
  <c r="J4" i="42"/>
  <c r="G4" i="42"/>
  <c r="C4" i="42"/>
  <c r="C13" i="41"/>
  <c r="C14" i="41"/>
  <c r="C15" i="41"/>
  <c r="C16" i="41"/>
  <c r="C17" i="41"/>
  <c r="C18" i="41"/>
  <c r="C12" i="41"/>
  <c r="C11" i="41"/>
  <c r="C10" i="41"/>
  <c r="C9" i="41"/>
  <c r="C8" i="41"/>
  <c r="C7" i="41"/>
  <c r="C6" i="41"/>
  <c r="C5" i="41"/>
  <c r="C4" i="41"/>
  <c r="C3" i="41"/>
  <c r="J18" i="41"/>
  <c r="G18" i="41"/>
  <c r="J17" i="41"/>
  <c r="G17" i="41"/>
  <c r="J16" i="41"/>
  <c r="G16" i="41"/>
  <c r="J15" i="41"/>
  <c r="G15" i="41"/>
  <c r="J14" i="41"/>
  <c r="G14" i="41"/>
  <c r="J13" i="41"/>
  <c r="G13" i="41"/>
  <c r="J12" i="41"/>
  <c r="G12" i="41"/>
  <c r="J11" i="41"/>
  <c r="G11" i="41"/>
  <c r="J10" i="41"/>
  <c r="G10" i="41"/>
  <c r="J9" i="41"/>
  <c r="G9" i="41"/>
  <c r="J8" i="41"/>
  <c r="G8" i="41"/>
  <c r="J7" i="41"/>
  <c r="G7" i="41"/>
  <c r="J6" i="41"/>
  <c r="G6" i="41"/>
  <c r="J5" i="41"/>
  <c r="G5" i="41"/>
  <c r="J4" i="41"/>
  <c r="G4" i="41"/>
  <c r="J3" i="41"/>
  <c r="G3" i="41"/>
  <c r="C10" i="39"/>
  <c r="C8" i="39"/>
  <c r="C11" i="39"/>
  <c r="C12" i="39"/>
  <c r="C6" i="39"/>
  <c r="C9" i="39"/>
  <c r="C7" i="39"/>
  <c r="C4" i="39"/>
  <c r="C5" i="39"/>
  <c r="C3" i="39"/>
  <c r="J10" i="39"/>
  <c r="G10" i="39"/>
  <c r="J8" i="39"/>
  <c r="G8" i="39"/>
  <c r="J11" i="39"/>
  <c r="G11" i="39"/>
  <c r="J12" i="39"/>
  <c r="G12" i="39"/>
  <c r="J6" i="39"/>
  <c r="G6" i="39"/>
  <c r="J9" i="39"/>
  <c r="G9" i="39"/>
  <c r="J7" i="39"/>
  <c r="G7" i="39"/>
  <c r="J4" i="39"/>
  <c r="G4" i="39"/>
  <c r="J5" i="39"/>
  <c r="G5" i="39"/>
  <c r="J3" i="39"/>
  <c r="G3" i="39"/>
  <c r="AF119" i="38"/>
  <c r="AC119" i="38"/>
  <c r="Y119" i="38"/>
  <c r="AF118" i="38"/>
  <c r="AC118" i="38"/>
  <c r="Y118" i="38"/>
  <c r="AF117" i="38"/>
  <c r="AC117" i="38"/>
  <c r="Y117" i="38"/>
  <c r="W91" i="38"/>
  <c r="Y33" i="38"/>
  <c r="W88" i="38"/>
  <c r="W85" i="38"/>
  <c r="Y82" i="38"/>
  <c r="Y81" i="38"/>
  <c r="Y80" i="38"/>
  <c r="W82" i="38"/>
  <c r="W81" i="38"/>
  <c r="W80" i="38"/>
  <c r="Y78" i="38"/>
  <c r="W78" i="38"/>
  <c r="Y77" i="38"/>
  <c r="W77" i="38"/>
  <c r="Y76" i="38"/>
  <c r="W76" i="38"/>
  <c r="Y74" i="38"/>
  <c r="W74" i="38"/>
  <c r="Y73" i="38"/>
  <c r="W73" i="38"/>
  <c r="Y72" i="38"/>
  <c r="W72" i="38"/>
  <c r="Y68" i="38"/>
  <c r="Y67" i="38"/>
  <c r="Y23" i="38"/>
  <c r="R37" i="38"/>
  <c r="P37" i="38"/>
  <c r="N37" i="38"/>
  <c r="L37" i="38"/>
  <c r="N27" i="38"/>
  <c r="P31" i="38"/>
  <c r="N31" i="38"/>
  <c r="P30" i="38"/>
  <c r="N30" i="38"/>
  <c r="L27" i="38"/>
  <c r="N26" i="38"/>
  <c r="L26" i="38"/>
  <c r="AF68" i="38"/>
  <c r="AC68" i="38"/>
  <c r="AF67" i="38"/>
  <c r="AC67" i="38"/>
  <c r="AF66" i="38"/>
  <c r="AC66" i="38"/>
  <c r="Y66" i="38"/>
  <c r="AF65" i="38"/>
  <c r="AC65" i="38"/>
  <c r="Y65" i="38"/>
  <c r="AF64" i="38"/>
  <c r="AC64" i="38"/>
  <c r="Y64" i="38"/>
  <c r="AF63" i="38"/>
  <c r="AC63" i="38"/>
  <c r="Y63" i="38"/>
  <c r="AF62" i="38"/>
  <c r="AC62" i="38"/>
  <c r="Y62" i="38"/>
  <c r="AF61" i="38"/>
  <c r="AC61" i="38"/>
  <c r="Y61" i="38"/>
  <c r="AF60" i="38"/>
  <c r="AC60" i="38"/>
  <c r="Y60" i="38"/>
  <c r="AF59" i="38"/>
  <c r="AC59" i="38"/>
  <c r="Y59" i="38"/>
  <c r="AF58" i="38"/>
  <c r="AC58" i="38"/>
  <c r="Y58" i="38"/>
  <c r="AF57" i="38"/>
  <c r="AC57" i="38"/>
  <c r="Y57" i="38"/>
  <c r="AF56" i="38"/>
  <c r="AC56" i="38"/>
  <c r="Y56" i="38"/>
  <c r="AF55" i="38"/>
  <c r="AC55" i="38"/>
  <c r="Y55" i="38"/>
  <c r="AF54" i="38"/>
  <c r="AC54" i="38"/>
  <c r="Y54" i="38"/>
  <c r="AF53" i="38"/>
  <c r="AC53" i="38"/>
  <c r="Y53" i="38"/>
  <c r="AF52" i="38"/>
  <c r="AC52" i="38"/>
  <c r="Y52" i="38"/>
  <c r="AF51" i="38"/>
  <c r="AC51" i="38"/>
  <c r="Y51" i="38"/>
  <c r="AF50" i="38"/>
  <c r="AC50" i="38"/>
  <c r="Y50" i="38"/>
  <c r="AF49" i="38"/>
  <c r="AC49" i="38"/>
  <c r="Y49" i="38"/>
  <c r="AF45" i="38"/>
  <c r="AC45" i="38"/>
  <c r="Y45" i="38"/>
  <c r="AF44" i="38"/>
  <c r="AC44" i="38"/>
  <c r="Y44" i="38"/>
  <c r="AF43" i="38"/>
  <c r="AC43" i="38"/>
  <c r="Y43" i="38"/>
  <c r="AF42" i="38"/>
  <c r="AC42" i="38"/>
  <c r="Y42" i="38"/>
  <c r="AF41" i="38"/>
  <c r="AC41" i="38"/>
  <c r="Y41" i="38"/>
  <c r="AF40" i="38"/>
  <c r="AC40" i="38"/>
  <c r="Y40" i="38"/>
  <c r="AF39" i="38"/>
  <c r="AC39" i="38"/>
  <c r="Y39" i="38"/>
  <c r="AF38" i="38"/>
  <c r="AC38" i="38"/>
  <c r="Y38" i="38"/>
  <c r="AF37" i="38"/>
  <c r="AC37" i="38"/>
  <c r="Y37" i="38"/>
  <c r="AF36" i="38"/>
  <c r="AC36" i="38"/>
  <c r="Y36" i="38"/>
  <c r="AF35" i="38"/>
  <c r="AC35" i="38"/>
  <c r="Y35" i="38"/>
  <c r="AF34" i="38"/>
  <c r="AC34" i="38"/>
  <c r="Y34" i="38"/>
  <c r="AF33" i="38"/>
  <c r="AC33" i="38"/>
  <c r="AF32" i="38"/>
  <c r="AC32" i="38"/>
  <c r="Y32" i="38"/>
  <c r="AF31" i="38"/>
  <c r="AC31" i="38"/>
  <c r="Y31" i="38"/>
  <c r="AF30" i="38"/>
  <c r="AC30" i="38"/>
  <c r="Y30" i="38"/>
  <c r="AF29" i="38"/>
  <c r="AC29" i="38"/>
  <c r="Y29" i="38"/>
  <c r="AF28" i="38"/>
  <c r="AC28" i="38"/>
  <c r="Y28" i="38"/>
  <c r="AF27" i="38"/>
  <c r="AC27" i="38"/>
  <c r="Y27" i="38"/>
  <c r="AF23" i="38"/>
  <c r="AC23" i="38"/>
  <c r="AF22" i="38"/>
  <c r="AC22" i="38"/>
  <c r="Y22" i="38"/>
  <c r="AF21" i="38"/>
  <c r="AC21" i="38"/>
  <c r="Y21" i="38"/>
  <c r="AF20" i="38"/>
  <c r="AC20" i="38"/>
  <c r="Y20" i="38"/>
  <c r="AF19" i="38"/>
  <c r="AC19" i="38"/>
  <c r="Y19" i="38"/>
  <c r="AF18" i="38"/>
  <c r="AC18" i="38"/>
  <c r="Y18" i="38"/>
  <c r="AF17" i="38"/>
  <c r="AC17" i="38"/>
  <c r="Y17" i="38"/>
  <c r="AF16" i="38"/>
  <c r="AC16" i="38"/>
  <c r="Y16" i="38"/>
  <c r="AF15" i="38"/>
  <c r="AC15" i="38"/>
  <c r="Y15" i="38"/>
  <c r="AF14" i="38"/>
  <c r="AC14" i="38"/>
  <c r="Y14" i="38"/>
  <c r="AF13" i="38"/>
  <c r="AC13" i="38"/>
  <c r="Y13" i="38"/>
  <c r="AF12" i="38"/>
  <c r="AC12" i="38"/>
  <c r="Y12" i="38"/>
  <c r="AF11" i="38"/>
  <c r="AC11" i="38"/>
  <c r="Y11" i="38"/>
  <c r="AF10" i="38"/>
  <c r="AC10" i="38"/>
  <c r="Y10" i="38"/>
  <c r="AF9" i="38"/>
  <c r="AC9" i="38"/>
  <c r="Y9" i="38"/>
  <c r="AF8" i="38"/>
  <c r="AC8" i="38"/>
  <c r="Y8" i="38"/>
  <c r="AF7" i="38"/>
  <c r="AC7" i="38"/>
  <c r="Y7" i="38"/>
  <c r="AF6" i="38"/>
  <c r="AC6" i="38"/>
  <c r="Y6" i="38"/>
  <c r="AF5" i="38"/>
  <c r="AC5" i="38"/>
  <c r="Y5" i="38"/>
  <c r="AF4" i="38"/>
  <c r="AC4" i="38"/>
  <c r="Y4" i="38"/>
  <c r="U22" i="38"/>
  <c r="R22" i="38"/>
  <c r="N22" i="38"/>
  <c r="U21" i="38"/>
  <c r="R21" i="38"/>
  <c r="N21" i="38"/>
  <c r="U20" i="38"/>
  <c r="R20" i="38"/>
  <c r="N20" i="38"/>
  <c r="U19" i="38"/>
  <c r="R19" i="38"/>
  <c r="N19" i="38"/>
  <c r="U18" i="38"/>
  <c r="R18" i="38"/>
  <c r="N18" i="38"/>
  <c r="U17" i="38"/>
  <c r="R17" i="38"/>
  <c r="N17" i="38"/>
  <c r="U16" i="38"/>
  <c r="R16" i="38"/>
  <c r="N16" i="38"/>
  <c r="U15" i="38"/>
  <c r="R15" i="38"/>
  <c r="N15" i="38"/>
  <c r="U14" i="38"/>
  <c r="R14" i="38"/>
  <c r="N14" i="38"/>
  <c r="U13" i="38"/>
  <c r="R13" i="38"/>
  <c r="N13" i="38"/>
  <c r="U12" i="38"/>
  <c r="R12" i="38"/>
  <c r="N12" i="38"/>
  <c r="U11" i="38"/>
  <c r="R11" i="38"/>
  <c r="N11" i="38"/>
  <c r="U10" i="38"/>
  <c r="R10" i="38"/>
  <c r="N10" i="38"/>
  <c r="U9" i="38"/>
  <c r="R9" i="38"/>
  <c r="N9" i="38"/>
  <c r="U8" i="38"/>
  <c r="R8" i="38"/>
  <c r="N8" i="38"/>
  <c r="U7" i="38"/>
  <c r="R7" i="38"/>
  <c r="N7" i="38"/>
  <c r="U6" i="38"/>
  <c r="R6" i="38"/>
  <c r="N6" i="38"/>
  <c r="U5" i="38"/>
  <c r="R5" i="38"/>
  <c r="N5" i="38"/>
  <c r="U4" i="38"/>
  <c r="R4" i="38"/>
  <c r="N4" i="38"/>
  <c r="U3" i="38"/>
  <c r="R3" i="38"/>
  <c r="N3" i="38"/>
  <c r="J22" i="38"/>
  <c r="G22" i="38"/>
  <c r="C22" i="38"/>
  <c r="J21" i="38"/>
  <c r="G21" i="38"/>
  <c r="C21" i="38"/>
  <c r="J20" i="38"/>
  <c r="G20" i="38"/>
  <c r="C20" i="38"/>
  <c r="J19" i="38"/>
  <c r="G19" i="38"/>
  <c r="C19" i="38"/>
  <c r="J18" i="38"/>
  <c r="G18" i="38"/>
  <c r="C18" i="38"/>
  <c r="J17" i="38"/>
  <c r="G17" i="38"/>
  <c r="C17" i="38"/>
  <c r="J16" i="38"/>
  <c r="G16" i="38"/>
  <c r="C16" i="38"/>
  <c r="J15" i="38"/>
  <c r="G15" i="38"/>
  <c r="C15" i="38"/>
  <c r="J14" i="38"/>
  <c r="G14" i="38"/>
  <c r="C14" i="38"/>
  <c r="J13" i="38"/>
  <c r="G13" i="38"/>
  <c r="C13" i="38"/>
  <c r="J12" i="38"/>
  <c r="G12" i="38"/>
  <c r="C12" i="38"/>
  <c r="J11" i="38"/>
  <c r="G11" i="38"/>
  <c r="C11" i="38"/>
  <c r="J10" i="38"/>
  <c r="G10" i="38"/>
  <c r="C10" i="38"/>
  <c r="J9" i="38"/>
  <c r="G9" i="38"/>
  <c r="C9" i="38"/>
  <c r="J8" i="38"/>
  <c r="G8" i="38"/>
  <c r="C8" i="38"/>
  <c r="J7" i="38"/>
  <c r="G7" i="38"/>
  <c r="C7" i="38"/>
  <c r="J6" i="38"/>
  <c r="G6" i="38"/>
  <c r="C6" i="38"/>
  <c r="J5" i="38"/>
  <c r="G5" i="38"/>
  <c r="C5" i="38"/>
  <c r="J4" i="38"/>
  <c r="G4" i="38"/>
  <c r="C4" i="38"/>
  <c r="J3" i="38"/>
  <c r="G3" i="38"/>
  <c r="C3" i="38"/>
  <c r="J25" i="37"/>
  <c r="G25" i="37"/>
  <c r="C25" i="37"/>
  <c r="J24" i="37"/>
  <c r="G24" i="37"/>
  <c r="C24" i="37"/>
  <c r="J22" i="37"/>
  <c r="G22" i="37"/>
  <c r="C22" i="37"/>
  <c r="J21" i="37"/>
  <c r="G21" i="37"/>
  <c r="C21" i="37"/>
  <c r="J23" i="37"/>
  <c r="G23" i="37"/>
  <c r="C23" i="37"/>
  <c r="J20" i="37"/>
  <c r="G20" i="37"/>
  <c r="C20" i="37"/>
  <c r="J16" i="37"/>
  <c r="G16" i="37"/>
  <c r="C16" i="37"/>
  <c r="J15" i="37"/>
  <c r="G15" i="37"/>
  <c r="C15" i="37"/>
  <c r="J14" i="37"/>
  <c r="G14" i="37"/>
  <c r="C14" i="37"/>
  <c r="J13" i="37"/>
  <c r="G13" i="37"/>
  <c r="C13" i="37"/>
  <c r="J12" i="37"/>
  <c r="G12" i="37"/>
  <c r="C12" i="37"/>
  <c r="J11" i="37"/>
  <c r="G11" i="37"/>
  <c r="C11" i="37"/>
  <c r="J10" i="37"/>
  <c r="G10" i="37"/>
  <c r="C10" i="37"/>
  <c r="J9" i="37"/>
  <c r="G9" i="37"/>
  <c r="C9" i="37"/>
  <c r="J8" i="37"/>
  <c r="G8" i="37"/>
  <c r="C8" i="37"/>
  <c r="J7" i="37"/>
  <c r="G7" i="37"/>
  <c r="C7" i="37"/>
  <c r="J6" i="37"/>
  <c r="G6" i="37"/>
  <c r="C6" i="37"/>
  <c r="J5" i="37"/>
  <c r="G5" i="37"/>
  <c r="C5" i="37"/>
  <c r="J4" i="37"/>
  <c r="G4" i="37"/>
  <c r="C4" i="37"/>
  <c r="J3" i="37"/>
  <c r="G3" i="37"/>
  <c r="C3" i="37"/>
  <c r="C22" i="36"/>
  <c r="C23" i="36"/>
  <c r="A23" i="36"/>
  <c r="A22" i="36"/>
  <c r="J17" i="36"/>
  <c r="G17" i="36"/>
  <c r="C17" i="36"/>
  <c r="J18" i="36"/>
  <c r="G18" i="36"/>
  <c r="C18" i="36"/>
  <c r="J16" i="36"/>
  <c r="G16" i="36"/>
  <c r="C16" i="36"/>
  <c r="J14" i="36"/>
  <c r="G14" i="36"/>
  <c r="C14" i="36"/>
  <c r="J15" i="36"/>
  <c r="G15" i="36"/>
  <c r="C15" i="36"/>
  <c r="J13" i="36"/>
  <c r="G13" i="36"/>
  <c r="C13" i="36"/>
  <c r="J9" i="36"/>
  <c r="G9" i="36"/>
  <c r="C9" i="36"/>
  <c r="J8" i="36"/>
  <c r="G8" i="36"/>
  <c r="C8" i="36"/>
  <c r="J7" i="36"/>
  <c r="G7" i="36"/>
  <c r="C7" i="36"/>
  <c r="J6" i="36"/>
  <c r="G6" i="36"/>
  <c r="C6" i="36"/>
  <c r="J5" i="36"/>
  <c r="G5" i="36"/>
  <c r="C5" i="36"/>
  <c r="J4" i="36"/>
  <c r="G4" i="36"/>
  <c r="C4" i="36"/>
  <c r="AN31" i="35"/>
  <c r="AL31" i="35"/>
  <c r="AJ31" i="35"/>
  <c r="AH31" i="35"/>
  <c r="AN30" i="35"/>
  <c r="AL30" i="35"/>
  <c r="AJ30" i="35"/>
  <c r="AH30" i="35"/>
  <c r="AQ26" i="35"/>
  <c r="AN26" i="35"/>
  <c r="AJ26" i="35"/>
  <c r="AQ25" i="35"/>
  <c r="AN25" i="35"/>
  <c r="AJ25" i="35"/>
  <c r="AQ24" i="35"/>
  <c r="AN24" i="35"/>
  <c r="AJ24" i="35"/>
  <c r="AQ23" i="35"/>
  <c r="AN23" i="35"/>
  <c r="AJ23" i="35"/>
  <c r="AQ22" i="35"/>
  <c r="AN22" i="35"/>
  <c r="AJ22" i="35"/>
  <c r="AQ21" i="35"/>
  <c r="AN21" i="35"/>
  <c r="AJ21" i="35"/>
  <c r="AQ20" i="35"/>
  <c r="AN20" i="35"/>
  <c r="AJ20" i="35"/>
  <c r="AQ19" i="35"/>
  <c r="AN19" i="35"/>
  <c r="AJ19" i="35"/>
  <c r="AQ18" i="35"/>
  <c r="AN18" i="35"/>
  <c r="AJ18" i="35"/>
  <c r="AQ17" i="35"/>
  <c r="AN17" i="35"/>
  <c r="AJ17" i="35"/>
  <c r="AQ16" i="35"/>
  <c r="AN16" i="35"/>
  <c r="AJ16" i="35"/>
  <c r="AQ15" i="35"/>
  <c r="AN15" i="35"/>
  <c r="AJ15" i="35"/>
  <c r="AQ14" i="35"/>
  <c r="AN14" i="35"/>
  <c r="AJ14" i="35"/>
  <c r="AQ13" i="35"/>
  <c r="AN13" i="35"/>
  <c r="AJ13" i="35"/>
  <c r="AQ12" i="35"/>
  <c r="AN12" i="35"/>
  <c r="AJ12" i="35"/>
  <c r="AQ11" i="35"/>
  <c r="AN11" i="35"/>
  <c r="AJ11" i="35"/>
  <c r="AQ10" i="35"/>
  <c r="AN10" i="35"/>
  <c r="AJ10" i="35"/>
  <c r="AQ9" i="35"/>
  <c r="AN9" i="35"/>
  <c r="AJ9" i="35"/>
  <c r="AQ8" i="35"/>
  <c r="AN8" i="35"/>
  <c r="AJ8" i="35"/>
  <c r="AQ7" i="35"/>
  <c r="AN7" i="35"/>
  <c r="AJ7" i="35"/>
  <c r="AQ6" i="35"/>
  <c r="AN6" i="35"/>
  <c r="AJ6" i="35"/>
  <c r="AQ5" i="35"/>
  <c r="AN5" i="35"/>
  <c r="AJ5" i="35"/>
  <c r="AQ4" i="35"/>
  <c r="AN4" i="35"/>
  <c r="AJ4" i="35"/>
  <c r="AQ3" i="35"/>
  <c r="AN3" i="35"/>
  <c r="AJ3" i="35"/>
  <c r="AC31" i="35"/>
  <c r="AA31" i="35"/>
  <c r="Y31" i="35"/>
  <c r="W31" i="35"/>
  <c r="AC30" i="35"/>
  <c r="AA30" i="35"/>
  <c r="Y30" i="35"/>
  <c r="W30" i="35"/>
  <c r="Y26" i="35"/>
  <c r="Y23" i="35"/>
  <c r="AF26" i="35"/>
  <c r="AC26" i="35"/>
  <c r="AF25" i="35"/>
  <c r="AC25" i="35"/>
  <c r="Y25" i="35"/>
  <c r="AF24" i="35"/>
  <c r="AC24" i="35"/>
  <c r="Y24" i="35"/>
  <c r="AF23" i="35"/>
  <c r="AC23" i="35"/>
  <c r="AF22" i="35"/>
  <c r="AC22" i="35"/>
  <c r="Y22" i="35"/>
  <c r="AF21" i="35"/>
  <c r="AC21" i="35"/>
  <c r="Y21" i="35"/>
  <c r="AF20" i="35"/>
  <c r="AC20" i="35"/>
  <c r="Y20" i="35"/>
  <c r="AF19" i="35"/>
  <c r="AC19" i="35"/>
  <c r="Y19" i="35"/>
  <c r="AF18" i="35"/>
  <c r="AC18" i="35"/>
  <c r="Y18" i="35"/>
  <c r="AF17" i="35"/>
  <c r="AC17" i="35"/>
  <c r="Y17" i="35"/>
  <c r="AF16" i="35"/>
  <c r="AC16" i="35"/>
  <c r="Y16" i="35"/>
  <c r="AF15" i="35"/>
  <c r="AC15" i="35"/>
  <c r="Y15" i="35"/>
  <c r="AF14" i="35"/>
  <c r="AC14" i="35"/>
  <c r="Y14" i="35"/>
  <c r="AF13" i="35"/>
  <c r="AC13" i="35"/>
  <c r="Y13" i="35"/>
  <c r="AF12" i="35"/>
  <c r="AC12" i="35"/>
  <c r="Y12" i="35"/>
  <c r="AF11" i="35"/>
  <c r="AC11" i="35"/>
  <c r="Y11" i="35"/>
  <c r="AF10" i="35"/>
  <c r="AC10" i="35"/>
  <c r="Y10" i="35"/>
  <c r="AF9" i="35"/>
  <c r="AC9" i="35"/>
  <c r="Y9" i="35"/>
  <c r="AF8" i="35"/>
  <c r="AC8" i="35"/>
  <c r="Y8" i="35"/>
  <c r="AF7" i="35"/>
  <c r="AC7" i="35"/>
  <c r="Y7" i="35"/>
  <c r="AF6" i="35"/>
  <c r="AC6" i="35"/>
  <c r="Y6" i="35"/>
  <c r="AF5" i="35"/>
  <c r="AC5" i="35"/>
  <c r="Y5" i="35"/>
  <c r="AF4" i="35"/>
  <c r="AC4" i="35"/>
  <c r="Y4" i="35"/>
  <c r="AF3" i="35"/>
  <c r="AC3" i="35"/>
  <c r="Y3" i="35"/>
  <c r="R31" i="35"/>
  <c r="P31" i="35"/>
  <c r="N31" i="35"/>
  <c r="L31" i="35"/>
  <c r="R30" i="35"/>
  <c r="P30" i="35"/>
  <c r="N30" i="35"/>
  <c r="L30" i="35"/>
  <c r="N23" i="35"/>
  <c r="N26" i="35"/>
  <c r="U25" i="35"/>
  <c r="U26" i="35"/>
  <c r="R25" i="35"/>
  <c r="R26" i="35"/>
  <c r="N25" i="35"/>
  <c r="U24" i="35"/>
  <c r="R24" i="35"/>
  <c r="N24" i="35"/>
  <c r="U23" i="35"/>
  <c r="R23" i="35"/>
  <c r="U22" i="35"/>
  <c r="R22" i="35"/>
  <c r="N22" i="35"/>
  <c r="U21" i="35"/>
  <c r="R21" i="35"/>
  <c r="N21" i="35"/>
  <c r="U20" i="35"/>
  <c r="R20" i="35"/>
  <c r="N20" i="35"/>
  <c r="U19" i="35"/>
  <c r="R19" i="35"/>
  <c r="N19" i="35"/>
  <c r="U18" i="35"/>
  <c r="R18" i="35"/>
  <c r="N18" i="35"/>
  <c r="U17" i="35"/>
  <c r="R17" i="35"/>
  <c r="N17" i="35"/>
  <c r="U16" i="35"/>
  <c r="R16" i="35"/>
  <c r="N16" i="35"/>
  <c r="U15" i="35"/>
  <c r="R15" i="35"/>
  <c r="N15" i="35"/>
  <c r="U14" i="35"/>
  <c r="R14" i="35"/>
  <c r="N14" i="35"/>
  <c r="U13" i="35"/>
  <c r="R13" i="35"/>
  <c r="N13" i="35"/>
  <c r="U12" i="35"/>
  <c r="R12" i="35"/>
  <c r="N12" i="35"/>
  <c r="U11" i="35"/>
  <c r="R11" i="35"/>
  <c r="N11" i="35"/>
  <c r="U10" i="35"/>
  <c r="R10" i="35"/>
  <c r="N10" i="35"/>
  <c r="U9" i="35"/>
  <c r="R9" i="35"/>
  <c r="N9" i="35"/>
  <c r="U8" i="35"/>
  <c r="R8" i="35"/>
  <c r="N8" i="35"/>
  <c r="U7" i="35"/>
  <c r="R7" i="35"/>
  <c r="N7" i="35"/>
  <c r="U6" i="35"/>
  <c r="R6" i="35"/>
  <c r="N6" i="35"/>
  <c r="U5" i="35"/>
  <c r="R5" i="35"/>
  <c r="N5" i="35"/>
  <c r="U4" i="35"/>
  <c r="R4" i="35"/>
  <c r="N4" i="35"/>
  <c r="U3" i="35"/>
  <c r="R3" i="35"/>
  <c r="N3" i="35"/>
  <c r="J22" i="35"/>
  <c r="G22" i="35"/>
  <c r="C22" i="35"/>
  <c r="J21" i="35"/>
  <c r="G21" i="35"/>
  <c r="C21" i="35"/>
  <c r="J20" i="35"/>
  <c r="G20" i="35"/>
  <c r="C20" i="35"/>
  <c r="J19" i="35"/>
  <c r="G19" i="35"/>
  <c r="C19" i="35"/>
  <c r="J18" i="35"/>
  <c r="G18" i="35"/>
  <c r="C18" i="35"/>
  <c r="J17" i="35"/>
  <c r="G17" i="35"/>
  <c r="C17" i="35"/>
  <c r="J16" i="35"/>
  <c r="G16" i="35"/>
  <c r="C16" i="35"/>
  <c r="J15" i="35"/>
  <c r="G15" i="35"/>
  <c r="C15" i="35"/>
  <c r="J14" i="35"/>
  <c r="G14" i="35"/>
  <c r="C14" i="35"/>
  <c r="J13" i="35"/>
  <c r="G13" i="35"/>
  <c r="C13" i="35"/>
  <c r="J12" i="35"/>
  <c r="G12" i="35"/>
  <c r="C12" i="35"/>
  <c r="J11" i="35"/>
  <c r="G11" i="35"/>
  <c r="C11" i="35"/>
  <c r="J10" i="35"/>
  <c r="G10" i="35"/>
  <c r="C10" i="35"/>
  <c r="J9" i="35"/>
  <c r="G9" i="35"/>
  <c r="C9" i="35"/>
  <c r="J8" i="35"/>
  <c r="G8" i="35"/>
  <c r="C8" i="35"/>
  <c r="J7" i="35"/>
  <c r="G7" i="35"/>
  <c r="C7" i="35"/>
  <c r="J6" i="35"/>
  <c r="G6" i="35"/>
  <c r="C6" i="35"/>
  <c r="J5" i="35"/>
  <c r="G5" i="35"/>
  <c r="C5" i="35"/>
  <c r="J4" i="35"/>
  <c r="G4" i="35"/>
  <c r="C4" i="35"/>
  <c r="J3" i="35"/>
  <c r="G3" i="35"/>
  <c r="C3" i="35"/>
  <c r="J13" i="34"/>
  <c r="J14" i="34"/>
  <c r="G13" i="34"/>
  <c r="G14" i="34"/>
  <c r="C13" i="34"/>
  <c r="C14" i="34"/>
  <c r="J12" i="34"/>
  <c r="G12" i="34"/>
  <c r="C12" i="34"/>
  <c r="J11" i="34"/>
  <c r="G11" i="34"/>
  <c r="C11" i="34"/>
  <c r="J10" i="34"/>
  <c r="G10" i="34"/>
  <c r="C10" i="34"/>
  <c r="J9" i="34"/>
  <c r="G9" i="34"/>
  <c r="C9" i="34"/>
  <c r="J8" i="34"/>
  <c r="G8" i="34"/>
  <c r="C8" i="34"/>
  <c r="J7" i="34"/>
  <c r="G7" i="34"/>
  <c r="C7" i="34"/>
  <c r="J6" i="34"/>
  <c r="G6" i="34"/>
  <c r="C6" i="34"/>
  <c r="J5" i="34"/>
  <c r="G5" i="34"/>
  <c r="C5" i="34"/>
  <c r="J4" i="34"/>
  <c r="G4" i="34"/>
  <c r="C4" i="34"/>
  <c r="J3" i="34"/>
  <c r="G3" i="34"/>
  <c r="C3" i="34"/>
  <c r="E31" i="33"/>
  <c r="C31" i="33"/>
  <c r="R27" i="33"/>
  <c r="P27" i="33"/>
  <c r="N27" i="33"/>
  <c r="L27" i="33"/>
  <c r="R26" i="33"/>
  <c r="P26" i="33"/>
  <c r="N26" i="33"/>
  <c r="L26" i="33"/>
  <c r="R25" i="33"/>
  <c r="P25" i="33"/>
  <c r="N25" i="33"/>
  <c r="L25" i="33"/>
  <c r="N19" i="33"/>
  <c r="C23" i="33"/>
  <c r="C24" i="33"/>
  <c r="A24" i="33"/>
  <c r="A23" i="33"/>
  <c r="R21" i="33"/>
  <c r="R22" i="33"/>
  <c r="U21" i="33"/>
  <c r="U22" i="33"/>
  <c r="N21" i="33"/>
  <c r="N22" i="33"/>
  <c r="U20" i="33"/>
  <c r="R20" i="33"/>
  <c r="N20" i="33"/>
  <c r="U19" i="33"/>
  <c r="R19" i="33"/>
  <c r="U18" i="33"/>
  <c r="R18" i="33"/>
  <c r="N18" i="33"/>
  <c r="U17" i="33"/>
  <c r="R17" i="33"/>
  <c r="N17" i="33"/>
  <c r="U16" i="33"/>
  <c r="R16" i="33"/>
  <c r="N16" i="33"/>
  <c r="U15" i="33"/>
  <c r="R15" i="33"/>
  <c r="N15" i="33"/>
  <c r="U14" i="33"/>
  <c r="R14" i="33"/>
  <c r="N14" i="33"/>
  <c r="U13" i="33"/>
  <c r="R13" i="33"/>
  <c r="N13" i="33"/>
  <c r="U12" i="33"/>
  <c r="R12" i="33"/>
  <c r="N12" i="33"/>
  <c r="U11" i="33"/>
  <c r="R11" i="33"/>
  <c r="N11" i="33"/>
  <c r="U10" i="33"/>
  <c r="R10" i="33"/>
  <c r="N10" i="33"/>
  <c r="U9" i="33"/>
  <c r="R9" i="33"/>
  <c r="N9" i="33"/>
  <c r="U8" i="33"/>
  <c r="R8" i="33"/>
  <c r="N8" i="33"/>
  <c r="U7" i="33"/>
  <c r="R7" i="33"/>
  <c r="N7" i="33"/>
  <c r="U6" i="33"/>
  <c r="R6" i="33"/>
  <c r="N6" i="33"/>
  <c r="U5" i="33"/>
  <c r="R5" i="33"/>
  <c r="N5" i="33"/>
  <c r="U4" i="33"/>
  <c r="R4" i="33"/>
  <c r="N4" i="33"/>
  <c r="U3" i="33"/>
  <c r="R3" i="33"/>
  <c r="N3" i="33"/>
  <c r="J20" i="33"/>
  <c r="G20" i="33"/>
  <c r="C20" i="33"/>
  <c r="J19" i="33"/>
  <c r="G19" i="33"/>
  <c r="C19" i="33"/>
  <c r="J18" i="33"/>
  <c r="G18" i="33"/>
  <c r="C18" i="33"/>
  <c r="J17" i="33"/>
  <c r="G17" i="33"/>
  <c r="C17" i="33"/>
  <c r="J16" i="33"/>
  <c r="G16" i="33"/>
  <c r="C16" i="33"/>
  <c r="J15" i="33"/>
  <c r="G15" i="33"/>
  <c r="C15" i="33"/>
  <c r="J14" i="33"/>
  <c r="G14" i="33"/>
  <c r="C14" i="33"/>
  <c r="J13" i="33"/>
  <c r="G13" i="33"/>
  <c r="C13" i="33"/>
  <c r="J12" i="33"/>
  <c r="G12" i="33"/>
  <c r="C12" i="33"/>
  <c r="J11" i="33"/>
  <c r="G11" i="33"/>
  <c r="C11" i="33"/>
  <c r="J10" i="33"/>
  <c r="G10" i="33"/>
  <c r="C10" i="33"/>
  <c r="J9" i="33"/>
  <c r="G9" i="33"/>
  <c r="C9" i="33"/>
  <c r="J8" i="33"/>
  <c r="G8" i="33"/>
  <c r="C8" i="33"/>
  <c r="J7" i="33"/>
  <c r="G7" i="33"/>
  <c r="C7" i="33"/>
  <c r="J6" i="33"/>
  <c r="G6" i="33"/>
  <c r="C6" i="33"/>
  <c r="J5" i="33"/>
  <c r="G5" i="33"/>
  <c r="C5" i="33"/>
  <c r="J4" i="33"/>
  <c r="G4" i="33"/>
  <c r="C4" i="33"/>
  <c r="J3" i="33"/>
  <c r="G3" i="33"/>
  <c r="C3" i="33"/>
  <c r="J12" i="32"/>
  <c r="G12" i="32"/>
  <c r="J13" i="32"/>
  <c r="G13" i="32"/>
  <c r="J14" i="32"/>
  <c r="G14" i="32"/>
  <c r="J11" i="32"/>
  <c r="G11" i="32"/>
  <c r="J7" i="32"/>
  <c r="G7" i="32"/>
  <c r="C7" i="32"/>
  <c r="J6" i="32"/>
  <c r="G6" i="32"/>
  <c r="C6" i="32"/>
  <c r="J5" i="32"/>
  <c r="G5" i="32"/>
  <c r="C5" i="32"/>
  <c r="J4" i="32"/>
  <c r="G4" i="32"/>
  <c r="C4" i="32"/>
  <c r="J9" i="31"/>
  <c r="G9" i="31"/>
  <c r="C9" i="31"/>
  <c r="J8" i="31"/>
  <c r="G8" i="31"/>
  <c r="C8" i="31"/>
  <c r="J7" i="31"/>
  <c r="G7" i="31"/>
  <c r="C7" i="31"/>
  <c r="J6" i="31"/>
  <c r="G6" i="31"/>
  <c r="C6" i="31"/>
  <c r="J5" i="31"/>
  <c r="G5" i="31"/>
  <c r="C5" i="31"/>
  <c r="J4" i="31"/>
  <c r="G4" i="31"/>
  <c r="C4" i="31"/>
  <c r="J10" i="30"/>
  <c r="G10" i="30"/>
  <c r="C10" i="30"/>
  <c r="J7" i="30"/>
  <c r="G7" i="30"/>
  <c r="C7" i="30"/>
  <c r="J11" i="30"/>
  <c r="G11" i="30"/>
  <c r="C11" i="30"/>
  <c r="J12" i="30"/>
  <c r="G12" i="30"/>
  <c r="C12" i="30"/>
  <c r="J9" i="30"/>
  <c r="G9" i="30"/>
  <c r="C9" i="30"/>
  <c r="J8" i="30"/>
  <c r="G8" i="30"/>
  <c r="C8" i="30"/>
  <c r="J5" i="30"/>
  <c r="G5" i="30"/>
  <c r="C5" i="30"/>
  <c r="J6" i="30"/>
  <c r="G6" i="30"/>
  <c r="C6" i="30"/>
  <c r="J4" i="30"/>
  <c r="G4" i="30"/>
  <c r="C4" i="30"/>
  <c r="J3" i="30"/>
  <c r="G3" i="30"/>
  <c r="C3" i="30"/>
  <c r="P30" i="29"/>
  <c r="N30" i="29"/>
  <c r="E23" i="29"/>
  <c r="C23" i="29"/>
  <c r="L27" i="29"/>
  <c r="N24" i="29"/>
  <c r="L24" i="29"/>
  <c r="AF19" i="29"/>
  <c r="AC19" i="29"/>
  <c r="Y19" i="29"/>
  <c r="AF18" i="29"/>
  <c r="AC18" i="29"/>
  <c r="Y18" i="29"/>
  <c r="AF17" i="29"/>
  <c r="AC17" i="29"/>
  <c r="Y17" i="29"/>
  <c r="AF16" i="29"/>
  <c r="AC16" i="29"/>
  <c r="Y16" i="29"/>
  <c r="AF15" i="29"/>
  <c r="AC15" i="29"/>
  <c r="Y15" i="29"/>
  <c r="AF14" i="29"/>
  <c r="AC14" i="29"/>
  <c r="Y14" i="29"/>
  <c r="AF13" i="29"/>
  <c r="AC13" i="29"/>
  <c r="Y13" i="29"/>
  <c r="AF12" i="29"/>
  <c r="AC12" i="29"/>
  <c r="Y12" i="29"/>
  <c r="AF11" i="29"/>
  <c r="AC11" i="29"/>
  <c r="Y11" i="29"/>
  <c r="AF10" i="29"/>
  <c r="AC10" i="29"/>
  <c r="Y10" i="29"/>
  <c r="AF9" i="29"/>
  <c r="AC9" i="29"/>
  <c r="Y9" i="29"/>
  <c r="AF8" i="29"/>
  <c r="AC8" i="29"/>
  <c r="Y8" i="29"/>
  <c r="AF7" i="29"/>
  <c r="AC7" i="29"/>
  <c r="Y7" i="29"/>
  <c r="AF6" i="29"/>
  <c r="AC6" i="29"/>
  <c r="Y6" i="29"/>
  <c r="AF5" i="29"/>
  <c r="AC5" i="29"/>
  <c r="Y5" i="29"/>
  <c r="AF4" i="29"/>
  <c r="AC4" i="29"/>
  <c r="Y4" i="29"/>
  <c r="AF3" i="29"/>
  <c r="AC3" i="29"/>
  <c r="Y3" i="29"/>
  <c r="U20" i="29"/>
  <c r="R20" i="29"/>
  <c r="N20" i="29"/>
  <c r="U19" i="29"/>
  <c r="R19" i="29"/>
  <c r="N19" i="29"/>
  <c r="U18" i="29"/>
  <c r="R18" i="29"/>
  <c r="N18" i="29"/>
  <c r="U17" i="29"/>
  <c r="R17" i="29"/>
  <c r="N17" i="29"/>
  <c r="U16" i="29"/>
  <c r="R16" i="29"/>
  <c r="N16" i="29"/>
  <c r="U15" i="29"/>
  <c r="R15" i="29"/>
  <c r="N15" i="29"/>
  <c r="U14" i="29"/>
  <c r="R14" i="29"/>
  <c r="N14" i="29"/>
  <c r="U13" i="29"/>
  <c r="R13" i="29"/>
  <c r="N13" i="29"/>
  <c r="U12" i="29"/>
  <c r="R12" i="29"/>
  <c r="N12" i="29"/>
  <c r="U11" i="29"/>
  <c r="R11" i="29"/>
  <c r="N11" i="29"/>
  <c r="U10" i="29"/>
  <c r="R10" i="29"/>
  <c r="N10" i="29"/>
  <c r="U9" i="29"/>
  <c r="R9" i="29"/>
  <c r="N9" i="29"/>
  <c r="U8" i="29"/>
  <c r="R8" i="29"/>
  <c r="N8" i="29"/>
  <c r="U7" i="29"/>
  <c r="R7" i="29"/>
  <c r="N7" i="29"/>
  <c r="U6" i="29"/>
  <c r="R6" i="29"/>
  <c r="N6" i="29"/>
  <c r="U5" i="29"/>
  <c r="R5" i="29"/>
  <c r="N5" i="29"/>
  <c r="U4" i="29"/>
  <c r="R4" i="29"/>
  <c r="N4" i="29"/>
  <c r="U3" i="29"/>
  <c r="R3" i="29"/>
  <c r="N3" i="29"/>
  <c r="J20" i="29"/>
  <c r="G20" i="29"/>
  <c r="C20" i="29"/>
  <c r="J19" i="29"/>
  <c r="G19" i="29"/>
  <c r="C19" i="29"/>
  <c r="J18" i="29"/>
  <c r="G18" i="29"/>
  <c r="C18" i="29"/>
  <c r="J17" i="29"/>
  <c r="G17" i="29"/>
  <c r="C17" i="29"/>
  <c r="J16" i="29"/>
  <c r="G16" i="29"/>
  <c r="C16" i="29"/>
  <c r="J15" i="29"/>
  <c r="G15" i="29"/>
  <c r="C15" i="29"/>
  <c r="J14" i="29"/>
  <c r="G14" i="29"/>
  <c r="C14" i="29"/>
  <c r="J13" i="29"/>
  <c r="G13" i="29"/>
  <c r="C13" i="29"/>
  <c r="J12" i="29"/>
  <c r="G12" i="29"/>
  <c r="C12" i="29"/>
  <c r="J11" i="29"/>
  <c r="G11" i="29"/>
  <c r="C11" i="29"/>
  <c r="J10" i="29"/>
  <c r="G10" i="29"/>
  <c r="C10" i="29"/>
  <c r="J9" i="29"/>
  <c r="G9" i="29"/>
  <c r="C9" i="29"/>
  <c r="J8" i="29"/>
  <c r="G8" i="29"/>
  <c r="C8" i="29"/>
  <c r="J7" i="29"/>
  <c r="G7" i="29"/>
  <c r="C7" i="29"/>
  <c r="J6" i="29"/>
  <c r="G6" i="29"/>
  <c r="C6" i="29"/>
  <c r="J5" i="29"/>
  <c r="G5" i="29"/>
  <c r="C5" i="29"/>
  <c r="J4" i="29"/>
  <c r="G4" i="29"/>
  <c r="C4" i="29"/>
  <c r="J3" i="29"/>
  <c r="G3" i="29"/>
  <c r="C3" i="29"/>
  <c r="AC30" i="28"/>
  <c r="AA30" i="28"/>
  <c r="Y30" i="28"/>
  <c r="W30" i="28"/>
  <c r="AC29" i="28"/>
  <c r="AA29" i="28"/>
  <c r="Y29" i="28"/>
  <c r="W29" i="28"/>
  <c r="AC28" i="28"/>
  <c r="AA28" i="28"/>
  <c r="Y28" i="28"/>
  <c r="W28" i="28"/>
  <c r="AC27" i="28"/>
  <c r="AA27" i="28"/>
  <c r="Y27" i="28"/>
  <c r="W27" i="28"/>
  <c r="L29" i="28"/>
  <c r="R29" i="28"/>
  <c r="P29" i="28"/>
  <c r="N29" i="28"/>
  <c r="N28" i="28"/>
  <c r="P28" i="28"/>
  <c r="R28" i="28"/>
  <c r="L28" i="28"/>
  <c r="AQ23" i="28"/>
  <c r="AN23" i="28"/>
  <c r="AJ23" i="28"/>
  <c r="AQ22" i="28"/>
  <c r="AN22" i="28"/>
  <c r="AJ22" i="28"/>
  <c r="AQ21" i="28"/>
  <c r="AN21" i="28"/>
  <c r="AJ21" i="28"/>
  <c r="AQ20" i="28"/>
  <c r="AN20" i="28"/>
  <c r="AJ20" i="28"/>
  <c r="AQ19" i="28"/>
  <c r="AN19" i="28"/>
  <c r="AJ19" i="28"/>
  <c r="AQ18" i="28"/>
  <c r="AN18" i="28"/>
  <c r="AJ18" i="28"/>
  <c r="AQ17" i="28"/>
  <c r="AN17" i="28"/>
  <c r="AJ17" i="28"/>
  <c r="AQ16" i="28"/>
  <c r="AN16" i="28"/>
  <c r="AJ16" i="28"/>
  <c r="AQ15" i="28"/>
  <c r="AN15" i="28"/>
  <c r="AJ15" i="28"/>
  <c r="AQ14" i="28"/>
  <c r="AN14" i="28"/>
  <c r="AJ14" i="28"/>
  <c r="AQ13" i="28"/>
  <c r="AN13" i="28"/>
  <c r="AJ13" i="28"/>
  <c r="AQ12" i="28"/>
  <c r="AN12" i="28"/>
  <c r="AJ12" i="28"/>
  <c r="AQ11" i="28"/>
  <c r="AN11" i="28"/>
  <c r="AJ11" i="28"/>
  <c r="AQ10" i="28"/>
  <c r="AN10" i="28"/>
  <c r="AJ10" i="28"/>
  <c r="AQ9" i="28"/>
  <c r="AN9" i="28"/>
  <c r="AJ9" i="28"/>
  <c r="AQ8" i="28"/>
  <c r="AN8" i="28"/>
  <c r="AJ8" i="28"/>
  <c r="AQ7" i="28"/>
  <c r="AN7" i="28"/>
  <c r="AJ7" i="28"/>
  <c r="AQ6" i="28"/>
  <c r="AN6" i="28"/>
  <c r="AJ6" i="28"/>
  <c r="AQ5" i="28"/>
  <c r="AN5" i="28"/>
  <c r="AJ5" i="28"/>
  <c r="AQ4" i="28"/>
  <c r="AN4" i="28"/>
  <c r="AJ4" i="28"/>
  <c r="AF23" i="28"/>
  <c r="AC23" i="28"/>
  <c r="Y23" i="28"/>
  <c r="AF22" i="28"/>
  <c r="AC22" i="28"/>
  <c r="Y22" i="28"/>
  <c r="AF21" i="28"/>
  <c r="AC21" i="28"/>
  <c r="Y21" i="28"/>
  <c r="AF20" i="28"/>
  <c r="AC20" i="28"/>
  <c r="Y20" i="28"/>
  <c r="AF19" i="28"/>
  <c r="AC19" i="28"/>
  <c r="Y19" i="28"/>
  <c r="AF18" i="28"/>
  <c r="AC18" i="28"/>
  <c r="Y18" i="28"/>
  <c r="AF17" i="28"/>
  <c r="AC17" i="28"/>
  <c r="Y17" i="28"/>
  <c r="AF16" i="28"/>
  <c r="AC16" i="28"/>
  <c r="Y16" i="28"/>
  <c r="AF15" i="28"/>
  <c r="AC15" i="28"/>
  <c r="Y15" i="28"/>
  <c r="AF14" i="28"/>
  <c r="AC14" i="28"/>
  <c r="Y14" i="28"/>
  <c r="AF13" i="28"/>
  <c r="AC13" i="28"/>
  <c r="Y13" i="28"/>
  <c r="AF12" i="28"/>
  <c r="AC12" i="28"/>
  <c r="Y12" i="28"/>
  <c r="AF11" i="28"/>
  <c r="AC11" i="28"/>
  <c r="Y11" i="28"/>
  <c r="AF10" i="28"/>
  <c r="AC10" i="28"/>
  <c r="Y10" i="28"/>
  <c r="AF9" i="28"/>
  <c r="AC9" i="28"/>
  <c r="Y9" i="28"/>
  <c r="AF8" i="28"/>
  <c r="AC8" i="28"/>
  <c r="Y8" i="28"/>
  <c r="AF7" i="28"/>
  <c r="AC7" i="28"/>
  <c r="Y7" i="28"/>
  <c r="AF6" i="28"/>
  <c r="AC6" i="28"/>
  <c r="Y6" i="28"/>
  <c r="AF5" i="28"/>
  <c r="AC5" i="28"/>
  <c r="Y5" i="28"/>
  <c r="AF4" i="28"/>
  <c r="AC4" i="28"/>
  <c r="Y4" i="28"/>
  <c r="U23" i="28"/>
  <c r="U24" i="28"/>
  <c r="R23" i="28"/>
  <c r="R24" i="28"/>
  <c r="N23" i="28"/>
  <c r="N24" i="28"/>
  <c r="U22" i="28"/>
  <c r="R22" i="28"/>
  <c r="N22" i="28"/>
  <c r="U21" i="28"/>
  <c r="R21" i="28"/>
  <c r="N21" i="28"/>
  <c r="U20" i="28"/>
  <c r="R20" i="28"/>
  <c r="N20" i="28"/>
  <c r="U19" i="28"/>
  <c r="R19" i="28"/>
  <c r="N19" i="28"/>
  <c r="U18" i="28"/>
  <c r="R18" i="28"/>
  <c r="N18" i="28"/>
  <c r="U17" i="28"/>
  <c r="R17" i="28"/>
  <c r="N17" i="28"/>
  <c r="U16" i="28"/>
  <c r="R16" i="28"/>
  <c r="N16" i="28"/>
  <c r="U15" i="28"/>
  <c r="R15" i="28"/>
  <c r="N15" i="28"/>
  <c r="U14" i="28"/>
  <c r="R14" i="28"/>
  <c r="N14" i="28"/>
  <c r="U13" i="28"/>
  <c r="R13" i="28"/>
  <c r="N13" i="28"/>
  <c r="U12" i="28"/>
  <c r="R12" i="28"/>
  <c r="N12" i="28"/>
  <c r="U11" i="28"/>
  <c r="R11" i="28"/>
  <c r="N11" i="28"/>
  <c r="U10" i="28"/>
  <c r="R10" i="28"/>
  <c r="N10" i="28"/>
  <c r="U9" i="28"/>
  <c r="R9" i="28"/>
  <c r="N9" i="28"/>
  <c r="U8" i="28"/>
  <c r="R8" i="28"/>
  <c r="N8" i="28"/>
  <c r="U7" i="28"/>
  <c r="R7" i="28"/>
  <c r="N7" i="28"/>
  <c r="U6" i="28"/>
  <c r="R6" i="28"/>
  <c r="N6" i="28"/>
  <c r="U5" i="28"/>
  <c r="R5" i="28"/>
  <c r="N5" i="28"/>
  <c r="U4" i="28"/>
  <c r="R4" i="28"/>
  <c r="N4" i="28"/>
  <c r="U3" i="28"/>
  <c r="R3" i="28"/>
  <c r="N3" i="28"/>
  <c r="J21" i="28"/>
  <c r="J22" i="28"/>
  <c r="G21" i="28"/>
  <c r="G22" i="28"/>
  <c r="C21" i="28"/>
  <c r="C22" i="28"/>
  <c r="J20" i="28"/>
  <c r="G20" i="28"/>
  <c r="C20" i="28"/>
  <c r="J19" i="28"/>
  <c r="G19" i="28"/>
  <c r="C19" i="28"/>
  <c r="J18" i="28"/>
  <c r="G18" i="28"/>
  <c r="C18" i="28"/>
  <c r="J17" i="28"/>
  <c r="G17" i="28"/>
  <c r="C17" i="28"/>
  <c r="J16" i="28"/>
  <c r="G16" i="28"/>
  <c r="C16" i="28"/>
  <c r="J15" i="28"/>
  <c r="G15" i="28"/>
  <c r="C15" i="28"/>
  <c r="J14" i="28"/>
  <c r="G14" i="28"/>
  <c r="C14" i="28"/>
  <c r="J13" i="28"/>
  <c r="G13" i="28"/>
  <c r="C13" i="28"/>
  <c r="J12" i="28"/>
  <c r="G12" i="28"/>
  <c r="C12" i="28"/>
  <c r="J11" i="28"/>
  <c r="G11" i="28"/>
  <c r="C11" i="28"/>
  <c r="J10" i="28"/>
  <c r="G10" i="28"/>
  <c r="C10" i="28"/>
  <c r="J9" i="28"/>
  <c r="G9" i="28"/>
  <c r="C9" i="28"/>
  <c r="J8" i="28"/>
  <c r="G8" i="28"/>
  <c r="C8" i="28"/>
  <c r="J7" i="28"/>
  <c r="G7" i="28"/>
  <c r="C7" i="28"/>
  <c r="J6" i="28"/>
  <c r="G6" i="28"/>
  <c r="C6" i="28"/>
  <c r="J5" i="28"/>
  <c r="G5" i="28"/>
  <c r="C5" i="28"/>
  <c r="J4" i="28"/>
  <c r="G4" i="28"/>
  <c r="C4" i="28"/>
  <c r="J3" i="28"/>
  <c r="G3" i="28"/>
  <c r="C3" i="28"/>
  <c r="J11" i="27"/>
  <c r="G11" i="27"/>
  <c r="C11" i="27"/>
  <c r="J10" i="27"/>
  <c r="G10" i="27"/>
  <c r="C10" i="27"/>
  <c r="J9" i="27"/>
  <c r="G9" i="27"/>
  <c r="C9" i="27"/>
  <c r="J8" i="27"/>
  <c r="G8" i="27"/>
  <c r="C8" i="27"/>
  <c r="J7" i="27"/>
  <c r="G7" i="27"/>
  <c r="C7" i="27"/>
  <c r="J6" i="27"/>
  <c r="G6" i="27"/>
  <c r="C6" i="27"/>
  <c r="J5" i="27"/>
  <c r="G5" i="27"/>
  <c r="C5" i="27"/>
  <c r="J4" i="27"/>
  <c r="G4" i="27"/>
  <c r="C4" i="27"/>
  <c r="J3" i="27"/>
  <c r="G3" i="27"/>
  <c r="C3" i="27"/>
  <c r="J9" i="26"/>
  <c r="G9" i="26"/>
  <c r="C9" i="26"/>
  <c r="J8" i="26"/>
  <c r="G8" i="26"/>
  <c r="C8" i="26"/>
  <c r="J7" i="26"/>
  <c r="G7" i="26"/>
  <c r="C7" i="26"/>
  <c r="J6" i="26"/>
  <c r="G6" i="26"/>
  <c r="C6" i="26"/>
  <c r="J5" i="26"/>
  <c r="G5" i="26"/>
  <c r="C5" i="26"/>
  <c r="J4" i="26"/>
  <c r="G4" i="26"/>
  <c r="C4" i="26"/>
  <c r="J23" i="25"/>
  <c r="G23" i="25"/>
  <c r="C23" i="25"/>
  <c r="J22" i="25"/>
  <c r="G22" i="25"/>
  <c r="C22" i="25"/>
  <c r="J21" i="25"/>
  <c r="G21" i="25"/>
  <c r="C21" i="25"/>
  <c r="J20" i="25"/>
  <c r="G20" i="25"/>
  <c r="C20" i="25"/>
  <c r="J19" i="25"/>
  <c r="G19" i="25"/>
  <c r="C19" i="25"/>
  <c r="J18" i="25"/>
  <c r="G18" i="25"/>
  <c r="C18" i="25"/>
  <c r="J14" i="25"/>
  <c r="G14" i="25"/>
  <c r="C14" i="25"/>
  <c r="J13" i="25"/>
  <c r="G13" i="25"/>
  <c r="C13" i="25"/>
  <c r="J12" i="25"/>
  <c r="G12" i="25"/>
  <c r="C12" i="25"/>
  <c r="J11" i="25"/>
  <c r="G11" i="25"/>
  <c r="C11" i="25"/>
  <c r="J10" i="25"/>
  <c r="G10" i="25"/>
  <c r="C10" i="25"/>
  <c r="J9" i="25"/>
  <c r="G9" i="25"/>
  <c r="C9" i="25"/>
  <c r="J8" i="25"/>
  <c r="G8" i="25"/>
  <c r="C8" i="25"/>
  <c r="J7" i="25"/>
  <c r="G7" i="25"/>
  <c r="C7" i="25"/>
  <c r="J6" i="25"/>
  <c r="G6" i="25"/>
  <c r="C6" i="25"/>
  <c r="J5" i="25"/>
  <c r="G5" i="25"/>
  <c r="C5" i="25"/>
  <c r="J4" i="25"/>
  <c r="G4" i="25"/>
  <c r="C4" i="25"/>
  <c r="J3" i="25"/>
  <c r="G3" i="25"/>
  <c r="C3" i="25"/>
  <c r="J18" i="23"/>
  <c r="G18" i="23"/>
  <c r="C18" i="23"/>
  <c r="J17" i="23"/>
  <c r="G17" i="23"/>
  <c r="C17" i="23"/>
  <c r="J14" i="23"/>
  <c r="G14" i="23"/>
  <c r="C14" i="23"/>
  <c r="J15" i="23"/>
  <c r="G15" i="23"/>
  <c r="C15" i="23"/>
  <c r="J13" i="23"/>
  <c r="G13" i="23"/>
  <c r="C13" i="23"/>
  <c r="J16" i="23"/>
  <c r="G16" i="23"/>
  <c r="C16" i="23"/>
  <c r="J6" i="23"/>
  <c r="G6" i="23"/>
  <c r="C6" i="23"/>
  <c r="J9" i="23"/>
  <c r="G9" i="23"/>
  <c r="C9" i="23"/>
  <c r="J7" i="23"/>
  <c r="G7" i="23"/>
  <c r="C7" i="23"/>
  <c r="J8" i="23"/>
  <c r="G8" i="23"/>
  <c r="C8" i="23"/>
  <c r="J5" i="23"/>
  <c r="G5" i="23"/>
  <c r="C5" i="23"/>
  <c r="J4" i="23"/>
  <c r="G4" i="23"/>
  <c r="C4" i="23"/>
  <c r="C9" i="22"/>
  <c r="C10" i="22"/>
  <c r="C11" i="22"/>
  <c r="C12" i="22"/>
  <c r="C8" i="22"/>
  <c r="C7" i="22"/>
  <c r="C6" i="22"/>
  <c r="C5" i="22"/>
  <c r="C4" i="22"/>
  <c r="C3" i="22"/>
  <c r="J12" i="22"/>
  <c r="G12" i="22"/>
  <c r="J11" i="22"/>
  <c r="G11" i="22"/>
  <c r="J10" i="22"/>
  <c r="G10" i="22"/>
  <c r="J9" i="22"/>
  <c r="G9" i="22"/>
  <c r="J8" i="22"/>
  <c r="G8" i="22"/>
  <c r="J7" i="22"/>
  <c r="G7" i="22"/>
  <c r="J6" i="22"/>
  <c r="G6" i="22"/>
  <c r="J5" i="22"/>
  <c r="G5" i="22"/>
  <c r="J4" i="22"/>
  <c r="G4" i="22"/>
  <c r="J3" i="22"/>
  <c r="G3" i="22"/>
  <c r="C9" i="21"/>
  <c r="C8" i="21"/>
  <c r="C7" i="21"/>
  <c r="C5" i="21"/>
  <c r="C6" i="21"/>
  <c r="C4" i="21"/>
  <c r="J9" i="21"/>
  <c r="G9" i="21"/>
  <c r="J8" i="21"/>
  <c r="G8" i="21"/>
  <c r="J7" i="21"/>
  <c r="G7" i="21"/>
  <c r="J5" i="21"/>
  <c r="G5" i="21"/>
  <c r="J6" i="21"/>
  <c r="G6" i="21"/>
  <c r="J4" i="21"/>
  <c r="G4" i="21"/>
  <c r="J29" i="20"/>
  <c r="G29" i="20"/>
  <c r="C29" i="20"/>
  <c r="J30" i="20"/>
  <c r="G30" i="20"/>
  <c r="C30" i="20"/>
  <c r="J28" i="20"/>
  <c r="G28" i="20"/>
  <c r="C28" i="20"/>
  <c r="J27" i="20"/>
  <c r="G27" i="20"/>
  <c r="C27" i="20"/>
  <c r="J24" i="20"/>
  <c r="G24" i="20"/>
  <c r="C24" i="20"/>
  <c r="J23" i="20"/>
  <c r="G23" i="20"/>
  <c r="C23" i="20"/>
  <c r="J22" i="20"/>
  <c r="G22" i="20"/>
  <c r="C22" i="20"/>
  <c r="J21" i="20"/>
  <c r="G21" i="20"/>
  <c r="C21" i="20"/>
  <c r="J18" i="20"/>
  <c r="G18" i="20"/>
  <c r="C18" i="20"/>
  <c r="J17" i="20"/>
  <c r="G17" i="20"/>
  <c r="C17" i="20"/>
  <c r="J16" i="20"/>
  <c r="G16" i="20"/>
  <c r="C16" i="20"/>
  <c r="J15" i="20"/>
  <c r="G15" i="20"/>
  <c r="C15" i="20"/>
  <c r="J14" i="20"/>
  <c r="G14" i="20"/>
  <c r="C14" i="20"/>
  <c r="J13" i="20"/>
  <c r="G13" i="20"/>
  <c r="C13" i="20"/>
  <c r="J12" i="20"/>
  <c r="G12" i="20"/>
  <c r="C12" i="20"/>
  <c r="J11" i="20"/>
  <c r="G11" i="20"/>
  <c r="C11" i="20"/>
  <c r="J10" i="20"/>
  <c r="G10" i="20"/>
  <c r="C10" i="20"/>
  <c r="J9" i="20"/>
  <c r="G9" i="20"/>
  <c r="C9" i="20"/>
  <c r="J8" i="20"/>
  <c r="G8" i="20"/>
  <c r="C8" i="20"/>
  <c r="J7" i="20"/>
  <c r="G7" i="20"/>
  <c r="C7" i="20"/>
  <c r="J6" i="20"/>
  <c r="G6" i="20"/>
  <c r="C6" i="20"/>
  <c r="J5" i="20"/>
  <c r="G5" i="20"/>
  <c r="C5" i="20"/>
  <c r="J4" i="20"/>
  <c r="G4" i="20"/>
  <c r="C4" i="20"/>
  <c r="J3" i="20"/>
  <c r="G3" i="20"/>
  <c r="C3" i="20"/>
  <c r="J12" i="19"/>
  <c r="G12" i="19"/>
  <c r="C12" i="19"/>
  <c r="J11" i="19"/>
  <c r="G11" i="19"/>
  <c r="C11" i="19"/>
  <c r="J10" i="19"/>
  <c r="G10" i="19"/>
  <c r="C10" i="19"/>
  <c r="J9" i="19"/>
  <c r="G9" i="19"/>
  <c r="C9" i="19"/>
  <c r="J8" i="19"/>
  <c r="G8" i="19"/>
  <c r="C8" i="19"/>
  <c r="J7" i="19"/>
  <c r="G7" i="19"/>
  <c r="C7" i="19"/>
  <c r="J6" i="19"/>
  <c r="G6" i="19"/>
  <c r="C6" i="19"/>
  <c r="J5" i="19"/>
  <c r="G5" i="19"/>
  <c r="C5" i="19"/>
  <c r="J4" i="19"/>
  <c r="G4" i="19"/>
  <c r="C4" i="19"/>
  <c r="J3" i="19"/>
  <c r="G3" i="19"/>
  <c r="C3" i="19"/>
  <c r="P30" i="18" l="1"/>
  <c r="N30" i="18"/>
  <c r="R24" i="18"/>
  <c r="P24" i="18"/>
  <c r="N24" i="18"/>
  <c r="L24" i="18"/>
  <c r="R23" i="18"/>
  <c r="P23" i="18"/>
  <c r="N23" i="18"/>
  <c r="L23" i="18"/>
  <c r="U19" i="18"/>
  <c r="R19" i="18"/>
  <c r="N19" i="18"/>
  <c r="U18" i="18"/>
  <c r="R18" i="18"/>
  <c r="N18" i="18"/>
  <c r="U15" i="18"/>
  <c r="R15" i="18"/>
  <c r="N15" i="18"/>
  <c r="U12" i="18"/>
  <c r="R12" i="18"/>
  <c r="N12" i="18"/>
  <c r="U16" i="18"/>
  <c r="R16" i="18"/>
  <c r="N16" i="18"/>
  <c r="U13" i="18"/>
  <c r="R13" i="18"/>
  <c r="N13" i="18"/>
  <c r="U17" i="18"/>
  <c r="R17" i="18"/>
  <c r="N17" i="18"/>
  <c r="U14" i="18"/>
  <c r="R14" i="18"/>
  <c r="N14" i="18"/>
  <c r="U11" i="18"/>
  <c r="R11" i="18"/>
  <c r="N11" i="18"/>
  <c r="U10" i="18"/>
  <c r="R10" i="18"/>
  <c r="N10" i="18"/>
  <c r="U8" i="18"/>
  <c r="R8" i="18"/>
  <c r="N8" i="18"/>
  <c r="U5" i="18"/>
  <c r="R5" i="18"/>
  <c r="N5" i="18"/>
  <c r="U9" i="18"/>
  <c r="R9" i="18"/>
  <c r="N9" i="18"/>
  <c r="U6" i="18"/>
  <c r="R6" i="18"/>
  <c r="N6" i="18"/>
  <c r="U7" i="18"/>
  <c r="R7" i="18"/>
  <c r="N7" i="18"/>
  <c r="U4" i="18"/>
  <c r="R4" i="18"/>
  <c r="N4" i="18"/>
  <c r="U3" i="18"/>
  <c r="R3" i="18"/>
  <c r="N3" i="18"/>
  <c r="J40" i="18"/>
  <c r="G40" i="18"/>
  <c r="C40" i="18"/>
  <c r="J39" i="18"/>
  <c r="G39" i="18"/>
  <c r="C39" i="18"/>
  <c r="J38" i="18"/>
  <c r="G38" i="18"/>
  <c r="C38" i="18"/>
  <c r="J37" i="18"/>
  <c r="G37" i="18"/>
  <c r="C37" i="18"/>
  <c r="J31" i="18"/>
  <c r="G31" i="18"/>
  <c r="J32" i="18"/>
  <c r="G32" i="18"/>
  <c r="J34" i="18"/>
  <c r="G34" i="18"/>
  <c r="J33" i="18"/>
  <c r="G33" i="18"/>
  <c r="J30" i="18"/>
  <c r="G30" i="18"/>
  <c r="J29" i="18"/>
  <c r="G29" i="18"/>
  <c r="J24" i="18"/>
  <c r="G24" i="18"/>
  <c r="J25" i="18"/>
  <c r="G25" i="18"/>
  <c r="J26" i="18"/>
  <c r="G26" i="18"/>
  <c r="J22" i="18"/>
  <c r="G22" i="18"/>
  <c r="J23" i="18"/>
  <c r="G23" i="18"/>
  <c r="J21" i="18"/>
  <c r="G21" i="18"/>
  <c r="C18" i="18"/>
  <c r="C17" i="18"/>
  <c r="C16" i="18"/>
  <c r="C15" i="18"/>
  <c r="C14" i="18"/>
  <c r="C13" i="18"/>
  <c r="C12" i="18"/>
  <c r="C11" i="18"/>
  <c r="C10" i="18"/>
  <c r="C9" i="18"/>
  <c r="C8" i="18"/>
  <c r="C7" i="18"/>
  <c r="C6" i="18"/>
  <c r="C5" i="18"/>
  <c r="C4" i="18"/>
  <c r="C3" i="18"/>
  <c r="J18" i="18"/>
  <c r="G18" i="18"/>
  <c r="J17" i="18"/>
  <c r="G17" i="18"/>
  <c r="J16" i="18"/>
  <c r="G16" i="18"/>
  <c r="J15" i="18"/>
  <c r="G15" i="18"/>
  <c r="J14" i="18"/>
  <c r="G14" i="18"/>
  <c r="J13" i="18"/>
  <c r="G13" i="18"/>
  <c r="J12" i="18"/>
  <c r="G12" i="18"/>
  <c r="J11" i="18"/>
  <c r="G11" i="18"/>
  <c r="J10" i="18"/>
  <c r="G10" i="18"/>
  <c r="J9" i="18"/>
  <c r="G9" i="18"/>
  <c r="J8" i="18"/>
  <c r="G8" i="18"/>
  <c r="J7" i="18"/>
  <c r="G7" i="18"/>
  <c r="J6" i="18"/>
  <c r="G6" i="18"/>
  <c r="J5" i="18"/>
  <c r="G5" i="18"/>
  <c r="J4" i="18"/>
  <c r="G4" i="18"/>
  <c r="J3" i="18"/>
  <c r="G3" i="18"/>
  <c r="N15" i="16"/>
  <c r="R15" i="16"/>
  <c r="U15" i="16"/>
  <c r="N16" i="16"/>
  <c r="R16" i="16"/>
  <c r="U16" i="16"/>
  <c r="N17" i="16"/>
  <c r="R17" i="16"/>
  <c r="U17" i="16"/>
  <c r="U14" i="16"/>
  <c r="R14" i="16"/>
  <c r="N14" i="16"/>
  <c r="U13" i="16"/>
  <c r="R13" i="16"/>
  <c r="N13" i="16"/>
  <c r="U12" i="16"/>
  <c r="R12" i="16"/>
  <c r="N12" i="16"/>
  <c r="U11" i="16"/>
  <c r="R11" i="16"/>
  <c r="N11" i="16"/>
  <c r="U10" i="16"/>
  <c r="R10" i="16"/>
  <c r="N10" i="16"/>
  <c r="U9" i="16"/>
  <c r="R9" i="16"/>
  <c r="N9" i="16"/>
  <c r="U8" i="16"/>
  <c r="R8" i="16"/>
  <c r="N8" i="16"/>
  <c r="U7" i="16"/>
  <c r="R7" i="16"/>
  <c r="N7" i="16"/>
  <c r="U6" i="16"/>
  <c r="R6" i="16"/>
  <c r="N6" i="16"/>
  <c r="U5" i="16"/>
  <c r="R5" i="16"/>
  <c r="N5" i="16"/>
  <c r="U4" i="16"/>
  <c r="R4" i="16"/>
  <c r="N4" i="16"/>
  <c r="U3" i="16"/>
  <c r="R3" i="16"/>
  <c r="N3" i="16"/>
  <c r="J30" i="16"/>
  <c r="G30" i="16"/>
  <c r="J29" i="16"/>
  <c r="G29" i="16"/>
  <c r="J25" i="16"/>
  <c r="G25" i="16"/>
  <c r="J27" i="16"/>
  <c r="G27" i="16"/>
  <c r="J28" i="16"/>
  <c r="G28" i="16"/>
  <c r="J26" i="16"/>
  <c r="G26" i="16"/>
  <c r="J22" i="16"/>
  <c r="G22" i="16"/>
  <c r="J20" i="16"/>
  <c r="G20" i="16"/>
  <c r="J21" i="16"/>
  <c r="G21" i="16"/>
  <c r="J19" i="16"/>
  <c r="G19" i="16"/>
  <c r="J17" i="16"/>
  <c r="G17" i="16"/>
  <c r="J18" i="16"/>
  <c r="G18" i="16"/>
  <c r="C13" i="16"/>
  <c r="C14" i="16"/>
  <c r="C12" i="16"/>
  <c r="C11" i="16"/>
  <c r="C10" i="16"/>
  <c r="C9" i="16"/>
  <c r="C8" i="16"/>
  <c r="C7" i="16"/>
  <c r="C6" i="16"/>
  <c r="C5" i="16"/>
  <c r="C4" i="16"/>
  <c r="C3" i="16"/>
  <c r="J14" i="16"/>
  <c r="G14" i="16"/>
  <c r="J13" i="16"/>
  <c r="G13" i="16"/>
  <c r="J12" i="16"/>
  <c r="G12" i="16"/>
  <c r="J11" i="16"/>
  <c r="G11" i="16"/>
  <c r="J10" i="16"/>
  <c r="G10" i="16"/>
  <c r="J9" i="16"/>
  <c r="G9" i="16"/>
  <c r="J8" i="16"/>
  <c r="G8" i="16"/>
  <c r="J7" i="16"/>
  <c r="G7" i="16"/>
  <c r="J6" i="16"/>
  <c r="G6" i="16"/>
  <c r="J5" i="16"/>
  <c r="G5" i="16"/>
  <c r="J4" i="16"/>
  <c r="G4" i="16"/>
  <c r="J3" i="16"/>
  <c r="G3" i="16"/>
  <c r="J11" i="15"/>
  <c r="G11" i="15"/>
  <c r="C11" i="15"/>
  <c r="J8" i="15"/>
  <c r="G8" i="15"/>
  <c r="C8" i="15"/>
  <c r="J12" i="15"/>
  <c r="G12" i="15"/>
  <c r="C12" i="15"/>
  <c r="J10" i="15"/>
  <c r="G10" i="15"/>
  <c r="C10" i="15"/>
  <c r="J6" i="15"/>
  <c r="G6" i="15"/>
  <c r="C6" i="15"/>
  <c r="J4" i="15"/>
  <c r="G4" i="15"/>
  <c r="C4" i="15"/>
  <c r="J5" i="15"/>
  <c r="G5" i="15"/>
  <c r="C5" i="15"/>
  <c r="J9" i="15"/>
  <c r="G9" i="15"/>
  <c r="C9" i="15"/>
  <c r="J7" i="15"/>
  <c r="G7" i="15"/>
  <c r="C7" i="15"/>
  <c r="J3" i="15"/>
  <c r="G3" i="15"/>
  <c r="C3" i="15"/>
  <c r="C17" i="12"/>
  <c r="C18" i="12"/>
  <c r="C19" i="12"/>
  <c r="J19" i="12"/>
  <c r="G19" i="12"/>
  <c r="J18" i="12"/>
  <c r="G18" i="12"/>
  <c r="J17" i="12"/>
  <c r="G17" i="12"/>
  <c r="J16" i="12"/>
  <c r="G16" i="12"/>
  <c r="Y21" i="14"/>
  <c r="Y22" i="14"/>
  <c r="Y20" i="14"/>
  <c r="Y19" i="14"/>
  <c r="Y18" i="14"/>
  <c r="Y17" i="14"/>
  <c r="Y16" i="14"/>
  <c r="Y15" i="14"/>
  <c r="Y14" i="14"/>
  <c r="Y13" i="14"/>
  <c r="Y12" i="14"/>
  <c r="Y11" i="14"/>
  <c r="Y10" i="14"/>
  <c r="Y9" i="14"/>
  <c r="Y8" i="14"/>
  <c r="Y7" i="14"/>
  <c r="Y6" i="14"/>
  <c r="Y5" i="14"/>
  <c r="Y4" i="14"/>
  <c r="Y3" i="14"/>
  <c r="AF22" i="14"/>
  <c r="AC22" i="14"/>
  <c r="AF21" i="14"/>
  <c r="AC21" i="14"/>
  <c r="AF20" i="14"/>
  <c r="AC20" i="14"/>
  <c r="AF19" i="14"/>
  <c r="AC19" i="14"/>
  <c r="AF18" i="14"/>
  <c r="AC18" i="14"/>
  <c r="AF17" i="14"/>
  <c r="AC17" i="14"/>
  <c r="AF16" i="14"/>
  <c r="AC16" i="14"/>
  <c r="AF15" i="14"/>
  <c r="AC15" i="14"/>
  <c r="AF14" i="14"/>
  <c r="AC14" i="14"/>
  <c r="AF13" i="14"/>
  <c r="AC13" i="14"/>
  <c r="AF12" i="14"/>
  <c r="AC12" i="14"/>
  <c r="AF11" i="14"/>
  <c r="AC11" i="14"/>
  <c r="AF10" i="14"/>
  <c r="AC10" i="14"/>
  <c r="AF9" i="14"/>
  <c r="AC9" i="14"/>
  <c r="AF8" i="14"/>
  <c r="AC8" i="14"/>
  <c r="AF7" i="14"/>
  <c r="AC7" i="14"/>
  <c r="AF6" i="14"/>
  <c r="AC6" i="14"/>
  <c r="AF5" i="14"/>
  <c r="AC5" i="14"/>
  <c r="AF4" i="14"/>
  <c r="AC4" i="14"/>
  <c r="AF3" i="14"/>
  <c r="AC3" i="14"/>
  <c r="U20" i="14"/>
  <c r="R20" i="14"/>
  <c r="N20" i="14"/>
  <c r="U19" i="14"/>
  <c r="R19" i="14"/>
  <c r="N19" i="14"/>
  <c r="U18" i="14"/>
  <c r="R18" i="14"/>
  <c r="N18" i="14"/>
  <c r="U17" i="14"/>
  <c r="R17" i="14"/>
  <c r="N17" i="14"/>
  <c r="U16" i="14"/>
  <c r="R16" i="14"/>
  <c r="N16" i="14"/>
  <c r="U15" i="14"/>
  <c r="R15" i="14"/>
  <c r="N15" i="14"/>
  <c r="U14" i="14"/>
  <c r="R14" i="14"/>
  <c r="N14" i="14"/>
  <c r="U13" i="14"/>
  <c r="R13" i="14"/>
  <c r="N13" i="14"/>
  <c r="U12" i="14"/>
  <c r="R12" i="14"/>
  <c r="N12" i="14"/>
  <c r="U11" i="14"/>
  <c r="R11" i="14"/>
  <c r="N11" i="14"/>
  <c r="U10" i="14"/>
  <c r="R10" i="14"/>
  <c r="N10" i="14"/>
  <c r="U9" i="14"/>
  <c r="R9" i="14"/>
  <c r="N9" i="14"/>
  <c r="U8" i="14"/>
  <c r="R8" i="14"/>
  <c r="N8" i="14"/>
  <c r="U7" i="14"/>
  <c r="R7" i="14"/>
  <c r="N7" i="14"/>
  <c r="U6" i="14"/>
  <c r="R6" i="14"/>
  <c r="N6" i="14"/>
  <c r="U5" i="14"/>
  <c r="R5" i="14"/>
  <c r="N5" i="14"/>
  <c r="U4" i="14"/>
  <c r="R4" i="14"/>
  <c r="N4" i="14"/>
  <c r="U3" i="14"/>
  <c r="R3" i="14"/>
  <c r="N3" i="14"/>
  <c r="J19" i="14"/>
  <c r="J20" i="14"/>
  <c r="G19" i="14"/>
  <c r="G20" i="14"/>
  <c r="C19" i="14"/>
  <c r="C20" i="14"/>
  <c r="C12" i="14"/>
  <c r="C13" i="14"/>
  <c r="C14" i="14"/>
  <c r="C15" i="14"/>
  <c r="C16" i="14"/>
  <c r="C17" i="14"/>
  <c r="C18" i="14"/>
  <c r="C11" i="14"/>
  <c r="C10" i="14"/>
  <c r="C9" i="14"/>
  <c r="C8" i="14"/>
  <c r="C7" i="14"/>
  <c r="C6" i="14"/>
  <c r="C5" i="14"/>
  <c r="C4" i="14"/>
  <c r="C3" i="14"/>
  <c r="J18" i="14"/>
  <c r="G18" i="14"/>
  <c r="J17" i="14"/>
  <c r="G17" i="14"/>
  <c r="J16" i="14"/>
  <c r="G16" i="14"/>
  <c r="J15" i="14"/>
  <c r="G15" i="14"/>
  <c r="J14" i="14"/>
  <c r="G14" i="14"/>
  <c r="J13" i="14"/>
  <c r="G13" i="14"/>
  <c r="J12" i="14"/>
  <c r="G12" i="14"/>
  <c r="J11" i="14"/>
  <c r="G11" i="14"/>
  <c r="J10" i="14"/>
  <c r="G10" i="14"/>
  <c r="J9" i="14"/>
  <c r="G9" i="14"/>
  <c r="J8" i="14"/>
  <c r="G8" i="14"/>
  <c r="J7" i="14"/>
  <c r="G7" i="14"/>
  <c r="J6" i="14"/>
  <c r="G6" i="14"/>
  <c r="J5" i="14"/>
  <c r="G5" i="14"/>
  <c r="J4" i="14"/>
  <c r="G4" i="14"/>
  <c r="J3" i="14"/>
  <c r="G3" i="14"/>
  <c r="C11" i="13"/>
  <c r="C10" i="13"/>
  <c r="C9" i="13"/>
  <c r="C8" i="13"/>
  <c r="C7" i="13"/>
  <c r="C6" i="13"/>
  <c r="C5" i="13"/>
  <c r="C4" i="13"/>
  <c r="C3" i="13"/>
  <c r="J11" i="13"/>
  <c r="G11" i="13"/>
  <c r="J10" i="13"/>
  <c r="G10" i="13"/>
  <c r="J9" i="13"/>
  <c r="G9" i="13"/>
  <c r="J8" i="13"/>
  <c r="G8" i="13"/>
  <c r="J7" i="13"/>
  <c r="G7" i="13"/>
  <c r="J6" i="13"/>
  <c r="G6" i="13"/>
  <c r="J5" i="13"/>
  <c r="G5" i="13"/>
  <c r="J4" i="13"/>
  <c r="G4" i="13"/>
  <c r="J3" i="13"/>
  <c r="G3" i="13"/>
  <c r="C12" i="12"/>
  <c r="C11" i="12"/>
  <c r="C10" i="12"/>
  <c r="C9" i="12"/>
  <c r="C7" i="12"/>
  <c r="C8" i="12"/>
  <c r="C5" i="12"/>
  <c r="C3" i="12"/>
  <c r="C6" i="12"/>
  <c r="C4" i="12"/>
  <c r="J12" i="12"/>
  <c r="G12" i="12"/>
  <c r="J11" i="12"/>
  <c r="G11" i="12"/>
  <c r="J10" i="12"/>
  <c r="G10" i="12"/>
  <c r="J9" i="12"/>
  <c r="G9" i="12"/>
  <c r="J7" i="12"/>
  <c r="G7" i="12"/>
  <c r="J8" i="12"/>
  <c r="G8" i="12"/>
  <c r="J5" i="12"/>
  <c r="G5" i="12"/>
  <c r="J3" i="12"/>
  <c r="G3" i="12"/>
  <c r="J6" i="12"/>
  <c r="G6" i="12"/>
  <c r="J4" i="12"/>
  <c r="G4" i="12"/>
  <c r="J18" i="11"/>
  <c r="J17" i="11"/>
  <c r="J16" i="11"/>
  <c r="J15" i="11"/>
  <c r="J14" i="11"/>
  <c r="J13" i="11"/>
  <c r="J12" i="11"/>
  <c r="J11" i="11"/>
  <c r="J10" i="11"/>
  <c r="J9" i="11"/>
  <c r="J8" i="11"/>
  <c r="J7" i="11"/>
  <c r="J6" i="11"/>
  <c r="J5" i="11"/>
  <c r="J4" i="11"/>
  <c r="J3" i="11"/>
  <c r="G18" i="11"/>
  <c r="G17" i="11"/>
  <c r="G16" i="11"/>
  <c r="G15" i="11"/>
  <c r="G14" i="11"/>
  <c r="G13" i="11"/>
  <c r="G12" i="11"/>
  <c r="G11" i="11"/>
  <c r="G10" i="11"/>
  <c r="G9" i="11"/>
  <c r="G8" i="11"/>
  <c r="G7" i="11"/>
  <c r="G6" i="11"/>
  <c r="G5" i="11"/>
  <c r="G4" i="11"/>
  <c r="G3" i="11"/>
  <c r="J18" i="10"/>
  <c r="J17" i="10"/>
  <c r="J16" i="10"/>
  <c r="J15" i="10"/>
  <c r="J14" i="10"/>
  <c r="J13" i="10"/>
  <c r="J12" i="10"/>
  <c r="J11" i="10"/>
  <c r="J10" i="10"/>
  <c r="J9" i="10"/>
  <c r="J8" i="10"/>
  <c r="J7" i="10"/>
  <c r="J6" i="10"/>
  <c r="J5" i="10"/>
  <c r="J4" i="10"/>
  <c r="J3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J11" i="9"/>
  <c r="G11" i="9"/>
  <c r="J10" i="9"/>
  <c r="G10" i="9"/>
  <c r="J9" i="9"/>
  <c r="G9" i="9"/>
  <c r="J8" i="9"/>
  <c r="G8" i="9"/>
  <c r="J7" i="9"/>
  <c r="G7" i="9"/>
  <c r="J6" i="9"/>
  <c r="G6" i="9"/>
  <c r="J5" i="9"/>
  <c r="G5" i="9"/>
  <c r="J12" i="9"/>
  <c r="J4" i="9"/>
  <c r="J3" i="9"/>
  <c r="G12" i="9"/>
  <c r="G4" i="9"/>
  <c r="G3" i="9"/>
  <c r="J18" i="8"/>
  <c r="J17" i="8"/>
  <c r="J16" i="8"/>
  <c r="J15" i="8"/>
  <c r="J14" i="8"/>
  <c r="J13" i="8"/>
  <c r="J12" i="8"/>
  <c r="J11" i="8"/>
  <c r="J10" i="8"/>
  <c r="J9" i="8"/>
  <c r="J8" i="8"/>
  <c r="J7" i="8"/>
  <c r="J6" i="8"/>
  <c r="J5" i="8"/>
  <c r="J4" i="8"/>
  <c r="J3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G3" i="8"/>
  <c r="J12" i="7"/>
  <c r="G12" i="7"/>
  <c r="J11" i="7"/>
  <c r="G11" i="7"/>
  <c r="J10" i="7"/>
  <c r="G10" i="7"/>
  <c r="J9" i="7"/>
  <c r="G9" i="7"/>
  <c r="J8" i="7"/>
  <c r="G8" i="7"/>
  <c r="J7" i="7"/>
  <c r="G7" i="7"/>
  <c r="J6" i="7"/>
  <c r="G6" i="7"/>
  <c r="J5" i="7"/>
  <c r="G5" i="7"/>
  <c r="J4" i="7"/>
  <c r="G4" i="7"/>
  <c r="J3" i="7"/>
  <c r="G3" i="7"/>
  <c r="J12" i="6"/>
  <c r="G12" i="6"/>
  <c r="J11" i="6"/>
  <c r="G11" i="6"/>
  <c r="J10" i="6"/>
  <c r="G10" i="6"/>
  <c r="J9" i="6"/>
  <c r="G9" i="6"/>
  <c r="J8" i="6"/>
  <c r="G8" i="6"/>
  <c r="J7" i="6"/>
  <c r="G7" i="6"/>
  <c r="J6" i="6"/>
  <c r="G6" i="6"/>
  <c r="J5" i="6"/>
  <c r="G5" i="6"/>
  <c r="J4" i="6"/>
  <c r="G4" i="6"/>
  <c r="J3" i="6"/>
  <c r="G3" i="6"/>
  <c r="J12" i="5"/>
  <c r="G12" i="5"/>
  <c r="J11" i="5"/>
  <c r="G11" i="5"/>
  <c r="J10" i="5"/>
  <c r="G10" i="5"/>
  <c r="J9" i="5"/>
  <c r="G9" i="5"/>
  <c r="J8" i="5"/>
  <c r="G8" i="5"/>
  <c r="J7" i="5"/>
  <c r="G7" i="5"/>
  <c r="J6" i="5"/>
  <c r="G6" i="5"/>
  <c r="J5" i="5"/>
  <c r="G5" i="5"/>
  <c r="J4" i="5"/>
  <c r="G4" i="5"/>
  <c r="J3" i="5"/>
  <c r="G3" i="5"/>
  <c r="J12" i="4"/>
  <c r="G12" i="4"/>
  <c r="J11" i="4"/>
  <c r="G11" i="4"/>
  <c r="J10" i="4"/>
  <c r="G10" i="4"/>
  <c r="J9" i="4"/>
  <c r="G9" i="4"/>
  <c r="J8" i="4"/>
  <c r="G8" i="4"/>
  <c r="J7" i="4"/>
  <c r="G7" i="4"/>
  <c r="J6" i="4"/>
  <c r="G6" i="4"/>
  <c r="J5" i="4"/>
  <c r="G5" i="4"/>
  <c r="J4" i="4"/>
  <c r="G4" i="4"/>
  <c r="J3" i="4"/>
  <c r="G3" i="4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3" i="3"/>
  <c r="J30" i="2"/>
  <c r="G30" i="2"/>
  <c r="J29" i="2"/>
  <c r="G29" i="2"/>
  <c r="J28" i="2"/>
  <c r="G28" i="2"/>
  <c r="J27" i="2"/>
  <c r="G27" i="2"/>
  <c r="J26" i="2"/>
  <c r="G26" i="2"/>
  <c r="J25" i="2"/>
  <c r="G25" i="2"/>
  <c r="J22" i="2"/>
  <c r="G22" i="2"/>
  <c r="J21" i="2"/>
  <c r="G21" i="2"/>
  <c r="J20" i="2"/>
  <c r="G20" i="2"/>
  <c r="J19" i="2"/>
  <c r="G19" i="2"/>
  <c r="J18" i="2"/>
  <c r="G18" i="2"/>
  <c r="J17" i="2"/>
  <c r="G17" i="2"/>
  <c r="J14" i="2"/>
  <c r="G14" i="2"/>
  <c r="J13" i="2"/>
  <c r="G13" i="2"/>
  <c r="J12" i="2"/>
  <c r="G12" i="2"/>
  <c r="J11" i="2"/>
  <c r="G11" i="2"/>
  <c r="J10" i="2"/>
  <c r="G10" i="2"/>
  <c r="J9" i="2"/>
  <c r="G9" i="2"/>
  <c r="J8" i="2"/>
  <c r="G8" i="2"/>
  <c r="J7" i="2"/>
  <c r="G7" i="2"/>
  <c r="J6" i="2"/>
  <c r="G6" i="2"/>
  <c r="J5" i="2"/>
  <c r="G5" i="2"/>
  <c r="J4" i="2"/>
  <c r="G4" i="2"/>
  <c r="J3" i="2"/>
  <c r="G3" i="2"/>
  <c r="J26" i="1"/>
  <c r="J27" i="1"/>
  <c r="J28" i="1"/>
  <c r="J29" i="1"/>
  <c r="J30" i="1"/>
  <c r="J25" i="1"/>
  <c r="G26" i="1"/>
  <c r="G27" i="1"/>
  <c r="G28" i="1"/>
  <c r="G29" i="1"/>
  <c r="G30" i="1"/>
  <c r="G25" i="1"/>
  <c r="J18" i="1"/>
  <c r="J19" i="1"/>
  <c r="J20" i="1"/>
  <c r="J21" i="1"/>
  <c r="J22" i="1"/>
  <c r="J17" i="1"/>
  <c r="G18" i="1"/>
  <c r="G19" i="1"/>
  <c r="G20" i="1"/>
  <c r="G21" i="1"/>
  <c r="G22" i="1"/>
  <c r="G17" i="1"/>
  <c r="J4" i="1"/>
  <c r="J5" i="1"/>
  <c r="J6" i="1"/>
  <c r="J7" i="1"/>
  <c r="J8" i="1"/>
  <c r="J9" i="1"/>
  <c r="J10" i="1"/>
  <c r="J11" i="1"/>
  <c r="J12" i="1"/>
  <c r="J13" i="1"/>
  <c r="J14" i="1"/>
  <c r="J3" i="1"/>
  <c r="G4" i="1"/>
  <c r="G5" i="1"/>
  <c r="G6" i="1"/>
  <c r="G7" i="1"/>
  <c r="G8" i="1"/>
  <c r="G9" i="1"/>
  <c r="G10" i="1"/>
  <c r="G11" i="1"/>
  <c r="G12" i="1"/>
  <c r="G13" i="1"/>
  <c r="G14" i="1"/>
  <c r="G3" i="1"/>
</calcChain>
</file>

<file path=xl/sharedStrings.xml><?xml version="1.0" encoding="utf-8"?>
<sst xmlns="http://schemas.openxmlformats.org/spreadsheetml/2006/main" count="4878" uniqueCount="1340">
  <si>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</si>
  <si>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</si>
  <si>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</si>
  <si>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</si>
  <si>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</si>
  <si>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</si>
  <si>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</si>
  <si>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</si>
  <si>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</si>
  <si>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</si>
  <si>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</si>
  <si>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</si>
  <si>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#</t>
  </si>
  <si>
    <t>Time</t>
  </si>
  <si>
    <t>PTS</t>
  </si>
  <si>
    <t>PJ</t>
  </si>
  <si>
    <t>VIT</t>
  </si>
  <si>
    <t>E</t>
  </si>
  <si>
    <t>DER</t>
  </si>
  <si>
    <t>SG</t>
  </si>
  <si>
    <t>GP</t>
  </si>
  <si>
    <t>GC</t>
  </si>
  <si>
    <t>Þór Akureyri</t>
  </si>
  <si>
    <t>Víkingur</t>
  </si>
  <si>
    <t>FH</t>
  </si>
  <si>
    <t>Fram</t>
  </si>
  <si>
    <t>Valur</t>
  </si>
  <si>
    <t>KR</t>
  </si>
  <si>
    <t>Keflavík</t>
  </si>
  <si>
    <t>Stjarnan</t>
  </si>
  <si>
    <t>KA</t>
  </si>
  <si>
    <t>Breiðablik</t>
  </si>
  <si>
    <t>ÍBV</t>
  </si>
  <si>
    <t>ÍA</t>
  </si>
  <si>
    <t>Championship round</t>
  </si>
  <si>
    <t>Relegation round</t>
  </si>
  <si>
    <t>Fase preliminar</t>
  </si>
  <si>
    <t>3x0</t>
  </si>
  <si>
    <t>0x1</t>
  </si>
  <si>
    <t>Quartas de final</t>
  </si>
  <si>
    <t>Semifinal</t>
  </si>
  <si>
    <t>1x2</t>
  </si>
  <si>
    <t>1x0</t>
  </si>
  <si>
    <t>2x0</t>
  </si>
  <si>
    <t>2x1</t>
  </si>
  <si>
    <t>3x2</t>
  </si>
  <si>
    <t>Final</t>
  </si>
  <si>
    <t>2x3</t>
  </si>
  <si>
    <t>Campeões</t>
  </si>
  <si>
    <t>Bikarkeppni</t>
  </si>
  <si>
    <t>Veikkausliiga</t>
  </si>
  <si>
    <t>Inter Turku</t>
  </si>
  <si>
    <t>TPS</t>
  </si>
  <si>
    <t>Lahti</t>
  </si>
  <si>
    <t>Ilves</t>
  </si>
  <si>
    <t>SJK Seinäjoki</t>
  </si>
  <si>
    <t>Gnistan</t>
  </si>
  <si>
    <t>Oulu</t>
  </si>
  <si>
    <t>Mariehamn</t>
  </si>
  <si>
    <t>KuPs</t>
  </si>
  <si>
    <t>HJK</t>
  </si>
  <si>
    <t>VPS</t>
  </si>
  <si>
    <t>Jaro</t>
  </si>
  <si>
    <t>Suomen Cup</t>
  </si>
  <si>
    <t>0x2</t>
  </si>
  <si>
    <t>0x0 (5x4)</t>
  </si>
  <si>
    <t>4x1</t>
  </si>
  <si>
    <t>Besta Deild Karla</t>
  </si>
  <si>
    <t>Kazakhstan Premier League</t>
  </si>
  <si>
    <t>13.</t>
  </si>
  <si>
    <t>14.</t>
  </si>
  <si>
    <t>15.</t>
  </si>
  <si>
    <t>16.</t>
  </si>
  <si>
    <t>Tobol</t>
  </si>
  <si>
    <t>Aktobe</t>
  </si>
  <si>
    <t>Ulytau</t>
  </si>
  <si>
    <t>Altai</t>
  </si>
  <si>
    <t>Caspiy</t>
  </si>
  <si>
    <t>Atyrau</t>
  </si>
  <si>
    <t>Astana</t>
  </si>
  <si>
    <t>Yelimay</t>
  </si>
  <si>
    <t>FC Kaisar</t>
  </si>
  <si>
    <t>Kyzylzhar</t>
  </si>
  <si>
    <t>FC Zhetysu</t>
  </si>
  <si>
    <t>FC Kairat</t>
  </si>
  <si>
    <t>FC Okzhetpes</t>
  </si>
  <si>
    <t>FC Zhenys</t>
  </si>
  <si>
    <t>Ordabasy</t>
  </si>
  <si>
    <t>Irtysh</t>
  </si>
  <si>
    <t>Kazakhstan Cup</t>
  </si>
  <si>
    <t>Oitavas de final</t>
  </si>
  <si>
    <t>4x0</t>
  </si>
  <si>
    <t>1x1 (5x4)</t>
  </si>
  <si>
    <t>3x1</t>
  </si>
  <si>
    <t>1x1 (3x1)</t>
  </si>
  <si>
    <t>1x3</t>
  </si>
  <si>
    <t>Premier Division</t>
  </si>
  <si>
    <t>Bohemians</t>
  </si>
  <si>
    <t>Waterford</t>
  </si>
  <si>
    <t>Dundalk</t>
  </si>
  <si>
    <t>Shamrock Rovers</t>
  </si>
  <si>
    <t>Galway United</t>
  </si>
  <si>
    <t>Derry City</t>
  </si>
  <si>
    <t>Sligo Rovers</t>
  </si>
  <si>
    <t>Drogheda United</t>
  </si>
  <si>
    <t>Shelbourne</t>
  </si>
  <si>
    <t>FAI Cup</t>
  </si>
  <si>
    <t>St. Patrick's</t>
  </si>
  <si>
    <t>0x0 (3x1)</t>
  </si>
  <si>
    <t>0x0 (4x5)</t>
  </si>
  <si>
    <t>A Lyga</t>
  </si>
  <si>
    <t>Džiugas Telšiai</t>
  </si>
  <si>
    <t>FK Banga Gargždai</t>
  </si>
  <si>
    <t>FK Transinvest</t>
  </si>
  <si>
    <t>FA Šiauliai</t>
  </si>
  <si>
    <t>Žalgiris</t>
  </si>
  <si>
    <t>FK Sūduva</t>
  </si>
  <si>
    <t>Kauno Žalgiris</t>
  </si>
  <si>
    <t>FK Panevėžys</t>
  </si>
  <si>
    <t>FK Riteriai</t>
  </si>
  <si>
    <t>FC Hegelmann</t>
  </si>
  <si>
    <t>LFF Cup</t>
  </si>
  <si>
    <t>0x0 (6x5)</t>
  </si>
  <si>
    <t>0x0 (5x6)</t>
  </si>
  <si>
    <t>Faroe Islands Premier League</t>
  </si>
  <si>
    <t>07 Vestur</t>
  </si>
  <si>
    <t>AB Argir</t>
  </si>
  <si>
    <t>B36 Tórshavn</t>
  </si>
  <si>
    <t>EB/Streymur</t>
  </si>
  <si>
    <t>KÍ Klaksvík</t>
  </si>
  <si>
    <t>Skála ÍF</t>
  </si>
  <si>
    <t>NSÍ Runavík</t>
  </si>
  <si>
    <t>B68 Toftir</t>
  </si>
  <si>
    <t>HB Torshávn</t>
  </si>
  <si>
    <t>Faroe Islands Cup</t>
  </si>
  <si>
    <t>1x1 (4x1)</t>
  </si>
  <si>
    <t>1x1 (2x4)</t>
  </si>
  <si>
    <t>Virsliga</t>
  </si>
  <si>
    <t>BFC Daugavpils</t>
  </si>
  <si>
    <t>FK Auda</t>
  </si>
  <si>
    <t>FK Tukums 2000</t>
  </si>
  <si>
    <t>FS Jelgava</t>
  </si>
  <si>
    <t>Ogre United</t>
  </si>
  <si>
    <t>RFS</t>
  </si>
  <si>
    <t>Riga FC</t>
  </si>
  <si>
    <t>SK Super Nova</t>
  </si>
  <si>
    <t>FK Grobiņa</t>
  </si>
  <si>
    <t>Liepāja</t>
  </si>
  <si>
    <t>Latvijas Kauss</t>
  </si>
  <si>
    <t>1x1 (3x5)</t>
  </si>
  <si>
    <t>1x1 (7x6)</t>
  </si>
  <si>
    <t>0x0 (5x3)</t>
  </si>
  <si>
    <t>Allsvenskan</t>
  </si>
  <si>
    <t>Degerfors</t>
  </si>
  <si>
    <t>Djurgården</t>
  </si>
  <si>
    <t>Brommapojkarna</t>
  </si>
  <si>
    <t>Halmstads</t>
  </si>
  <si>
    <t>Hammarby</t>
  </si>
  <si>
    <t>Västerås</t>
  </si>
  <si>
    <t>BK Häcken</t>
  </si>
  <si>
    <t>Elfsborg</t>
  </si>
  <si>
    <t>Malmö</t>
  </si>
  <si>
    <t>IK Sirius</t>
  </si>
  <si>
    <t>AIK</t>
  </si>
  <si>
    <t>Göteborg</t>
  </si>
  <si>
    <t>Kalmar</t>
  </si>
  <si>
    <t>Örgryte</t>
  </si>
  <si>
    <t>Mjällby</t>
  </si>
  <si>
    <t>GAIS</t>
  </si>
  <si>
    <t>Svenska Cupen</t>
  </si>
  <si>
    <t>1x1 (4x5)</t>
  </si>
  <si>
    <t>0x0 (2x4)</t>
  </si>
  <si>
    <t>1x1 (4x2)</t>
  </si>
  <si>
    <t>2x2 (3x4)</t>
  </si>
  <si>
    <t>Premium Liiga</t>
  </si>
  <si>
    <t>Harju JK</t>
  </si>
  <si>
    <t>Flora</t>
  </si>
  <si>
    <t>Kuressaare</t>
  </si>
  <si>
    <t>Narva Trans</t>
  </si>
  <si>
    <t>Levadia</t>
  </si>
  <si>
    <t>Paide</t>
  </si>
  <si>
    <t>Tammeka</t>
  </si>
  <si>
    <t>Pärnu JK Vaprus</t>
  </si>
  <si>
    <t>Nõmme Kalju</t>
  </si>
  <si>
    <t>Nõmme United</t>
  </si>
  <si>
    <t>Eesti Karikas</t>
  </si>
  <si>
    <t>Vysshaya Liga</t>
  </si>
  <si>
    <t>Gomel</t>
  </si>
  <si>
    <t>Belshina Bobruisk</t>
  </si>
  <si>
    <t>Neman Grodno</t>
  </si>
  <si>
    <t>FK Baranovichi</t>
  </si>
  <si>
    <t>FC Minsk</t>
  </si>
  <si>
    <t>Dynamo Brest</t>
  </si>
  <si>
    <t>Torpedo-Belaz</t>
  </si>
  <si>
    <t>Slavia Mozyr</t>
  </si>
  <si>
    <t>Dnepr Mogilev</t>
  </si>
  <si>
    <t>Naftan Novopolotsk</t>
  </si>
  <si>
    <t>Bate Borisov</t>
  </si>
  <si>
    <t>Dinamo Minsk</t>
  </si>
  <si>
    <t>Isloch</t>
  </si>
  <si>
    <t>Arsenal Dzerzhinsk</t>
  </si>
  <si>
    <t>Vitebsk</t>
  </si>
  <si>
    <t>ML Vitebsk</t>
  </si>
  <si>
    <t>Belarus Cup</t>
  </si>
  <si>
    <t>2x2</t>
  </si>
  <si>
    <t>1x1</t>
  </si>
  <si>
    <t>0x0</t>
  </si>
  <si>
    <t>Eliteserien</t>
  </si>
  <si>
    <t>Lillestrøm</t>
  </si>
  <si>
    <t>Brann</t>
  </si>
  <si>
    <t>Fredrikstad</t>
  </si>
  <si>
    <t>Bodø/Glimt</t>
  </si>
  <si>
    <t>Vålerenga</t>
  </si>
  <si>
    <t>Viking</t>
  </si>
  <si>
    <t>Aalesunds</t>
  </si>
  <si>
    <t>Rosenborg</t>
  </si>
  <si>
    <t>Sandefjord</t>
  </si>
  <si>
    <t>HamKam</t>
  </si>
  <si>
    <t>IK Start</t>
  </si>
  <si>
    <t>Molde</t>
  </si>
  <si>
    <t>Sarpsborg</t>
  </si>
  <si>
    <t>KFUM Oslo</t>
  </si>
  <si>
    <t>Kristiansund</t>
  </si>
  <si>
    <t>Tromsø</t>
  </si>
  <si>
    <t>NM Cup</t>
  </si>
  <si>
    <t>1x1 (3x2)</t>
  </si>
  <si>
    <t>3x3 (5x6)</t>
  </si>
  <si>
    <t>Abissnet Superiore</t>
  </si>
  <si>
    <t>Egnatia</t>
  </si>
  <si>
    <t>AF Elbasani</t>
  </si>
  <si>
    <t>Dinamo City</t>
  </si>
  <si>
    <t>KF Vllaznia</t>
  </si>
  <si>
    <t>KF Teuta</t>
  </si>
  <si>
    <t>FK Partizani</t>
  </si>
  <si>
    <t>KF Vora</t>
  </si>
  <si>
    <t>Flamurtari Vlorë</t>
  </si>
  <si>
    <t>Bylis Ballsh</t>
  </si>
  <si>
    <t>KF Tirana</t>
  </si>
  <si>
    <t>Kupa e Shqiperise</t>
  </si>
  <si>
    <t>2x2 (5x4)</t>
  </si>
  <si>
    <t>0x1 (4x5)</t>
  </si>
  <si>
    <t>0x4</t>
  </si>
  <si>
    <t>Primera Divisió</t>
  </si>
  <si>
    <t>Inter Club D'Escaldes</t>
  </si>
  <si>
    <t>UE Santa Coloma</t>
  </si>
  <si>
    <t>FC Santa Coloma</t>
  </si>
  <si>
    <t>Penya D'Andorra</t>
  </si>
  <si>
    <t>Atlètic D'Escaldes</t>
  </si>
  <si>
    <t>Ordino</t>
  </si>
  <si>
    <t>Rànger's</t>
  </si>
  <si>
    <t>Carroi</t>
  </si>
  <si>
    <t>Esperança</t>
  </si>
  <si>
    <t>Copa Constitució</t>
  </si>
  <si>
    <t>0x3</t>
  </si>
  <si>
    <t>Bundesliga</t>
  </si>
  <si>
    <t>17.</t>
  </si>
  <si>
    <t>18.</t>
  </si>
  <si>
    <t>2. Bundesliga</t>
  </si>
  <si>
    <t>Darmstadt</t>
  </si>
  <si>
    <t>Schalke 04</t>
  </si>
  <si>
    <t>Hannover</t>
  </si>
  <si>
    <t>Hertha Berlin</t>
  </si>
  <si>
    <t>Kaiserslautern</t>
  </si>
  <si>
    <t>Elversberg</t>
  </si>
  <si>
    <t>Nüremberg</t>
  </si>
  <si>
    <t>Kiel</t>
  </si>
  <si>
    <t>Magdeburg</t>
  </si>
  <si>
    <t>Braunschweig</t>
  </si>
  <si>
    <t>Fürth</t>
  </si>
  <si>
    <t>Paderborn</t>
  </si>
  <si>
    <t>Fortuna Düsseldorf</t>
  </si>
  <si>
    <t>Karlsruher</t>
  </si>
  <si>
    <t>Bochum</t>
  </si>
  <si>
    <t>Preußen Münster</t>
  </si>
  <si>
    <t>Dynamo Dresden</t>
  </si>
  <si>
    <t>Arminia Bielefeld</t>
  </si>
  <si>
    <t>3. Liga</t>
  </si>
  <si>
    <t>19.</t>
  </si>
  <si>
    <t>20.</t>
  </si>
  <si>
    <t>Hansa Rostock</t>
  </si>
  <si>
    <t>Energie Cottbus</t>
  </si>
  <si>
    <t>Osnabrück</t>
  </si>
  <si>
    <t>Verl</t>
  </si>
  <si>
    <t>Duisburg</t>
  </si>
  <si>
    <t>Rot-Weiss Essen</t>
  </si>
  <si>
    <t>Wehen Wiesbaden</t>
  </si>
  <si>
    <t>Hoffenheim II</t>
  </si>
  <si>
    <t>Erzgebirge Aue</t>
  </si>
  <si>
    <t>Stuttgart II</t>
  </si>
  <si>
    <t>Ingolstadt</t>
  </si>
  <si>
    <t>Waldhof Manheim</t>
  </si>
  <si>
    <t>Saarbrücken</t>
  </si>
  <si>
    <t>1860 München</t>
  </si>
  <si>
    <t>Regensburg</t>
  </si>
  <si>
    <t>Viktoria Köln</t>
  </si>
  <si>
    <t>Ulm</t>
  </si>
  <si>
    <t>Alemannia Aachen</t>
  </si>
  <si>
    <t>Havelse</t>
  </si>
  <si>
    <t>Schweinfurt</t>
  </si>
  <si>
    <t>Playoff do rebaixamento</t>
  </si>
  <si>
    <t>1x0 (3x4)</t>
  </si>
  <si>
    <t>Final Four</t>
  </si>
  <si>
    <t>DFB Pokal</t>
  </si>
  <si>
    <t>Leverkusen</t>
  </si>
  <si>
    <t>St. Pauli</t>
  </si>
  <si>
    <t>Stuttgart</t>
  </si>
  <si>
    <t>RB Leipzig</t>
  </si>
  <si>
    <t>Bayern</t>
  </si>
  <si>
    <t>Freiburg</t>
  </si>
  <si>
    <t>Frankfurt</t>
  </si>
  <si>
    <t>Union Berlin</t>
  </si>
  <si>
    <t>Hoffenheim</t>
  </si>
  <si>
    <t>Dortmund</t>
  </si>
  <si>
    <t>Köln</t>
  </si>
  <si>
    <t>Mönchengladbach</t>
  </si>
  <si>
    <t>Hamburgo</t>
  </si>
  <si>
    <t>Augsburg</t>
  </si>
  <si>
    <t>Mainz</t>
  </si>
  <si>
    <t>Wolfsburg</t>
  </si>
  <si>
    <t>Werder Bremen</t>
  </si>
  <si>
    <t>Heidenheim</t>
  </si>
  <si>
    <t>Armenian Premier League</t>
  </si>
  <si>
    <t>Ararat Armenia</t>
  </si>
  <si>
    <t>Urartu</t>
  </si>
  <si>
    <t>Pyunik</t>
  </si>
  <si>
    <t>Alashkert</t>
  </si>
  <si>
    <t>Noah</t>
  </si>
  <si>
    <t>Van</t>
  </si>
  <si>
    <t>BKMA Yerevan</t>
  </si>
  <si>
    <t>Gandzasar</t>
  </si>
  <si>
    <t>Shirak</t>
  </si>
  <si>
    <t>Ararat Yerevan</t>
  </si>
  <si>
    <t>Armenian Cup</t>
  </si>
  <si>
    <t>Austrian Bundesliga</t>
  </si>
  <si>
    <t>LASK</t>
  </si>
  <si>
    <t>RB Salzburg</t>
  </si>
  <si>
    <t>Hartberg</t>
  </si>
  <si>
    <t>Austria Wien</t>
  </si>
  <si>
    <t>SCR Altach</t>
  </si>
  <si>
    <t>WSG Tirol</t>
  </si>
  <si>
    <t>Rapid Wien</t>
  </si>
  <si>
    <t>SV Ried</t>
  </si>
  <si>
    <t>Wolfsberger</t>
  </si>
  <si>
    <t>Sturm Graz</t>
  </si>
  <si>
    <t>Grazer AK</t>
  </si>
  <si>
    <t>Blau Weiß Linz</t>
  </si>
  <si>
    <t>ÖFB Cup</t>
  </si>
  <si>
    <t>2x2 (3x2)</t>
  </si>
  <si>
    <t>0x0 (4x2)</t>
  </si>
  <si>
    <t>2x2 (1x4)</t>
  </si>
  <si>
    <t>Playoff conference league</t>
  </si>
  <si>
    <t>2. Liga</t>
  </si>
  <si>
    <t>Austria Lustenau</t>
  </si>
  <si>
    <t>SKU Amstetten</t>
  </si>
  <si>
    <t>Flyeralarm Admira</t>
  </si>
  <si>
    <t>SKN St. Pölten</t>
  </si>
  <si>
    <t>Floridsdorfer AC</t>
  </si>
  <si>
    <t>Austria Wien II</t>
  </si>
  <si>
    <t>Liefering</t>
  </si>
  <si>
    <t>First Wien</t>
  </si>
  <si>
    <t>Austria Salzburg</t>
  </si>
  <si>
    <t>Rapid Wien II</t>
  </si>
  <si>
    <t>Sturm Graz II</t>
  </si>
  <si>
    <t>Hertha Wels</t>
  </si>
  <si>
    <t>SW Bregenz</t>
  </si>
  <si>
    <t>Austria Klagenfurt</t>
  </si>
  <si>
    <t>Kapfenberger</t>
  </si>
  <si>
    <t>Misli Premier League</t>
  </si>
  <si>
    <t>Sabah</t>
  </si>
  <si>
    <t>Qarabag</t>
  </si>
  <si>
    <t>Turan Tovuz</t>
  </si>
  <si>
    <t>Gabala</t>
  </si>
  <si>
    <t>Zira FK</t>
  </si>
  <si>
    <t>Sumgayit FK</t>
  </si>
  <si>
    <t>Araz-Naxçivan</t>
  </si>
  <si>
    <t>Neftçi</t>
  </si>
  <si>
    <t>Shamakhi FK</t>
  </si>
  <si>
    <t xml:space="preserve">İmişli </t>
  </si>
  <si>
    <t>Kapaz PFK</t>
  </si>
  <si>
    <t>Karvan FK</t>
  </si>
  <si>
    <t>Azerbaijan Cup</t>
  </si>
  <si>
    <t>2x0 (4x2)</t>
  </si>
  <si>
    <t>2x1 (4x5)</t>
  </si>
  <si>
    <t>Jupiler Pro League</t>
  </si>
  <si>
    <t>Union SG</t>
  </si>
  <si>
    <t>STVV</t>
  </si>
  <si>
    <t>Club Brugge</t>
  </si>
  <si>
    <t>Anderlecht</t>
  </si>
  <si>
    <t>KVC Westerlo</t>
  </si>
  <si>
    <t>Standard Liege</t>
  </si>
  <si>
    <t>Gent</t>
  </si>
  <si>
    <t>Cercle Brugge</t>
  </si>
  <si>
    <t>KV Mechelen</t>
  </si>
  <si>
    <t>Sporting Charleroi</t>
  </si>
  <si>
    <t>La Louvière</t>
  </si>
  <si>
    <t>Zulte Waregem</t>
  </si>
  <si>
    <t>Royal Antwerp</t>
  </si>
  <si>
    <t>OH Leuven</t>
  </si>
  <si>
    <t>FCV Dender</t>
  </si>
  <si>
    <t>Genk</t>
  </si>
  <si>
    <t>Qualifying round</t>
  </si>
  <si>
    <t>Challenger Pro League</t>
  </si>
  <si>
    <t>Beveren</t>
  </si>
  <si>
    <t>Kortrijk</t>
  </si>
  <si>
    <t>Beerschot</t>
  </si>
  <si>
    <t>Lommel</t>
  </si>
  <si>
    <t>Patro Eisden</t>
  </si>
  <si>
    <t>Liège</t>
  </si>
  <si>
    <t>KAS Eupen</t>
  </si>
  <si>
    <t>KSC Lokeren</t>
  </si>
  <si>
    <t>Jong Gent</t>
  </si>
  <si>
    <t>RWDM Brussels</t>
  </si>
  <si>
    <t>Lierse</t>
  </si>
  <si>
    <t>Francs Borains</t>
  </si>
  <si>
    <t>Jong Genk</t>
  </si>
  <si>
    <t>RSCA Futures</t>
  </si>
  <si>
    <t>RFC Seraing</t>
  </si>
  <si>
    <t>Club NXT</t>
  </si>
  <si>
    <t>Olympic Charleroi</t>
  </si>
  <si>
    <t>Playoff de acesso</t>
  </si>
  <si>
    <t>Belgian Cup</t>
  </si>
  <si>
    <t>Standard Liège</t>
  </si>
  <si>
    <t>WWIN Liga BiH</t>
  </si>
  <si>
    <t>Borac Banja Luka</t>
  </si>
  <si>
    <t>Zrinjski Mostar</t>
  </si>
  <si>
    <t>FK Sarajevo</t>
  </si>
  <si>
    <t>Široki Brijeg</t>
  </si>
  <si>
    <t>HŠK Posušje</t>
  </si>
  <si>
    <t>Radnik Bijeljina</t>
  </si>
  <si>
    <t>Velež Mostar</t>
  </si>
  <si>
    <t>Rudar Prijedor</t>
  </si>
  <si>
    <t>Željezničar</t>
  </si>
  <si>
    <t>Sloga Doboj</t>
  </si>
  <si>
    <t>Bosnia &amp; Herzegovina Cup</t>
  </si>
  <si>
    <t>Parva Liga</t>
  </si>
  <si>
    <t>Levski Sofia</t>
  </si>
  <si>
    <t>Ludogorets</t>
  </si>
  <si>
    <t>CSKA 1948 Sofia</t>
  </si>
  <si>
    <t>CSKA Sofia</t>
  </si>
  <si>
    <t>Cherno More</t>
  </si>
  <si>
    <t>Lokomotiv Plovdiv</t>
  </si>
  <si>
    <t>Arda Kardzhali</t>
  </si>
  <si>
    <t>Slavia Sofia</t>
  </si>
  <si>
    <t>Lokomotiv Sofia</t>
  </si>
  <si>
    <t>Botev Vratsa</t>
  </si>
  <si>
    <t>Botev Plovdiv</t>
  </si>
  <si>
    <t>FK Dobrudzha</t>
  </si>
  <si>
    <t>Spartak Varna</t>
  </si>
  <si>
    <t>Septemvri Sofia</t>
  </si>
  <si>
    <t>PFC Beroe</t>
  </si>
  <si>
    <t>PFC Montana</t>
  </si>
  <si>
    <t>Bulgarian Cup</t>
  </si>
  <si>
    <t>Cyprus League by Stoiximan</t>
  </si>
  <si>
    <t>Omonia</t>
  </si>
  <si>
    <t>AEK Larnaca</t>
  </si>
  <si>
    <t>Apollon Limassol</t>
  </si>
  <si>
    <t>Pafos</t>
  </si>
  <si>
    <t>Apoel</t>
  </si>
  <si>
    <t>Aris Limassol</t>
  </si>
  <si>
    <t>Cyprus Cup</t>
  </si>
  <si>
    <t>AEL Limassol</t>
  </si>
  <si>
    <t>3x3</t>
  </si>
  <si>
    <t>1x0 (4x1)</t>
  </si>
  <si>
    <t>HNL</t>
  </si>
  <si>
    <t>Dinamo Zagreb</t>
  </si>
  <si>
    <t>Hajduk Split</t>
  </si>
  <si>
    <t>Slaven Belupo</t>
  </si>
  <si>
    <t>Istra 1961</t>
  </si>
  <si>
    <t>NK Varaždin</t>
  </si>
  <si>
    <t>Rijeka</t>
  </si>
  <si>
    <t>Lokomotiva Zagreb</t>
  </si>
  <si>
    <t>Gorica</t>
  </si>
  <si>
    <t>Vukovar 91</t>
  </si>
  <si>
    <t>Osijek</t>
  </si>
  <si>
    <t>Hrvatski nogometni kup</t>
  </si>
  <si>
    <t>Danish Superliga</t>
  </si>
  <si>
    <t>AGF</t>
  </si>
  <si>
    <t>Midtjylland</t>
  </si>
  <si>
    <t>Sønderjyske</t>
  </si>
  <si>
    <t>Viborg</t>
  </si>
  <si>
    <t>Nordsjælland</t>
  </si>
  <si>
    <t>Brøndby</t>
  </si>
  <si>
    <t>København</t>
  </si>
  <si>
    <t>OB</t>
  </si>
  <si>
    <t>Randers</t>
  </si>
  <si>
    <t>Fredericia</t>
  </si>
  <si>
    <t>Silkeborg</t>
  </si>
  <si>
    <t>Vejle</t>
  </si>
  <si>
    <t>Oddset Pokalen</t>
  </si>
  <si>
    <t>Scottish Premiership</t>
  </si>
  <si>
    <t>Hearts</t>
  </si>
  <si>
    <t>Rangers</t>
  </si>
  <si>
    <t>Celtic</t>
  </si>
  <si>
    <t>Motherwell</t>
  </si>
  <si>
    <t>Hibernian</t>
  </si>
  <si>
    <t>Falkirk</t>
  </si>
  <si>
    <t>Dundee United</t>
  </si>
  <si>
    <t>Aberdeen</t>
  </si>
  <si>
    <t>Dundee</t>
  </si>
  <si>
    <t>Kilmarnock</t>
  </si>
  <si>
    <t>St. Mirren</t>
  </si>
  <si>
    <t>Livingston</t>
  </si>
  <si>
    <t>Scottish Cup</t>
  </si>
  <si>
    <t>Niké Liga</t>
  </si>
  <si>
    <t>DAC 1904</t>
  </si>
  <si>
    <t>Slovan Bratislava</t>
  </si>
  <si>
    <t xml:space="preserve">	MŠK Žilina</t>
  </si>
  <si>
    <t>Spartak Trnava</t>
  </si>
  <si>
    <t>Zemplín Michalovce</t>
  </si>
  <si>
    <t>Podbrezová</t>
  </si>
  <si>
    <t>Slovnaft Cup</t>
  </si>
  <si>
    <t xml:space="preserve">
Košice</t>
  </si>
  <si>
    <t>Tatran Prešov</t>
  </si>
  <si>
    <t>PrvaLiga</t>
  </si>
  <si>
    <t>Celje</t>
  </si>
  <si>
    <t>NK Bravo</t>
  </si>
  <si>
    <t>Maribor</t>
  </si>
  <si>
    <t>Koper</t>
  </si>
  <si>
    <t>Olimpija Ljubljana</t>
  </si>
  <si>
    <t>NK Radomlje</t>
  </si>
  <si>
    <t>NK Aluminij</t>
  </si>
  <si>
    <t>Mura</t>
  </si>
  <si>
    <t>Primorje</t>
  </si>
  <si>
    <t>Slovenia Cup</t>
  </si>
  <si>
    <t>Barcelona</t>
  </si>
  <si>
    <t>Real Madrid</t>
  </si>
  <si>
    <t>Villarreal</t>
  </si>
  <si>
    <t>Atlético de Madrid</t>
  </si>
  <si>
    <t>Athletic Bilbao</t>
  </si>
  <si>
    <t>Real Betis</t>
  </si>
  <si>
    <t>Real Sociedad</t>
  </si>
  <si>
    <t>Celta de Vigo</t>
  </si>
  <si>
    <t>Getafe</t>
  </si>
  <si>
    <t>Aláves</t>
  </si>
  <si>
    <t>Valencia</t>
  </si>
  <si>
    <t>Girona</t>
  </si>
  <si>
    <t>Espanyol</t>
  </si>
  <si>
    <t>Rayo Vallecano</t>
  </si>
  <si>
    <t>Osasuna</t>
  </si>
  <si>
    <t>Elche</t>
  </si>
  <si>
    <t>Sevilla</t>
  </si>
  <si>
    <t>Real Oviedo</t>
  </si>
  <si>
    <t>Mallorca</t>
  </si>
  <si>
    <t>Levante</t>
  </si>
  <si>
    <t>LaLiga</t>
  </si>
  <si>
    <t>LaLiga 2</t>
  </si>
  <si>
    <t>21.</t>
  </si>
  <si>
    <t>22.</t>
  </si>
  <si>
    <t>La Coruña</t>
  </si>
  <si>
    <t>Racing Santander</t>
  </si>
  <si>
    <t>Las Palmas</t>
  </si>
  <si>
    <t>Almería</t>
  </si>
  <si>
    <t>Burgos</t>
  </si>
  <si>
    <t>Castellón</t>
  </si>
  <si>
    <t>Ceuta</t>
  </si>
  <si>
    <t>Málaga</t>
  </si>
  <si>
    <t>Eibar</t>
  </si>
  <si>
    <t>Sporting Gijón</t>
  </si>
  <si>
    <t>Albacete</t>
  </si>
  <si>
    <t>Granada</t>
  </si>
  <si>
    <t>Real Valladolid</t>
  </si>
  <si>
    <t>Cádiz</t>
  </si>
  <si>
    <t>Córdoba</t>
  </si>
  <si>
    <t>Leganés</t>
  </si>
  <si>
    <t>Andorra</t>
  </si>
  <si>
    <t>Real Zaragoza</t>
  </si>
  <si>
    <t>Huesca</t>
  </si>
  <si>
    <t>Mirandés</t>
  </si>
  <si>
    <t>Cultural Leonesa</t>
  </si>
  <si>
    <t>Real Sociedad B</t>
  </si>
  <si>
    <t>Primera Federación</t>
  </si>
  <si>
    <t>Grupo 1</t>
  </si>
  <si>
    <t>Grupo 2</t>
  </si>
  <si>
    <t>Tenerife</t>
  </si>
  <si>
    <t>Celta de Vigo B</t>
  </si>
  <si>
    <t>Zamora</t>
  </si>
  <si>
    <t>Athletic Bilbao B</t>
  </si>
  <si>
    <t>Lugo</t>
  </si>
  <si>
    <t>Ponferradina</t>
  </si>
  <si>
    <t>Real Madrid Castilla</t>
  </si>
  <si>
    <t>Barakaldo</t>
  </si>
  <si>
    <t>Arenas Club</t>
  </si>
  <si>
    <t>Pontevedra</t>
  </si>
  <si>
    <t>Mérida</t>
  </si>
  <si>
    <t>Racing de Ferrol</t>
  </si>
  <si>
    <t>Guadalajara</t>
  </si>
  <si>
    <t>Unionistas de Salamanca</t>
  </si>
  <si>
    <t>Ourense</t>
  </si>
  <si>
    <t>Talavera</t>
  </si>
  <si>
    <t>Real Avilés</t>
  </si>
  <si>
    <t>Cacereño</t>
  </si>
  <si>
    <t>Arenteiro</t>
  </si>
  <si>
    <t>Osasuna B</t>
  </si>
  <si>
    <t>Playoff do acesso</t>
  </si>
  <si>
    <t>Atlético de Madrid B</t>
  </si>
  <si>
    <t>Sabadell</t>
  </si>
  <si>
    <t>CE Europa</t>
  </si>
  <si>
    <t>Eldense</t>
  </si>
  <si>
    <t>Algeciras</t>
  </si>
  <si>
    <t>Cartagena</t>
  </si>
  <si>
    <t>Hércules</t>
  </si>
  <si>
    <t>Juventud Torremolinos</t>
  </si>
  <si>
    <t>Villarreal B</t>
  </si>
  <si>
    <t>Alcorcón</t>
  </si>
  <si>
    <t>Ibiza</t>
  </si>
  <si>
    <t>Antequera</t>
  </si>
  <si>
    <t>Teruel</t>
  </si>
  <si>
    <t>Gimnàstic de Tarragona</t>
  </si>
  <si>
    <t>Real Murcia</t>
  </si>
  <si>
    <t>Tarazona</t>
  </si>
  <si>
    <t>Sevilla Atlético</t>
  </si>
  <si>
    <t>Marbella</t>
  </si>
  <si>
    <t>Real Betis B</t>
  </si>
  <si>
    <t>Atlético Sanluqueño</t>
  </si>
  <si>
    <t>Finais</t>
  </si>
  <si>
    <t>1x4</t>
  </si>
  <si>
    <t>Disputa do título</t>
  </si>
  <si>
    <t>Copa del Rey</t>
  </si>
  <si>
    <t>Ligue 1</t>
  </si>
  <si>
    <t>PSG</t>
  </si>
  <si>
    <t>Lens</t>
  </si>
  <si>
    <t>Lille</t>
  </si>
  <si>
    <t>OM</t>
  </si>
  <si>
    <t>Monaco</t>
  </si>
  <si>
    <t>Lyon</t>
  </si>
  <si>
    <t>Rennes</t>
  </si>
  <si>
    <t>Brest</t>
  </si>
  <si>
    <t>Lorient</t>
  </si>
  <si>
    <t>Strasbourg</t>
  </si>
  <si>
    <t>Toulouse</t>
  </si>
  <si>
    <t>Paris FC</t>
  </si>
  <si>
    <t>Angers</t>
  </si>
  <si>
    <t>Le Havre</t>
  </si>
  <si>
    <t>Nice</t>
  </si>
  <si>
    <t>Auxerre</t>
  </si>
  <si>
    <t>Nantes</t>
  </si>
  <si>
    <t>Metz</t>
  </si>
  <si>
    <t>Ligue 2</t>
  </si>
  <si>
    <t>National 1</t>
  </si>
  <si>
    <t>Sochaux</t>
  </si>
  <si>
    <t>Le Puy Foot</t>
  </si>
  <si>
    <t>Dijon</t>
  </si>
  <si>
    <t>Rouen</t>
  </si>
  <si>
    <t>Fleury</t>
  </si>
  <si>
    <t>Orléans</t>
  </si>
  <si>
    <t>Versailles</t>
  </si>
  <si>
    <t>Valenciennes</t>
  </si>
  <si>
    <t>Paris 13</t>
  </si>
  <si>
    <t>Aubagne</t>
  </si>
  <si>
    <t>Villefranche</t>
  </si>
  <si>
    <t>Caen</t>
  </si>
  <si>
    <t>Concarneau</t>
  </si>
  <si>
    <t>Quevilly-Rouen</t>
  </si>
  <si>
    <t>FBBP</t>
  </si>
  <si>
    <t>Châteauroux</t>
  </si>
  <si>
    <t>Stade Briochin</t>
  </si>
  <si>
    <t>Coupe de France</t>
  </si>
  <si>
    <t>1x1 (4x3)</t>
  </si>
  <si>
    <t>Troyes</t>
  </si>
  <si>
    <t>Le Mans</t>
  </si>
  <si>
    <t>Saint-Éttiene</t>
  </si>
  <si>
    <t>Reims</t>
  </si>
  <si>
    <t>Red Star</t>
  </si>
  <si>
    <t>Montpellier</t>
  </si>
  <si>
    <t>Annecy</t>
  </si>
  <si>
    <t>Rodez</t>
  </si>
  <si>
    <t>Guingamp</t>
  </si>
  <si>
    <t>Dunkerque</t>
  </si>
  <si>
    <t>Boulogne</t>
  </si>
  <si>
    <t>Pau FC</t>
  </si>
  <si>
    <t>Grenoble Foot</t>
  </si>
  <si>
    <t>Laval</t>
  </si>
  <si>
    <t>Clermont Foot</t>
  </si>
  <si>
    <t>Nancy</t>
  </si>
  <si>
    <t>Amiens</t>
  </si>
  <si>
    <t>Bastia</t>
  </si>
  <si>
    <t>Erovnuli Liga</t>
  </si>
  <si>
    <t>Meshakhte Tkibuli</t>
  </si>
  <si>
    <t>Dila Gori</t>
  </si>
  <si>
    <t>Rustavi</t>
  </si>
  <si>
    <t>Iberia</t>
  </si>
  <si>
    <t>Dinamo Batumi</t>
  </si>
  <si>
    <t>Torpedo Kutaisi</t>
  </si>
  <si>
    <t>Samgurali Tskhaltubo</t>
  </si>
  <si>
    <t>Dinamo Tbilisi</t>
  </si>
  <si>
    <t>Gagra</t>
  </si>
  <si>
    <t>Spaeri</t>
  </si>
  <si>
    <t>Georgian Cup</t>
  </si>
  <si>
    <t>Gibraltar Football League</t>
  </si>
  <si>
    <t>Lincoln Red Imps</t>
  </si>
  <si>
    <t>St. Joseph's</t>
  </si>
  <si>
    <t>Europa FC</t>
  </si>
  <si>
    <t>Mons Calpe</t>
  </si>
  <si>
    <t>Lynx FC</t>
  </si>
  <si>
    <t>Lions Gibraltar</t>
  </si>
  <si>
    <t>Stoiximan Super League</t>
  </si>
  <si>
    <t>AEK Atenas</t>
  </si>
  <si>
    <t>PAOK</t>
  </si>
  <si>
    <t>Olympiacos</t>
  </si>
  <si>
    <t>Panathinaikos</t>
  </si>
  <si>
    <t>Levadiakos</t>
  </si>
  <si>
    <t>OFI Crete</t>
  </si>
  <si>
    <t>Volos</t>
  </si>
  <si>
    <t>Aris</t>
  </si>
  <si>
    <t>Greek Football Cup</t>
  </si>
  <si>
    <t>Eredivisie</t>
  </si>
  <si>
    <t>PSV</t>
  </si>
  <si>
    <t>NEC</t>
  </si>
  <si>
    <t>Ajax</t>
  </si>
  <si>
    <t>Twente</t>
  </si>
  <si>
    <t>Feyenoord</t>
  </si>
  <si>
    <t>AZ</t>
  </si>
  <si>
    <t>Groningen</t>
  </si>
  <si>
    <t>Heerenveen</t>
  </si>
  <si>
    <t>Sparta Rotterdam</t>
  </si>
  <si>
    <t>Utrecht</t>
  </si>
  <si>
    <t>PEC Zwolle</t>
  </si>
  <si>
    <t>Go Ahead Eagles</t>
  </si>
  <si>
    <t>Fortuna Sittard</t>
  </si>
  <si>
    <t>Telstar</t>
  </si>
  <si>
    <t>Volendam</t>
  </si>
  <si>
    <t>NAC Breda</t>
  </si>
  <si>
    <t>Excelsior</t>
  </si>
  <si>
    <t>Heracles Almelo</t>
  </si>
  <si>
    <t>Eerste Divisie</t>
  </si>
  <si>
    <t>KNVB Beker</t>
  </si>
  <si>
    <t>ADO Den Haag</t>
  </si>
  <si>
    <t>Cambuur</t>
  </si>
  <si>
    <t>Almere City</t>
  </si>
  <si>
    <t>De Graafschap</t>
  </si>
  <si>
    <t>Willem II</t>
  </si>
  <si>
    <t>Waalwijk</t>
  </si>
  <si>
    <t>Den Bosch</t>
  </si>
  <si>
    <t>Jong PSV</t>
  </si>
  <si>
    <t>Roda JC</t>
  </si>
  <si>
    <t>Jong Utrecht</t>
  </si>
  <si>
    <t>VVV Venlo</t>
  </si>
  <si>
    <t>FC Eindhoven</t>
  </si>
  <si>
    <t>Jong AZ</t>
  </si>
  <si>
    <t>Dordrecht</t>
  </si>
  <si>
    <t>Emmen</t>
  </si>
  <si>
    <t>MVV</t>
  </si>
  <si>
    <t>Vitesse</t>
  </si>
  <si>
    <t>Helmond Sport</t>
  </si>
  <si>
    <t>Jong Ajax</t>
  </si>
  <si>
    <t>Top OSS</t>
  </si>
  <si>
    <t>2x1 (1x3)</t>
  </si>
  <si>
    <t>Fizz Liga</t>
  </si>
  <si>
    <t>Ferencvaros</t>
  </si>
  <si>
    <t>ETO Győr</t>
  </si>
  <si>
    <t>Zalaegerszeg</t>
  </si>
  <si>
    <t>Debreceni VSC</t>
  </si>
  <si>
    <t>Paksi</t>
  </si>
  <si>
    <t>Puskás Akadémia</t>
  </si>
  <si>
    <t>Kisvárda</t>
  </si>
  <si>
    <t>Újpest</t>
  </si>
  <si>
    <t>MTK Budapest</t>
  </si>
  <si>
    <t>Nyíregyháza</t>
  </si>
  <si>
    <t>Diósgyőri</t>
  </si>
  <si>
    <t>Kazincbarcika</t>
  </si>
  <si>
    <t>MOL Magyar Kupa</t>
  </si>
  <si>
    <t>Premier League</t>
  </si>
  <si>
    <t>Arsenal</t>
  </si>
  <si>
    <t>Manchester City</t>
  </si>
  <si>
    <t>Manchester United</t>
  </si>
  <si>
    <t>Everton</t>
  </si>
  <si>
    <t>Chelsea</t>
  </si>
  <si>
    <t>Aston Villa</t>
  </si>
  <si>
    <t>Newcastle</t>
  </si>
  <si>
    <t>Brentford</t>
  </si>
  <si>
    <t>Liverpool</t>
  </si>
  <si>
    <t>Brighton</t>
  </si>
  <si>
    <t>Crystal Palace</t>
  </si>
  <si>
    <t>Sunderland</t>
  </si>
  <si>
    <t>Bournemouth</t>
  </si>
  <si>
    <t>Fulham</t>
  </si>
  <si>
    <t>Leeds United</t>
  </si>
  <si>
    <t>Nottingham Forest</t>
  </si>
  <si>
    <t>Tottenham</t>
  </si>
  <si>
    <t>West Ham</t>
  </si>
  <si>
    <t>Wolves</t>
  </si>
  <si>
    <t>Burnley</t>
  </si>
  <si>
    <t>Championship</t>
  </si>
  <si>
    <t>23.</t>
  </si>
  <si>
    <t>24.</t>
  </si>
  <si>
    <t>Coventry City</t>
  </si>
  <si>
    <t>Ipswich Town</t>
  </si>
  <si>
    <t>Middlesbrough</t>
  </si>
  <si>
    <t>Wrexham</t>
  </si>
  <si>
    <t>Millwall</t>
  </si>
  <si>
    <t>Southampton</t>
  </si>
  <si>
    <t>Hull City</t>
  </si>
  <si>
    <t>Derby County</t>
  </si>
  <si>
    <t>Bristol City</t>
  </si>
  <si>
    <t>Norwich City</t>
  </si>
  <si>
    <t>Watford</t>
  </si>
  <si>
    <t>QPR</t>
  </si>
  <si>
    <t>Stoke City</t>
  </si>
  <si>
    <t>Preston</t>
  </si>
  <si>
    <t>Sheffield United</t>
  </si>
  <si>
    <t>Swansea City</t>
  </si>
  <si>
    <t>Birmingham City</t>
  </si>
  <si>
    <t>Charlton Athletic</t>
  </si>
  <si>
    <t>West Brom</t>
  </si>
  <si>
    <t>Blackburn Rovers</t>
  </si>
  <si>
    <t>Leicester City</t>
  </si>
  <si>
    <t>Oxford United</t>
  </si>
  <si>
    <t>Portsmouth</t>
  </si>
  <si>
    <t>Sheffield Wednesday</t>
  </si>
  <si>
    <t>2x3 (5x4)</t>
  </si>
  <si>
    <t>League One</t>
  </si>
  <si>
    <t>Lincoln City</t>
  </si>
  <si>
    <t>Cardiff City</t>
  </si>
  <si>
    <t>Bolton</t>
  </si>
  <si>
    <t>Bradford City</t>
  </si>
  <si>
    <t>Plymouth Argyle</t>
  </si>
  <si>
    <t>Stockport</t>
  </si>
  <si>
    <t>Wycombe Wanderers</t>
  </si>
  <si>
    <t>Stevenage</t>
  </si>
  <si>
    <t>Huddersfield</t>
  </si>
  <si>
    <t>Reading</t>
  </si>
  <si>
    <t>Peterborough</t>
  </si>
  <si>
    <t>Luton Town</t>
  </si>
  <si>
    <t>Mansfield Town</t>
  </si>
  <si>
    <t>Barnsley</t>
  </si>
  <si>
    <t>Doncaster</t>
  </si>
  <si>
    <t>Leyton Orient</t>
  </si>
  <si>
    <t>Wimbledon</t>
  </si>
  <si>
    <t>Burton Albion</t>
  </si>
  <si>
    <t>Wigan Athletic</t>
  </si>
  <si>
    <t>Rotherham United</t>
  </si>
  <si>
    <t>Blackpool</t>
  </si>
  <si>
    <t>Exeter City</t>
  </si>
  <si>
    <t>Northampton</t>
  </si>
  <si>
    <t>Port Vale</t>
  </si>
  <si>
    <t>League Two</t>
  </si>
  <si>
    <t>Bromley</t>
  </si>
  <si>
    <t>MK Dons</t>
  </si>
  <si>
    <t>Cambridge United</t>
  </si>
  <si>
    <t>Swindon Town</t>
  </si>
  <si>
    <t>Notts County</t>
  </si>
  <si>
    <t>Chesterfield</t>
  </si>
  <si>
    <t>Salford City</t>
  </si>
  <si>
    <t>Grimsby Town</t>
  </si>
  <si>
    <t>Crewe Alexandra</t>
  </si>
  <si>
    <t>Barnet</t>
  </si>
  <si>
    <t>Walsall</t>
  </si>
  <si>
    <t>Oldham Athletic</t>
  </si>
  <si>
    <t>Colchester United</t>
  </si>
  <si>
    <t>Fleetwood Town</t>
  </si>
  <si>
    <t>Bristol Rovers</t>
  </si>
  <si>
    <t>Accrington</t>
  </si>
  <si>
    <t>Gillingham</t>
  </si>
  <si>
    <t>Cheltenham Town</t>
  </si>
  <si>
    <t>Shrewsbury</t>
  </si>
  <si>
    <t>Tranmere Rovers</t>
  </si>
  <si>
    <t>Crawley Town</t>
  </si>
  <si>
    <t>Barrow</t>
  </si>
  <si>
    <t>Newport County</t>
  </si>
  <si>
    <t>Harrogate Town</t>
  </si>
  <si>
    <t>FA Cup</t>
  </si>
  <si>
    <t>NIFL Premiership</t>
  </si>
  <si>
    <t>Irish Cup</t>
  </si>
  <si>
    <t>Dungannon Swifts</t>
  </si>
  <si>
    <t>Coleraine</t>
  </si>
  <si>
    <t>Larne</t>
  </si>
  <si>
    <t>Glentoran</t>
  </si>
  <si>
    <t>Linfield</t>
  </si>
  <si>
    <t>Cliftonville</t>
  </si>
  <si>
    <t>Carrick Rangers</t>
  </si>
  <si>
    <t>Portadown</t>
  </si>
  <si>
    <t>Bangor</t>
  </si>
  <si>
    <t>Ballymena United</t>
  </si>
  <si>
    <t>Glenavon</t>
  </si>
  <si>
    <t>Crusaders</t>
  </si>
  <si>
    <t>Israeli Premier League</t>
  </si>
  <si>
    <t>Beitar Jerusalem</t>
  </si>
  <si>
    <t>Hapoel Be'er Sheva</t>
  </si>
  <si>
    <t>Maccabi Tel Aviv</t>
  </si>
  <si>
    <t>Hapoel Tel Aviv</t>
  </si>
  <si>
    <t>Maccabi Haifa</t>
  </si>
  <si>
    <t>Hapoel Petah Tikva</t>
  </si>
  <si>
    <t>Maccabi Netanya</t>
  </si>
  <si>
    <t>Bnei Sakhnin</t>
  </si>
  <si>
    <t>Kiryat Shmona</t>
  </si>
  <si>
    <t>Hapoel Haifa</t>
  </si>
  <si>
    <t>Ashdod</t>
  </si>
  <si>
    <t>Ironi Tiberias</t>
  </si>
  <si>
    <t>Hapoel Jerusalem</t>
  </si>
  <si>
    <t>Maccabi Bnei Reineh</t>
  </si>
  <si>
    <t>State Cup</t>
  </si>
  <si>
    <t>1x1 (5x3)</t>
  </si>
  <si>
    <t>Serie A TIM</t>
  </si>
  <si>
    <t>Internazionale</t>
  </si>
  <si>
    <t>Napoli</t>
  </si>
  <si>
    <t>Juventus</t>
  </si>
  <si>
    <t>Milan</t>
  </si>
  <si>
    <t>Como</t>
  </si>
  <si>
    <t>Roma</t>
  </si>
  <si>
    <t>Atalanta</t>
  </si>
  <si>
    <t>Lazio</t>
  </si>
  <si>
    <t>Bologna</t>
  </si>
  <si>
    <t>Udinese</t>
  </si>
  <si>
    <t>Sassuolo</t>
  </si>
  <si>
    <t>Parma</t>
  </si>
  <si>
    <t>Torino</t>
  </si>
  <si>
    <t>Fiorentina</t>
  </si>
  <si>
    <t>Genoa</t>
  </si>
  <si>
    <t>Cagliari</t>
  </si>
  <si>
    <t>Lecce</t>
  </si>
  <si>
    <t>Cremonese</t>
  </si>
  <si>
    <t>Hellas Verona</t>
  </si>
  <si>
    <t>Pisa</t>
  </si>
  <si>
    <t>Serie BKT</t>
  </si>
  <si>
    <t>Serie C</t>
  </si>
  <si>
    <t>Grupo A</t>
  </si>
  <si>
    <t>Grupo B</t>
  </si>
  <si>
    <t>Grupo C</t>
  </si>
  <si>
    <t>Coppa Italia</t>
  </si>
  <si>
    <t>Frosinone</t>
  </si>
  <si>
    <t>Monza</t>
  </si>
  <si>
    <t>Venezia</t>
  </si>
  <si>
    <t>Palermo</t>
  </si>
  <si>
    <t>Catanzaro</t>
  </si>
  <si>
    <t>Modena</t>
  </si>
  <si>
    <t>Cesena</t>
  </si>
  <si>
    <t>Südtirol</t>
  </si>
  <si>
    <t>Carrarese</t>
  </si>
  <si>
    <t>Juve Stabia</t>
  </si>
  <si>
    <t>Avellino</t>
  </si>
  <si>
    <t>Mantova</t>
  </si>
  <si>
    <t>Virtus Entella</t>
  </si>
  <si>
    <t>Empoli</t>
  </si>
  <si>
    <t>Padova</t>
  </si>
  <si>
    <t>Sampdoria</t>
  </si>
  <si>
    <t>Pescara</t>
  </si>
  <si>
    <t>Reggiana</t>
  </si>
  <si>
    <t>Bari</t>
  </si>
  <si>
    <t>Spezia</t>
  </si>
  <si>
    <t>2x2 (3x5)</t>
  </si>
  <si>
    <t>2x0 (2x3)</t>
  </si>
  <si>
    <t>Arezzo</t>
  </si>
  <si>
    <t>Ascoli</t>
  </si>
  <si>
    <t>Ravenna</t>
  </si>
  <si>
    <t>Campobasso</t>
  </si>
  <si>
    <t>Juventus Next Gen</t>
  </si>
  <si>
    <t>Pineto</t>
  </si>
  <si>
    <t>Ternana</t>
  </si>
  <si>
    <t>Gubbio</t>
  </si>
  <si>
    <t>Vis Pesaro</t>
  </si>
  <si>
    <t>Pianese</t>
  </si>
  <si>
    <t>Perugia</t>
  </si>
  <si>
    <t>Livorno</t>
  </si>
  <si>
    <t>Guidonia</t>
  </si>
  <si>
    <t>Forlì</t>
  </si>
  <si>
    <t>Carpi</t>
  </si>
  <si>
    <t>Torres</t>
  </si>
  <si>
    <t>Bra</t>
  </si>
  <si>
    <t>Sambenedettese</t>
  </si>
  <si>
    <t>Pontedera</t>
  </si>
  <si>
    <t>Vicenza</t>
  </si>
  <si>
    <t>Union Brescia</t>
  </si>
  <si>
    <t>Renate</t>
  </si>
  <si>
    <t>Lecco</t>
  </si>
  <si>
    <t>Trento</t>
  </si>
  <si>
    <t>Cittadella</t>
  </si>
  <si>
    <t>Lumezzane</t>
  </si>
  <si>
    <t>Alcione</t>
  </si>
  <si>
    <t>Arzignano</t>
  </si>
  <si>
    <t>Giana Erminio</t>
  </si>
  <si>
    <t>Ospitaletto</t>
  </si>
  <si>
    <t>Novara</t>
  </si>
  <si>
    <t>Albinoleffe</t>
  </si>
  <si>
    <t>Inter U23</t>
  </si>
  <si>
    <t>Dolomiti Bellunesi</t>
  </si>
  <si>
    <t>Pro Vercelli</t>
  </si>
  <si>
    <t>Pergolettese</t>
  </si>
  <si>
    <t>Virtus Verona</t>
  </si>
  <si>
    <t>Pro Patria</t>
  </si>
  <si>
    <t>Triestina</t>
  </si>
  <si>
    <t>Benevento</t>
  </si>
  <si>
    <t>Catania</t>
  </si>
  <si>
    <t>Casertana</t>
  </si>
  <si>
    <t>Cosenza</t>
  </si>
  <si>
    <t>Salernitana</t>
  </si>
  <si>
    <t>Crotone</t>
  </si>
  <si>
    <t>Audace Cerignola</t>
  </si>
  <si>
    <t>Potenza</t>
  </si>
  <si>
    <t>Monopoli</t>
  </si>
  <si>
    <t>Casarano</t>
  </si>
  <si>
    <t>Atalanta U23</t>
  </si>
  <si>
    <t>Team Altamura</t>
  </si>
  <si>
    <t>Picerno</t>
  </si>
  <si>
    <t>Cavese</t>
  </si>
  <si>
    <t>Latina</t>
  </si>
  <si>
    <t>Sorrento</t>
  </si>
  <si>
    <t>Giugliano</t>
  </si>
  <si>
    <t>Foggia</t>
  </si>
  <si>
    <t>Trapani</t>
  </si>
  <si>
    <t>Siracusa</t>
  </si>
  <si>
    <t>Girone 1o turno</t>
  </si>
  <si>
    <t>Girone 2o turno</t>
  </si>
  <si>
    <t>Playoff nazionale 1o turno</t>
  </si>
  <si>
    <t>Playoff nazionale 2o turno</t>
  </si>
  <si>
    <t>Supercoppa Serie C</t>
  </si>
  <si>
    <t>AlbiMall Superliga</t>
  </si>
  <si>
    <t>Drita</t>
  </si>
  <si>
    <t>Ballkani</t>
  </si>
  <si>
    <t>Prishtina</t>
  </si>
  <si>
    <t>Llapi</t>
  </si>
  <si>
    <t>Ferizaj</t>
  </si>
  <si>
    <t>KF Prishtina e Re</t>
  </si>
  <si>
    <t>KF Drenica</t>
  </si>
  <si>
    <t>KF Dukagjini</t>
  </si>
  <si>
    <t>KF Malisheva</t>
  </si>
  <si>
    <t>Gjilani</t>
  </si>
  <si>
    <t>Kupa e Kosovës</t>
  </si>
  <si>
    <t>FL1 Aktiv Cup</t>
  </si>
  <si>
    <t>FC Balzers</t>
  </si>
  <si>
    <t>Vaduz</t>
  </si>
  <si>
    <t>FC Triesen</t>
  </si>
  <si>
    <t>USV Eschen/Mauren</t>
  </si>
  <si>
    <t>Campeão</t>
  </si>
  <si>
    <t>Division Nationale</t>
  </si>
  <si>
    <t>Atert Bissen</t>
  </si>
  <si>
    <t>Differdange</t>
  </si>
  <si>
    <t>UNA Strassen</t>
  </si>
  <si>
    <t>Dudelange</t>
  </si>
  <si>
    <t>Swift Hesperange</t>
  </si>
  <si>
    <t>Jeunesse Esch</t>
  </si>
  <si>
    <t>Progrès</t>
  </si>
  <si>
    <t>Racing FC</t>
  </si>
  <si>
    <t>US Hostert</t>
  </si>
  <si>
    <t>US Mondorf</t>
  </si>
  <si>
    <t>UN Käerjéng</t>
  </si>
  <si>
    <t>Victoria Rosport</t>
  </si>
  <si>
    <t>Jeunesse Canach</t>
  </si>
  <si>
    <t>FC Mamer 32</t>
  </si>
  <si>
    <t>FC Rodange 91</t>
  </si>
  <si>
    <t>Union Titus Pétange</t>
  </si>
  <si>
    <t>Coupe de Luxembourg</t>
  </si>
  <si>
    <t>4x2</t>
  </si>
  <si>
    <t>Closing round top 6</t>
  </si>
  <si>
    <t>Gżira United</t>
  </si>
  <si>
    <t>Marsaxlokk</t>
  </si>
  <si>
    <t>Ħamrun Spartans</t>
  </si>
  <si>
    <t>Floriana</t>
  </si>
  <si>
    <t>Naxxar Lions</t>
  </si>
  <si>
    <t>Valletta</t>
  </si>
  <si>
    <t>YoHealth Malta Premier</t>
  </si>
  <si>
    <t>Maltese FA Trophy</t>
  </si>
  <si>
    <t>1. MFL</t>
  </si>
  <si>
    <t>Shkëndija</t>
  </si>
  <si>
    <t>Struga</t>
  </si>
  <si>
    <t>Vardar Skopje</t>
  </si>
  <si>
    <t>Sileks Kratovo</t>
  </si>
  <si>
    <t>AP Brera</t>
  </si>
  <si>
    <t>Bashkimi</t>
  </si>
  <si>
    <t xml:space="preserve">Tikveš </t>
  </si>
  <si>
    <t>Arsimi</t>
  </si>
  <si>
    <t>Rabotnički</t>
  </si>
  <si>
    <t>Makedonija</t>
  </si>
  <si>
    <t>Pelister Bitola</t>
  </si>
  <si>
    <t>Shkupi</t>
  </si>
  <si>
    <t>North Macedonia Cup</t>
  </si>
  <si>
    <t>Moldovan Super Liga</t>
  </si>
  <si>
    <t>Petrocub</t>
  </si>
  <si>
    <t>Zimbru</t>
  </si>
  <si>
    <t>Sheriff</t>
  </si>
  <si>
    <t>Milsami Orhei</t>
  </si>
  <si>
    <t>Bălţi</t>
  </si>
  <si>
    <t>Dacia Buiucani</t>
  </si>
  <si>
    <t>Cupa Moldova</t>
  </si>
  <si>
    <t>Politehnica</t>
  </si>
  <si>
    <t>Spartanii Sportul</t>
  </si>
  <si>
    <t>5x0</t>
  </si>
  <si>
    <t>6x0</t>
  </si>
  <si>
    <t>2x1 (10x11)</t>
  </si>
  <si>
    <t>Montenegrin First League</t>
  </si>
  <si>
    <t>Sutjeska</t>
  </si>
  <si>
    <t>Mornar</t>
  </si>
  <si>
    <t>Budućnost</t>
  </si>
  <si>
    <t>Dečić</t>
  </si>
  <si>
    <t>Mladost DG</t>
  </si>
  <si>
    <t>Petrovac</t>
  </si>
  <si>
    <t>Jezero</t>
  </si>
  <si>
    <t>Arsenal Tivat</t>
  </si>
  <si>
    <t>Jedinstvo</t>
  </si>
  <si>
    <t>Bokelj</t>
  </si>
  <si>
    <t>Montenegrin Cup</t>
  </si>
  <si>
    <t>Cymru Premier</t>
  </si>
  <si>
    <t>FAW Welsh Cup</t>
  </si>
  <si>
    <t>Caernarfon Town</t>
  </si>
  <si>
    <t>Flint Town United</t>
  </si>
  <si>
    <t>The New Saints</t>
  </si>
  <si>
    <t>Connah's Quay</t>
  </si>
  <si>
    <t>Barry Town United</t>
  </si>
  <si>
    <t>Colwyn Bay</t>
  </si>
  <si>
    <t>Penybont</t>
  </si>
  <si>
    <t>Haverfordwest</t>
  </si>
  <si>
    <t>Briton Ferry</t>
  </si>
  <si>
    <t>Cardiff MU</t>
  </si>
  <si>
    <t>Bala Town</t>
  </si>
  <si>
    <t>Llanelli</t>
  </si>
  <si>
    <t>Ekstraklasa</t>
  </si>
  <si>
    <t>Lech Poznań</t>
  </si>
  <si>
    <t>Zagłębie Lubin</t>
  </si>
  <si>
    <t>Górnik Zabrze</t>
  </si>
  <si>
    <t>Katowice</t>
  </si>
  <si>
    <t>Jagiellonia</t>
  </si>
  <si>
    <t>Korona Kielce</t>
  </si>
  <si>
    <t>Lechia Gdánsk</t>
  </si>
  <si>
    <t>Cracovia</t>
  </si>
  <si>
    <t>Raków Częstochowa</t>
  </si>
  <si>
    <t>Motor Lublin</t>
  </si>
  <si>
    <t>Wisła Płock</t>
  </si>
  <si>
    <t>Gliwice</t>
  </si>
  <si>
    <t>Radomiak Radom</t>
  </si>
  <si>
    <t>Legia Varsóvia</t>
  </si>
  <si>
    <t>Widzew Łódź</t>
  </si>
  <si>
    <t>Pogoń Szczecin</t>
  </si>
  <si>
    <t>Nieciecza</t>
  </si>
  <si>
    <t>Arka Gdynia</t>
  </si>
  <si>
    <t>Betclic 1. Liga</t>
  </si>
  <si>
    <t>Ruch Chorzów</t>
  </si>
  <si>
    <t xml:space="preserve">	Wisła Kraków</t>
  </si>
  <si>
    <t>Polonia Varsóvia</t>
  </si>
  <si>
    <t>Chrobry Głogów</t>
  </si>
  <si>
    <t>Wieczysta Kraków</t>
  </si>
  <si>
    <t>Stal Rzeszow</t>
  </si>
  <si>
    <t>Pogoń Grodzisk</t>
  </si>
  <si>
    <t>Miedź Legnica</t>
  </si>
  <si>
    <t>ŁKS Łódź</t>
  </si>
  <si>
    <t>Polonia Bytom</t>
  </si>
  <si>
    <t>Śląsk Wrocław</t>
  </si>
  <si>
    <t>Puszcza Niepołomice</t>
  </si>
  <si>
    <t>Stal Mielec</t>
  </si>
  <si>
    <t>Odra Opole</t>
  </si>
  <si>
    <t>Pogoń Siedlce</t>
  </si>
  <si>
    <t>Znicz Pruszków</t>
  </si>
  <si>
    <t>Górnik Łęczna</t>
  </si>
  <si>
    <t>GKS Tychy</t>
  </si>
  <si>
    <t>Puchar Polski</t>
  </si>
  <si>
    <t>Liga Portugal Betclic</t>
  </si>
  <si>
    <t>Liga Portugal 2</t>
  </si>
  <si>
    <t>Marítimo</t>
  </si>
  <si>
    <t>Torreense</t>
  </si>
  <si>
    <t>Vizela</t>
  </si>
  <si>
    <t>Académico de Viseu</t>
  </si>
  <si>
    <t>Sporting B</t>
  </si>
  <si>
    <t>União Leiria</t>
  </si>
  <si>
    <t>Porto B</t>
  </si>
  <si>
    <t>Lusitânia</t>
  </si>
  <si>
    <t>Leixões</t>
  </si>
  <si>
    <t>Benfica</t>
  </si>
  <si>
    <t>Benfica B</t>
  </si>
  <si>
    <t>Feirense</t>
  </si>
  <si>
    <t>Penafiel</t>
  </si>
  <si>
    <t>Farense</t>
  </si>
  <si>
    <t>Paços de Ferreira</t>
  </si>
  <si>
    <t>Felgueiras</t>
  </si>
  <si>
    <t>Chaves</t>
  </si>
  <si>
    <t>Portimonense</t>
  </si>
  <si>
    <t>Oliveirense</t>
  </si>
  <si>
    <t>Porto</t>
  </si>
  <si>
    <t>Sporting</t>
  </si>
  <si>
    <t>Braga</t>
  </si>
  <si>
    <t>Gil Vicente</t>
  </si>
  <si>
    <t>Famalicão</t>
  </si>
  <si>
    <t>Moreirense</t>
  </si>
  <si>
    <t>Estoril</t>
  </si>
  <si>
    <t>Alverca</t>
  </si>
  <si>
    <t>Santa Clara</t>
  </si>
  <si>
    <t>Vitória de Guimarães</t>
  </si>
  <si>
    <t>Rio Ave</t>
  </si>
  <si>
    <t>Arouca</t>
  </si>
  <si>
    <t>Estrela da Amadora</t>
  </si>
  <si>
    <t>Nacional</t>
  </si>
  <si>
    <t>Casa Pia</t>
  </si>
  <si>
    <t>Tondela</t>
  </si>
  <si>
    <t>AVS</t>
  </si>
  <si>
    <t>Taça de Portugal</t>
  </si>
  <si>
    <t>Romanian SuperLiga</t>
  </si>
  <si>
    <t>Universitatea Craiova</t>
  </si>
  <si>
    <t>Universitatea Cluj</t>
  </si>
  <si>
    <t>Argeș Pitești</t>
  </si>
  <si>
    <t>Cluj</t>
  </si>
  <si>
    <t>Rapid Bucureşti</t>
  </si>
  <si>
    <t>Dinamo Bucureşti</t>
  </si>
  <si>
    <t>UTA Arad</t>
  </si>
  <si>
    <t>FCSB</t>
  </si>
  <si>
    <t>Botoşani</t>
  </si>
  <si>
    <t>Oțelul Galați</t>
  </si>
  <si>
    <t>Farul Constanța</t>
  </si>
  <si>
    <t>Csíkszereda</t>
  </si>
  <si>
    <t>Unirea Slobozia</t>
  </si>
  <si>
    <t>Petrolul Ploiești</t>
  </si>
  <si>
    <t>Hermannstadt</t>
  </si>
  <si>
    <t>Metaloglobus</t>
  </si>
  <si>
    <t>Cupa României Betano</t>
  </si>
  <si>
    <t>0x0 (4x3)</t>
  </si>
  <si>
    <t>Russian Premier League</t>
  </si>
  <si>
    <t>Krasnodar</t>
  </si>
  <si>
    <t>Zenit</t>
  </si>
  <si>
    <t>Lokomotiv Moscou</t>
  </si>
  <si>
    <t>Baltika Kaliningrad</t>
  </si>
  <si>
    <t>Spartak Moscou</t>
  </si>
  <si>
    <t>Rubin Kazan</t>
  </si>
  <si>
    <t>CSKA Moscou</t>
  </si>
  <si>
    <t>Akhmat Grozny</t>
  </si>
  <si>
    <t>Dinamo Moscou</t>
  </si>
  <si>
    <t>Krylia Sovetov</t>
  </si>
  <si>
    <t>Dinamo Makhachkala</t>
  </si>
  <si>
    <t>Rostov</t>
  </si>
  <si>
    <t>Akron</t>
  </si>
  <si>
    <t>Orenburg</t>
  </si>
  <si>
    <t>Nizhny Novgorod</t>
  </si>
  <si>
    <t>Sochi</t>
  </si>
  <si>
    <t>Russian Cup</t>
  </si>
  <si>
    <t>"Final"</t>
  </si>
  <si>
    <t>Qualificação final</t>
  </si>
  <si>
    <t>Campionato Sammarinense</t>
  </si>
  <si>
    <t>Playoffs</t>
  </si>
  <si>
    <t>1a fase</t>
  </si>
  <si>
    <t>Coppa Titano</t>
  </si>
  <si>
    <t>Tre Fiori</t>
  </si>
  <si>
    <t>La Fiorita</t>
  </si>
  <si>
    <t>2x2 (0x3)</t>
  </si>
  <si>
    <t>Mozzart Bet Superliga</t>
  </si>
  <si>
    <t>Crvena Zvezda</t>
  </si>
  <si>
    <t>Vojvodina</t>
  </si>
  <si>
    <t>Partizan</t>
  </si>
  <si>
    <t>Železničar</t>
  </si>
  <si>
    <t>Novi Pazar</t>
  </si>
  <si>
    <t>OFK Beograd</t>
  </si>
  <si>
    <t>Čukarički</t>
  </si>
  <si>
    <t>Radnik Surdulica</t>
  </si>
  <si>
    <t>Mozzart Kup Srbije</t>
  </si>
  <si>
    <t>Swiss Super League</t>
  </si>
  <si>
    <t>Thun</t>
  </si>
  <si>
    <t>St. Gallen</t>
  </si>
  <si>
    <t>Lugano</t>
  </si>
  <si>
    <t>Basel</t>
  </si>
  <si>
    <t>Sion</t>
  </si>
  <si>
    <t>Young Boys</t>
  </si>
  <si>
    <t>Schweizer Cup</t>
  </si>
  <si>
    <t>Grasshopper</t>
  </si>
  <si>
    <t>Tre Penne</t>
  </si>
  <si>
    <t>Virtus</t>
  </si>
  <si>
    <t>Folgore</t>
  </si>
  <si>
    <t>Domagnano</t>
  </si>
  <si>
    <t>Cosmos</t>
  </si>
  <si>
    <t>Fiorentino</t>
  </si>
  <si>
    <t>Libertas</t>
  </si>
  <si>
    <t>Juvenes/Dogana</t>
  </si>
  <si>
    <t>Pennarossa</t>
  </si>
  <si>
    <t>San Giovanni</t>
  </si>
  <si>
    <t>Faetano</t>
  </si>
  <si>
    <t>Cailungo</t>
  </si>
  <si>
    <t>San Marino Academy</t>
  </si>
  <si>
    <t>Murata</t>
  </si>
  <si>
    <t>Disputa de 3o lugar</t>
  </si>
  <si>
    <t>Czech First League</t>
  </si>
  <si>
    <t>Slavia Praga</t>
  </si>
  <si>
    <t>Sparta Praga</t>
  </si>
  <si>
    <t>Jablonec</t>
  </si>
  <si>
    <t>Viktoria Plzen</t>
  </si>
  <si>
    <t>Slovan Liberec</t>
  </si>
  <si>
    <t>Sigma Olomouc</t>
  </si>
  <si>
    <t>Pardubice</t>
  </si>
  <si>
    <t>Hradec Králové</t>
  </si>
  <si>
    <t>Karviná</t>
  </si>
  <si>
    <t>Teplice</t>
  </si>
  <si>
    <t>Zlín</t>
  </si>
  <si>
    <t>Mladá Boleslav</t>
  </si>
  <si>
    <t>1. FC Slovácko</t>
  </si>
  <si>
    <t>Baník Ostrava</t>
  </si>
  <si>
    <t>Dukla Praga</t>
  </si>
  <si>
    <t>MOL Cup</t>
  </si>
  <si>
    <t>Trendyol Süper Lig</t>
  </si>
  <si>
    <t>Galatasaray</t>
  </si>
  <si>
    <t>Fenerbahçe</t>
  </si>
  <si>
    <t>Trabzonspor</t>
  </si>
  <si>
    <t>Besiktas</t>
  </si>
  <si>
    <t>Göztepe</t>
  </si>
  <si>
    <t>İstanbul Başakşehir</t>
  </si>
  <si>
    <t>Kocaelispor</t>
  </si>
  <si>
    <t>Rizespor</t>
  </si>
  <si>
    <t>Samsunspor</t>
  </si>
  <si>
    <t>Gaziantep</t>
  </si>
  <si>
    <t>Konyaspor</t>
  </si>
  <si>
    <t>Alanyaspor</t>
  </si>
  <si>
    <t>Antalyaspor</t>
  </si>
  <si>
    <t>Kasimpasa</t>
  </si>
  <si>
    <t>Eyüpspor</t>
  </si>
  <si>
    <t>Gençlerbirliği</t>
  </si>
  <si>
    <t>Kayserispor</t>
  </si>
  <si>
    <t>Karagümrük</t>
  </si>
  <si>
    <t>Trendyol 1. Lig</t>
  </si>
  <si>
    <t>Erzurumspor</t>
  </si>
  <si>
    <t>Erokspor</t>
  </si>
  <si>
    <t>Amed</t>
  </si>
  <si>
    <t>Bodrumspor</t>
  </si>
  <si>
    <t>Çorum</t>
  </si>
  <si>
    <t>Pendikspor</t>
  </si>
  <si>
    <t>Keçiörengücü</t>
  </si>
  <si>
    <t>Bandırmaspor</t>
  </si>
  <si>
    <t>Sivasspor</t>
  </si>
  <si>
    <t>Manisa</t>
  </si>
  <si>
    <t>Ümraniyespor</t>
  </si>
  <si>
    <t>Igdir</t>
  </si>
  <si>
    <t>Vanspor</t>
  </si>
  <si>
    <t xml:space="preserve">Sarıyer </t>
  </si>
  <si>
    <t>Boluspor</t>
  </si>
  <si>
    <t xml:space="preserve">İstanbulspor </t>
  </si>
  <si>
    <t>Serik Belediyespor</t>
  </si>
  <si>
    <t>Sakaryaspor</t>
  </si>
  <si>
    <t>Hatayspor</t>
  </si>
  <si>
    <t>Adana Demirspor</t>
  </si>
  <si>
    <t>1a rodada</t>
  </si>
  <si>
    <t>Türkiye Kupası</t>
  </si>
  <si>
    <t>2x2 (5x6)</t>
  </si>
  <si>
    <t>Ukrainian Premier League</t>
  </si>
  <si>
    <t>Shakhtar Donetsk</t>
  </si>
  <si>
    <t>LNZ Cherkasy</t>
  </si>
  <si>
    <t>Polissya Zhytomyr</t>
  </si>
  <si>
    <t>Dynamo Kiev</t>
  </si>
  <si>
    <t>Metalist</t>
  </si>
  <si>
    <t>Kolos Kovalivka</t>
  </si>
  <si>
    <t xml:space="preserve">	Kryvbas Kryvyi Rih</t>
  </si>
  <si>
    <t>Karpaty</t>
  </si>
  <si>
    <t>Zorya Lugansk</t>
  </si>
  <si>
    <t>Epitsentr</t>
  </si>
  <si>
    <t>NK Veres</t>
  </si>
  <si>
    <t>Rukh Lviv</t>
  </si>
  <si>
    <t>FK Obolon</t>
  </si>
  <si>
    <t>Kudrivka</t>
  </si>
  <si>
    <t>Oleksandriya</t>
  </si>
  <si>
    <t>Poltava</t>
  </si>
  <si>
    <t>Ukraine Cup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</si>
</sst>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222226"/>
      <name val="Aptos Narrow"/>
      <family val="2"/>
      <scheme val="minor"/>
    </font>
    <font>
      <sz val="1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C740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/>
    <xf numFmtId="0" fontId="0" fillId="4" borderId="0" xfId="0" applyFill="1"/>
    <xf numFmtId="0" fontId="0" fillId="5" borderId="0" xfId="0" applyFill="1"/>
    <xf numFmtId="0" fontId="2" fillId="0" borderId="0" xfId="0" applyFont="1" applyAlignment="1">
      <alignment vertical="center"/>
    </xf>
    <xf numFmtId="0" fontId="0" fillId="6" borderId="0" xfId="0" applyFill="1"/>
    <xf numFmtId="0" fontId="0" fillId="7" borderId="0" xfId="0" applyFill="1"/>
    <xf numFmtId="0" fontId="3" fillId="2" borderId="0" xfId="0" applyFont="1" applyFill="1"/>
    <xf numFmtId="0" fontId="3" fillId="0" borderId="0" xfId="0" applyFont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C7404"/>
      <color rgb="FFE72707"/>
      <color rgb="FFEC4714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87E67-D7F2-44F4-BADC-0603B0B380B7}">
  <dimension ref="A1:U19"/>
  <sheetViews>
    <sheetView workbookViewId="0">
      <selection activeCell="A2" sqref="A2:J12"/>
    </sheetView>
  </sheetViews>
  <sheetFormatPr defaultRowHeight="14.4" x14ac:dyDescent="0.3"/>
  <sheetData>
    <row r="1" spans="1:21" x14ac:dyDescent="0.3">
      <c r="A1" t="s">
        <v>227</v>
      </c>
      <c r="L1" t="s">
        <v>238</v>
      </c>
      <c r="T1" t="s">
        <v>48</v>
      </c>
    </row>
    <row r="2" spans="1:21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20</v>
      </c>
      <c r="I2" t="s">
        <v>21</v>
      </c>
      <c r="J2" t="s">
        <v>19</v>
      </c>
      <c r="L2" t="s">
        <v>39</v>
      </c>
      <c r="T2" t="s">
        <v>230</v>
      </c>
      <c r="U2">
        <v>19</v>
      </c>
    </row>
    <row r="3" spans="1:21" x14ac:dyDescent="0.3">
      <c r="A3" s="1" t="s">
        <v>0</v>
      </c>
      <c r="B3" t="s">
        <v>230</v>
      </c>
      <c r="C3" s="3">
        <f t="shared" ref="C3:C12" si="0">E3*3+F3</f>
        <v>61</v>
      </c>
      <c r="D3">
        <v>36</v>
      </c>
      <c r="E3">
        <v>17</v>
      </c>
      <c r="F3">
        <v>10</v>
      </c>
      <c r="G3">
        <f t="shared" ref="G3:G12" si="1">D3-E3-F3</f>
        <v>9</v>
      </c>
      <c r="H3">
        <v>59</v>
      </c>
      <c r="I3">
        <v>39</v>
      </c>
      <c r="J3">
        <f t="shared" ref="J3:J12" si="2">H3-I3</f>
        <v>20</v>
      </c>
      <c r="L3" t="s">
        <v>229</v>
      </c>
      <c r="M3" t="s">
        <v>64</v>
      </c>
      <c r="N3" t="s">
        <v>233</v>
      </c>
      <c r="P3" t="s">
        <v>233</v>
      </c>
      <c r="Q3" t="s">
        <v>43</v>
      </c>
      <c r="R3" t="s">
        <v>229</v>
      </c>
      <c r="T3" t="s">
        <v>230</v>
      </c>
      <c r="U3">
        <v>15</v>
      </c>
    </row>
    <row r="4" spans="1:21" x14ac:dyDescent="0.3">
      <c r="A4" s="1" t="s">
        <v>1</v>
      </c>
      <c r="B4" t="s">
        <v>228</v>
      </c>
      <c r="C4" s="3">
        <f t="shared" si="0"/>
        <v>60</v>
      </c>
      <c r="D4">
        <v>36</v>
      </c>
      <c r="E4">
        <v>17</v>
      </c>
      <c r="F4">
        <v>9</v>
      </c>
      <c r="G4">
        <f t="shared" si="1"/>
        <v>10</v>
      </c>
      <c r="H4">
        <v>55</v>
      </c>
      <c r="I4">
        <v>47</v>
      </c>
      <c r="J4">
        <f t="shared" si="2"/>
        <v>8</v>
      </c>
      <c r="L4" t="s">
        <v>236</v>
      </c>
      <c r="M4" t="s">
        <v>38</v>
      </c>
      <c r="N4" t="s">
        <v>231</v>
      </c>
      <c r="P4" t="s">
        <v>231</v>
      </c>
      <c r="Q4" t="s">
        <v>37</v>
      </c>
      <c r="R4" t="s">
        <v>236</v>
      </c>
    </row>
    <row r="5" spans="1:21" x14ac:dyDescent="0.3">
      <c r="A5" s="1" t="s">
        <v>2</v>
      </c>
      <c r="B5" t="s">
        <v>231</v>
      </c>
      <c r="C5" s="3">
        <f t="shared" si="0"/>
        <v>59</v>
      </c>
      <c r="D5">
        <v>36</v>
      </c>
      <c r="E5">
        <v>17</v>
      </c>
      <c r="F5">
        <v>8</v>
      </c>
      <c r="G5">
        <f t="shared" si="1"/>
        <v>11</v>
      </c>
      <c r="H5">
        <v>45</v>
      </c>
      <c r="I5">
        <v>38</v>
      </c>
      <c r="J5">
        <f t="shared" si="2"/>
        <v>7</v>
      </c>
      <c r="L5" t="s">
        <v>232</v>
      </c>
      <c r="M5" t="s">
        <v>37</v>
      </c>
      <c r="N5" t="s">
        <v>228</v>
      </c>
      <c r="P5" t="s">
        <v>228</v>
      </c>
      <c r="Q5" t="s">
        <v>44</v>
      </c>
      <c r="R5" t="s">
        <v>232</v>
      </c>
    </row>
    <row r="6" spans="1:21" x14ac:dyDescent="0.3">
      <c r="A6" s="1" t="s">
        <v>3</v>
      </c>
      <c r="B6" t="s">
        <v>229</v>
      </c>
      <c r="C6" s="3">
        <f t="shared" si="0"/>
        <v>53</v>
      </c>
      <c r="D6">
        <v>36</v>
      </c>
      <c r="E6">
        <v>15</v>
      </c>
      <c r="F6">
        <v>8</v>
      </c>
      <c r="G6">
        <f t="shared" si="1"/>
        <v>13</v>
      </c>
      <c r="H6">
        <v>42</v>
      </c>
      <c r="I6">
        <v>44</v>
      </c>
      <c r="J6">
        <f t="shared" si="2"/>
        <v>-2</v>
      </c>
      <c r="L6" t="s">
        <v>237</v>
      </c>
      <c r="M6" t="s">
        <v>205</v>
      </c>
      <c r="N6" t="s">
        <v>230</v>
      </c>
      <c r="P6" t="s">
        <v>230</v>
      </c>
      <c r="Q6" t="s">
        <v>239</v>
      </c>
      <c r="R6" t="s">
        <v>237</v>
      </c>
    </row>
    <row r="7" spans="1:21" x14ac:dyDescent="0.3">
      <c r="A7" t="s">
        <v>4</v>
      </c>
      <c r="B7" t="s">
        <v>233</v>
      </c>
      <c r="C7" s="3">
        <f t="shared" si="0"/>
        <v>49</v>
      </c>
      <c r="D7">
        <v>36</v>
      </c>
      <c r="E7">
        <v>13</v>
      </c>
      <c r="F7">
        <v>10</v>
      </c>
      <c r="G7">
        <f t="shared" si="1"/>
        <v>13</v>
      </c>
      <c r="H7">
        <v>40</v>
      </c>
      <c r="I7">
        <v>40</v>
      </c>
      <c r="J7">
        <f t="shared" si="2"/>
        <v>0</v>
      </c>
    </row>
    <row r="8" spans="1:21" x14ac:dyDescent="0.3">
      <c r="A8" t="s">
        <v>5</v>
      </c>
      <c r="B8" t="s">
        <v>232</v>
      </c>
      <c r="C8" s="3">
        <f t="shared" si="0"/>
        <v>48</v>
      </c>
      <c r="D8">
        <v>36</v>
      </c>
      <c r="E8">
        <v>12</v>
      </c>
      <c r="F8">
        <v>12</v>
      </c>
      <c r="G8">
        <f t="shared" si="1"/>
        <v>12</v>
      </c>
      <c r="H8">
        <v>35</v>
      </c>
      <c r="I8">
        <v>34</v>
      </c>
      <c r="J8">
        <f t="shared" si="2"/>
        <v>1</v>
      </c>
      <c r="L8" t="s">
        <v>40</v>
      </c>
    </row>
    <row r="9" spans="1:21" x14ac:dyDescent="0.3">
      <c r="A9" t="s">
        <v>6</v>
      </c>
      <c r="B9" t="s">
        <v>234</v>
      </c>
      <c r="C9" s="3">
        <f t="shared" si="0"/>
        <v>45</v>
      </c>
      <c r="D9">
        <v>36</v>
      </c>
      <c r="E9">
        <v>12</v>
      </c>
      <c r="F9">
        <v>9</v>
      </c>
      <c r="G9">
        <f t="shared" si="1"/>
        <v>15</v>
      </c>
      <c r="H9">
        <v>42</v>
      </c>
      <c r="I9">
        <v>41</v>
      </c>
      <c r="J9">
        <f t="shared" si="2"/>
        <v>1</v>
      </c>
      <c r="L9" t="s">
        <v>233</v>
      </c>
      <c r="M9" t="s">
        <v>38</v>
      </c>
      <c r="N9" t="s">
        <v>231</v>
      </c>
      <c r="P9" t="s">
        <v>231</v>
      </c>
      <c r="Q9" t="s">
        <v>240</v>
      </c>
      <c r="R9" t="s">
        <v>233</v>
      </c>
    </row>
    <row r="10" spans="1:21" x14ac:dyDescent="0.3">
      <c r="A10" t="s">
        <v>7</v>
      </c>
      <c r="B10" t="s">
        <v>235</v>
      </c>
      <c r="C10" s="3">
        <f t="shared" si="0"/>
        <v>41</v>
      </c>
      <c r="D10">
        <v>36</v>
      </c>
      <c r="E10">
        <v>9</v>
      </c>
      <c r="F10">
        <v>14</v>
      </c>
      <c r="G10">
        <f t="shared" si="1"/>
        <v>13</v>
      </c>
      <c r="H10">
        <v>43</v>
      </c>
      <c r="I10">
        <v>51</v>
      </c>
      <c r="J10">
        <f t="shared" si="2"/>
        <v>-8</v>
      </c>
      <c r="L10" t="s">
        <v>232</v>
      </c>
      <c r="M10" t="s">
        <v>206</v>
      </c>
      <c r="N10" t="s">
        <v>230</v>
      </c>
      <c r="P10" t="s">
        <v>230</v>
      </c>
      <c r="Q10" t="s">
        <v>42</v>
      </c>
      <c r="R10" t="s">
        <v>232</v>
      </c>
    </row>
    <row r="11" spans="1:21" x14ac:dyDescent="0.3">
      <c r="A11" t="s">
        <v>8</v>
      </c>
      <c r="B11" t="s">
        <v>236</v>
      </c>
      <c r="C11" s="3">
        <f t="shared" si="0"/>
        <v>40</v>
      </c>
      <c r="D11">
        <v>36</v>
      </c>
      <c r="E11">
        <v>11</v>
      </c>
      <c r="F11">
        <v>7</v>
      </c>
      <c r="G11">
        <f t="shared" si="1"/>
        <v>18</v>
      </c>
      <c r="H11">
        <v>41</v>
      </c>
      <c r="I11">
        <v>52</v>
      </c>
      <c r="J11">
        <f t="shared" si="2"/>
        <v>-11</v>
      </c>
    </row>
    <row r="12" spans="1:21" x14ac:dyDescent="0.3">
      <c r="A12" t="s">
        <v>9</v>
      </c>
      <c r="B12" t="s">
        <v>237</v>
      </c>
      <c r="C12" s="3">
        <f t="shared" si="0"/>
        <v>39</v>
      </c>
      <c r="D12">
        <v>36</v>
      </c>
      <c r="E12">
        <v>10</v>
      </c>
      <c r="F12">
        <v>9</v>
      </c>
      <c r="G12">
        <f t="shared" si="1"/>
        <v>17</v>
      </c>
      <c r="H12">
        <v>41</v>
      </c>
      <c r="I12">
        <v>57</v>
      </c>
      <c r="J12">
        <f t="shared" si="2"/>
        <v>-16</v>
      </c>
      <c r="L12" t="s">
        <v>46</v>
      </c>
    </row>
    <row r="13" spans="1:21" x14ac:dyDescent="0.3">
      <c r="L13" t="s">
        <v>233</v>
      </c>
      <c r="M13" t="s">
        <v>241</v>
      </c>
      <c r="N13" t="s">
        <v>230</v>
      </c>
    </row>
    <row r="14" spans="1:21" x14ac:dyDescent="0.3">
      <c r="A14" t="s">
        <v>301</v>
      </c>
    </row>
    <row r="15" spans="1:21" x14ac:dyDescent="0.3">
      <c r="A15" t="s">
        <v>12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20</v>
      </c>
      <c r="I15" t="s">
        <v>21</v>
      </c>
      <c r="J15" t="s">
        <v>19</v>
      </c>
    </row>
    <row r="16" spans="1:21" x14ac:dyDescent="0.3">
      <c r="A16" s="4" t="s">
        <v>0</v>
      </c>
      <c r="B16" t="s">
        <v>230</v>
      </c>
      <c r="C16" s="3">
        <v>33</v>
      </c>
      <c r="D16">
        <v>36</v>
      </c>
      <c r="E16">
        <v>19</v>
      </c>
      <c r="F16">
        <v>10</v>
      </c>
      <c r="G16">
        <f>D16-E16-F16</f>
        <v>7</v>
      </c>
      <c r="H16">
        <v>65</v>
      </c>
      <c r="I16">
        <v>42</v>
      </c>
      <c r="J16">
        <f>H16-I16</f>
        <v>23</v>
      </c>
    </row>
    <row r="17" spans="1:10" x14ac:dyDescent="0.3">
      <c r="A17" s="1" t="s">
        <v>1</v>
      </c>
      <c r="B17" t="s">
        <v>228</v>
      </c>
      <c r="C17" s="3">
        <f t="shared" ref="C17:C19" si="3">(E17*3+F17)/2</f>
        <v>33</v>
      </c>
      <c r="D17">
        <v>36</v>
      </c>
      <c r="E17">
        <v>19</v>
      </c>
      <c r="F17">
        <v>9</v>
      </c>
      <c r="G17">
        <f>D17-E17-F17</f>
        <v>8</v>
      </c>
      <c r="H17">
        <v>61</v>
      </c>
      <c r="I17">
        <v>53</v>
      </c>
      <c r="J17">
        <f>H17-I17</f>
        <v>8</v>
      </c>
    </row>
    <row r="18" spans="1:10" x14ac:dyDescent="0.3">
      <c r="A18" s="1" t="s">
        <v>2</v>
      </c>
      <c r="B18" t="s">
        <v>231</v>
      </c>
      <c r="C18" s="3">
        <f t="shared" si="3"/>
        <v>31</v>
      </c>
      <c r="D18">
        <v>36</v>
      </c>
      <c r="E18">
        <v>18</v>
      </c>
      <c r="F18">
        <v>8</v>
      </c>
      <c r="G18">
        <f>D18-E18-F18</f>
        <v>10</v>
      </c>
      <c r="H18">
        <v>46</v>
      </c>
      <c r="I18">
        <v>41</v>
      </c>
      <c r="J18">
        <f>H18-I18</f>
        <v>5</v>
      </c>
    </row>
    <row r="19" spans="1:10" x14ac:dyDescent="0.3">
      <c r="A19" s="1" t="s">
        <v>3</v>
      </c>
      <c r="B19" t="s">
        <v>229</v>
      </c>
      <c r="C19" s="3">
        <f t="shared" si="3"/>
        <v>28</v>
      </c>
      <c r="D19">
        <v>36</v>
      </c>
      <c r="E19">
        <v>16</v>
      </c>
      <c r="F19">
        <v>8</v>
      </c>
      <c r="G19">
        <f>D19-E19-F19</f>
        <v>12</v>
      </c>
      <c r="H19">
        <v>45</v>
      </c>
      <c r="I19">
        <v>48</v>
      </c>
      <c r="J19">
        <f>H19-I19</f>
        <v>-3</v>
      </c>
    </row>
  </sheetData>
  <sortState xmlns:xlrd2="http://schemas.microsoft.com/office/spreadsheetml/2017/richdata2" ref="B3:J12">
    <sortCondition descending="1" ref="C3:C12"/>
    <sortCondition descending="1" ref="J3:J12"/>
    <sortCondition descending="1" ref="H3:H1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7C6D5-07BD-46D5-998A-BD052B2729AB}">
  <dimension ref="A1:AM23"/>
  <sheetViews>
    <sheetView topLeftCell="N1" workbookViewId="0">
      <selection activeCell="W2" sqref="W2:AF22"/>
    </sheetView>
  </sheetViews>
  <sheetFormatPr defaultRowHeight="14.4" x14ac:dyDescent="0.3"/>
  <sheetData>
    <row r="1" spans="1:39" x14ac:dyDescent="0.3">
      <c r="A1" t="s">
        <v>254</v>
      </c>
      <c r="L1" t="s">
        <v>257</v>
      </c>
      <c r="W1" t="s">
        <v>276</v>
      </c>
      <c r="AH1" t="s">
        <v>302</v>
      </c>
      <c r="AL1" t="s">
        <v>48</v>
      </c>
    </row>
    <row r="2" spans="1:39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20</v>
      </c>
      <c r="I2" t="s">
        <v>21</v>
      </c>
      <c r="J2" t="s">
        <v>19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20</v>
      </c>
      <c r="T2" t="s">
        <v>21</v>
      </c>
      <c r="U2" t="s">
        <v>19</v>
      </c>
      <c r="W2" t="s">
        <v>12</v>
      </c>
      <c r="X2" t="s">
        <v>13</v>
      </c>
      <c r="Y2" t="s">
        <v>14</v>
      </c>
      <c r="Z2" t="s">
        <v>15</v>
      </c>
      <c r="AA2" t="s">
        <v>16</v>
      </c>
      <c r="AB2" t="s">
        <v>17</v>
      </c>
      <c r="AC2" t="s">
        <v>18</v>
      </c>
      <c r="AD2" t="s">
        <v>20</v>
      </c>
      <c r="AE2" t="s">
        <v>21</v>
      </c>
      <c r="AF2" t="s">
        <v>19</v>
      </c>
      <c r="AH2" t="s">
        <v>39</v>
      </c>
    </row>
    <row r="3" spans="1:39" x14ac:dyDescent="0.3">
      <c r="A3" s="4" t="s">
        <v>0</v>
      </c>
      <c r="B3" t="s">
        <v>307</v>
      </c>
      <c r="C3" s="3">
        <f t="shared" ref="C3:C18" si="0">E3*3+F3</f>
        <v>71</v>
      </c>
      <c r="D3">
        <v>34</v>
      </c>
      <c r="E3">
        <v>22</v>
      </c>
      <c r="F3">
        <v>5</v>
      </c>
      <c r="G3">
        <f>D3-E3-F3</f>
        <v>7</v>
      </c>
      <c r="H3">
        <v>87</v>
      </c>
      <c r="I3">
        <v>34</v>
      </c>
      <c r="J3">
        <f>H3-I3</f>
        <v>53</v>
      </c>
      <c r="L3" s="1" t="s">
        <v>0</v>
      </c>
      <c r="M3" t="s">
        <v>258</v>
      </c>
      <c r="N3" s="3">
        <f t="shared" ref="N3:N18" si="1">P3*3+Q3</f>
        <v>70</v>
      </c>
      <c r="O3">
        <v>34</v>
      </c>
      <c r="P3">
        <v>21</v>
      </c>
      <c r="Q3">
        <v>7</v>
      </c>
      <c r="R3">
        <f>O3-P3-Q3</f>
        <v>6</v>
      </c>
      <c r="S3">
        <v>65</v>
      </c>
      <c r="T3">
        <v>38</v>
      </c>
      <c r="U3">
        <f>S3-T3</f>
        <v>27</v>
      </c>
      <c r="W3" s="9" t="s">
        <v>0</v>
      </c>
      <c r="X3" t="s">
        <v>279</v>
      </c>
      <c r="Y3" s="3">
        <f t="shared" ref="Y3:Y18" si="2">AA3*3+AB3</f>
        <v>69</v>
      </c>
      <c r="Z3">
        <v>38</v>
      </c>
      <c r="AA3">
        <v>19</v>
      </c>
      <c r="AB3">
        <v>12</v>
      </c>
      <c r="AC3">
        <f>Z3-AA3-AB3</f>
        <v>7</v>
      </c>
      <c r="AD3">
        <v>63</v>
      </c>
      <c r="AE3">
        <v>40</v>
      </c>
      <c r="AF3">
        <f>AD3-AE3</f>
        <v>23</v>
      </c>
      <c r="AH3" t="s">
        <v>265</v>
      </c>
      <c r="AI3" t="s">
        <v>151</v>
      </c>
      <c r="AJ3" t="s">
        <v>305</v>
      </c>
      <c r="AL3" t="s">
        <v>258</v>
      </c>
      <c r="AM3">
        <v>3</v>
      </c>
    </row>
    <row r="4" spans="1:39" x14ac:dyDescent="0.3">
      <c r="A4" s="4" t="s">
        <v>1</v>
      </c>
      <c r="B4" t="s">
        <v>309</v>
      </c>
      <c r="C4" s="3">
        <f t="shared" si="0"/>
        <v>62</v>
      </c>
      <c r="D4">
        <v>34</v>
      </c>
      <c r="E4">
        <v>18</v>
      </c>
      <c r="F4">
        <v>8</v>
      </c>
      <c r="G4">
        <f t="shared" ref="G4:G20" si="3">D4-E4-F4</f>
        <v>8</v>
      </c>
      <c r="H4">
        <v>58</v>
      </c>
      <c r="I4">
        <v>51</v>
      </c>
      <c r="J4">
        <f t="shared" ref="J4:J20" si="4">H4-I4</f>
        <v>7</v>
      </c>
      <c r="L4" s="1" t="s">
        <v>1</v>
      </c>
      <c r="M4" t="s">
        <v>259</v>
      </c>
      <c r="N4" s="3">
        <f t="shared" si="1"/>
        <v>69</v>
      </c>
      <c r="O4">
        <v>34</v>
      </c>
      <c r="P4">
        <v>22</v>
      </c>
      <c r="Q4">
        <v>3</v>
      </c>
      <c r="R4">
        <f t="shared" ref="R4:R20" si="5">O4-P4-Q4</f>
        <v>9</v>
      </c>
      <c r="S4">
        <v>55</v>
      </c>
      <c r="T4">
        <v>30</v>
      </c>
      <c r="U4">
        <f t="shared" ref="U4:U20" si="6">S4-T4</f>
        <v>25</v>
      </c>
      <c r="W4" s="9" t="s">
        <v>1</v>
      </c>
      <c r="X4" t="s">
        <v>280</v>
      </c>
      <c r="Y4" s="3">
        <f t="shared" si="2"/>
        <v>64</v>
      </c>
      <c r="Z4">
        <v>38</v>
      </c>
      <c r="AA4">
        <v>19</v>
      </c>
      <c r="AB4">
        <v>7</v>
      </c>
      <c r="AC4">
        <f t="shared" ref="AC4:AC22" si="7">Z4-AA4-AB4</f>
        <v>12</v>
      </c>
      <c r="AD4">
        <v>78</v>
      </c>
      <c r="AE4">
        <v>66</v>
      </c>
      <c r="AF4">
        <f t="shared" ref="AF4:AF22" si="8">AD4-AE4</f>
        <v>12</v>
      </c>
      <c r="AH4" t="s">
        <v>303</v>
      </c>
      <c r="AI4" t="s">
        <v>95</v>
      </c>
      <c r="AJ4" t="s">
        <v>304</v>
      </c>
      <c r="AL4" t="s">
        <v>279</v>
      </c>
      <c r="AM4">
        <v>1</v>
      </c>
    </row>
    <row r="5" spans="1:39" x14ac:dyDescent="0.3">
      <c r="A5" s="4" t="s">
        <v>2</v>
      </c>
      <c r="B5" t="s">
        <v>303</v>
      </c>
      <c r="C5" s="3">
        <f t="shared" si="0"/>
        <v>56</v>
      </c>
      <c r="D5">
        <v>34</v>
      </c>
      <c r="E5">
        <v>16</v>
      </c>
      <c r="F5">
        <v>8</v>
      </c>
      <c r="G5">
        <f t="shared" si="3"/>
        <v>10</v>
      </c>
      <c r="H5">
        <v>57</v>
      </c>
      <c r="I5">
        <v>45</v>
      </c>
      <c r="J5">
        <f t="shared" si="4"/>
        <v>12</v>
      </c>
      <c r="L5" s="2" t="s">
        <v>2</v>
      </c>
      <c r="M5" t="s">
        <v>260</v>
      </c>
      <c r="N5" s="3">
        <f t="shared" si="1"/>
        <v>58</v>
      </c>
      <c r="O5">
        <v>34</v>
      </c>
      <c r="P5">
        <v>17</v>
      </c>
      <c r="Q5">
        <v>7</v>
      </c>
      <c r="R5">
        <f t="shared" si="5"/>
        <v>10</v>
      </c>
      <c r="S5">
        <v>58</v>
      </c>
      <c r="T5">
        <v>44</v>
      </c>
      <c r="U5">
        <f t="shared" si="6"/>
        <v>14</v>
      </c>
      <c r="W5" s="11" t="s">
        <v>2</v>
      </c>
      <c r="X5" t="s">
        <v>281</v>
      </c>
      <c r="Y5" s="3">
        <f t="shared" si="2"/>
        <v>61</v>
      </c>
      <c r="Z5">
        <v>38</v>
      </c>
      <c r="AA5">
        <v>18</v>
      </c>
      <c r="AB5">
        <v>7</v>
      </c>
      <c r="AC5">
        <f t="shared" si="7"/>
        <v>13</v>
      </c>
      <c r="AD5">
        <v>59</v>
      </c>
      <c r="AE5">
        <v>51</v>
      </c>
      <c r="AF5">
        <f t="shared" si="8"/>
        <v>8</v>
      </c>
      <c r="AH5" t="s">
        <v>307</v>
      </c>
      <c r="AI5" t="s">
        <v>44</v>
      </c>
      <c r="AJ5" t="s">
        <v>306</v>
      </c>
      <c r="AL5" t="s">
        <v>308</v>
      </c>
      <c r="AM5">
        <v>1</v>
      </c>
    </row>
    <row r="6" spans="1:39" x14ac:dyDescent="0.3">
      <c r="A6" s="4" t="s">
        <v>3</v>
      </c>
      <c r="B6" t="s">
        <v>310</v>
      </c>
      <c r="C6" s="3">
        <f t="shared" si="0"/>
        <v>56</v>
      </c>
      <c r="D6">
        <v>34</v>
      </c>
      <c r="E6">
        <v>16</v>
      </c>
      <c r="F6">
        <v>8</v>
      </c>
      <c r="G6">
        <f t="shared" si="3"/>
        <v>10</v>
      </c>
      <c r="H6">
        <v>55</v>
      </c>
      <c r="I6">
        <v>48</v>
      </c>
      <c r="J6">
        <f t="shared" si="4"/>
        <v>7</v>
      </c>
      <c r="L6" t="s">
        <v>3</v>
      </c>
      <c r="M6" t="s">
        <v>261</v>
      </c>
      <c r="N6" s="3">
        <f t="shared" si="1"/>
        <v>55</v>
      </c>
      <c r="O6">
        <v>34</v>
      </c>
      <c r="P6">
        <v>15</v>
      </c>
      <c r="Q6">
        <v>10</v>
      </c>
      <c r="R6">
        <f t="shared" si="5"/>
        <v>9</v>
      </c>
      <c r="S6">
        <v>50</v>
      </c>
      <c r="T6">
        <v>45</v>
      </c>
      <c r="U6">
        <f t="shared" si="6"/>
        <v>5</v>
      </c>
      <c r="W6" s="10" t="s">
        <v>3</v>
      </c>
      <c r="X6" t="s">
        <v>282</v>
      </c>
      <c r="Y6" s="3">
        <f t="shared" si="2"/>
        <v>60</v>
      </c>
      <c r="Z6">
        <v>38</v>
      </c>
      <c r="AA6">
        <v>15</v>
      </c>
      <c r="AB6">
        <v>15</v>
      </c>
      <c r="AC6">
        <f t="shared" si="7"/>
        <v>8</v>
      </c>
      <c r="AD6">
        <v>75</v>
      </c>
      <c r="AE6">
        <v>59</v>
      </c>
      <c r="AF6">
        <f t="shared" si="8"/>
        <v>16</v>
      </c>
      <c r="AH6" t="s">
        <v>261</v>
      </c>
      <c r="AI6" t="s">
        <v>41</v>
      </c>
      <c r="AJ6" t="s">
        <v>308</v>
      </c>
    </row>
    <row r="7" spans="1:39" x14ac:dyDescent="0.3">
      <c r="A7" s="5" t="s">
        <v>4</v>
      </c>
      <c r="B7" t="s">
        <v>311</v>
      </c>
      <c r="C7" s="3">
        <f t="shared" si="0"/>
        <v>54</v>
      </c>
      <c r="D7">
        <v>34</v>
      </c>
      <c r="E7">
        <v>16</v>
      </c>
      <c r="F7">
        <v>6</v>
      </c>
      <c r="G7">
        <f t="shared" si="3"/>
        <v>12</v>
      </c>
      <c r="H7">
        <v>60</v>
      </c>
      <c r="I7">
        <v>50</v>
      </c>
      <c r="J7">
        <f t="shared" si="4"/>
        <v>10</v>
      </c>
      <c r="L7" t="s">
        <v>4</v>
      </c>
      <c r="M7" t="s">
        <v>262</v>
      </c>
      <c r="N7" s="3">
        <f t="shared" si="1"/>
        <v>52</v>
      </c>
      <c r="O7">
        <v>34</v>
      </c>
      <c r="P7">
        <v>16</v>
      </c>
      <c r="Q7">
        <v>4</v>
      </c>
      <c r="R7">
        <f t="shared" si="5"/>
        <v>14</v>
      </c>
      <c r="S7">
        <v>55</v>
      </c>
      <c r="T7">
        <v>48</v>
      </c>
      <c r="U7">
        <f t="shared" si="6"/>
        <v>7</v>
      </c>
      <c r="W7" s="10" t="s">
        <v>4</v>
      </c>
      <c r="X7" t="s">
        <v>283</v>
      </c>
      <c r="Y7" s="3">
        <f t="shared" si="2"/>
        <v>60</v>
      </c>
      <c r="Z7">
        <v>38</v>
      </c>
      <c r="AA7">
        <v>16</v>
      </c>
      <c r="AB7">
        <v>12</v>
      </c>
      <c r="AC7">
        <f t="shared" si="7"/>
        <v>10</v>
      </c>
      <c r="AD7">
        <v>63</v>
      </c>
      <c r="AE7">
        <v>57</v>
      </c>
      <c r="AF7">
        <f t="shared" si="8"/>
        <v>6</v>
      </c>
    </row>
    <row r="8" spans="1:39" x14ac:dyDescent="0.3">
      <c r="A8" s="1" t="s">
        <v>5</v>
      </c>
      <c r="B8" t="s">
        <v>312</v>
      </c>
      <c r="C8" s="3">
        <f t="shared" si="0"/>
        <v>53</v>
      </c>
      <c r="D8">
        <v>34</v>
      </c>
      <c r="E8">
        <v>15</v>
      </c>
      <c r="F8">
        <v>8</v>
      </c>
      <c r="G8">
        <f t="shared" si="3"/>
        <v>11</v>
      </c>
      <c r="H8">
        <v>50</v>
      </c>
      <c r="I8">
        <v>35</v>
      </c>
      <c r="J8">
        <f t="shared" si="4"/>
        <v>15</v>
      </c>
      <c r="L8" t="s">
        <v>5</v>
      </c>
      <c r="M8" t="s">
        <v>263</v>
      </c>
      <c r="N8" s="3">
        <f t="shared" si="1"/>
        <v>47</v>
      </c>
      <c r="O8">
        <v>34</v>
      </c>
      <c r="P8">
        <v>13</v>
      </c>
      <c r="Q8">
        <v>8</v>
      </c>
      <c r="R8">
        <f t="shared" si="5"/>
        <v>13</v>
      </c>
      <c r="S8">
        <v>51</v>
      </c>
      <c r="T8">
        <v>44</v>
      </c>
      <c r="U8">
        <f t="shared" si="6"/>
        <v>7</v>
      </c>
      <c r="W8" s="10" t="s">
        <v>5</v>
      </c>
      <c r="X8" t="s">
        <v>284</v>
      </c>
      <c r="Y8" s="3">
        <f t="shared" si="2"/>
        <v>59</v>
      </c>
      <c r="Z8">
        <v>38</v>
      </c>
      <c r="AA8">
        <v>16</v>
      </c>
      <c r="AB8">
        <v>11</v>
      </c>
      <c r="AC8">
        <f t="shared" si="7"/>
        <v>11</v>
      </c>
      <c r="AD8">
        <v>64</v>
      </c>
      <c r="AE8">
        <v>57</v>
      </c>
      <c r="AF8">
        <f t="shared" si="8"/>
        <v>7</v>
      </c>
      <c r="AH8" t="s">
        <v>40</v>
      </c>
    </row>
    <row r="9" spans="1:39" x14ac:dyDescent="0.3">
      <c r="A9" t="s">
        <v>6</v>
      </c>
      <c r="B9" t="s">
        <v>306</v>
      </c>
      <c r="C9" s="3">
        <f t="shared" si="0"/>
        <v>52</v>
      </c>
      <c r="D9">
        <v>34</v>
      </c>
      <c r="E9">
        <v>14</v>
      </c>
      <c r="F9">
        <v>10</v>
      </c>
      <c r="G9">
        <f t="shared" si="3"/>
        <v>10</v>
      </c>
      <c r="H9">
        <v>50</v>
      </c>
      <c r="I9">
        <v>42</v>
      </c>
      <c r="J9">
        <f t="shared" si="4"/>
        <v>8</v>
      </c>
      <c r="L9" t="s">
        <v>6</v>
      </c>
      <c r="M9" t="s">
        <v>264</v>
      </c>
      <c r="N9" s="3">
        <f t="shared" si="1"/>
        <v>47</v>
      </c>
      <c r="O9">
        <v>34</v>
      </c>
      <c r="P9">
        <v>12</v>
      </c>
      <c r="Q9">
        <v>11</v>
      </c>
      <c r="R9">
        <f t="shared" si="5"/>
        <v>11</v>
      </c>
      <c r="S9">
        <v>44</v>
      </c>
      <c r="T9">
        <v>48</v>
      </c>
      <c r="U9">
        <f t="shared" si="6"/>
        <v>-4</v>
      </c>
      <c r="W9" s="10" t="s">
        <v>6</v>
      </c>
      <c r="X9" t="s">
        <v>285</v>
      </c>
      <c r="Y9" s="3">
        <f t="shared" si="2"/>
        <v>56</v>
      </c>
      <c r="Z9">
        <v>38</v>
      </c>
      <c r="AA9">
        <v>16</v>
      </c>
      <c r="AB9">
        <v>8</v>
      </c>
      <c r="AC9">
        <f t="shared" si="7"/>
        <v>14</v>
      </c>
      <c r="AD9">
        <v>62</v>
      </c>
      <c r="AE9">
        <v>56</v>
      </c>
      <c r="AF9">
        <f t="shared" si="8"/>
        <v>6</v>
      </c>
      <c r="AH9" t="s">
        <v>304</v>
      </c>
      <c r="AI9" t="s">
        <v>42</v>
      </c>
      <c r="AJ9" t="s">
        <v>265</v>
      </c>
    </row>
    <row r="10" spans="1:39" x14ac:dyDescent="0.3">
      <c r="A10" t="s">
        <v>7</v>
      </c>
      <c r="B10" t="s">
        <v>305</v>
      </c>
      <c r="C10" s="3">
        <f t="shared" si="0"/>
        <v>52</v>
      </c>
      <c r="D10">
        <v>34</v>
      </c>
      <c r="E10">
        <v>16</v>
      </c>
      <c r="F10">
        <v>4</v>
      </c>
      <c r="G10">
        <f t="shared" si="3"/>
        <v>14</v>
      </c>
      <c r="H10">
        <v>50</v>
      </c>
      <c r="I10">
        <v>51</v>
      </c>
      <c r="J10">
        <f t="shared" si="4"/>
        <v>-1</v>
      </c>
      <c r="L10" t="s">
        <v>7</v>
      </c>
      <c r="M10" t="s">
        <v>265</v>
      </c>
      <c r="N10" s="3">
        <f t="shared" si="1"/>
        <v>46</v>
      </c>
      <c r="O10">
        <v>34</v>
      </c>
      <c r="P10">
        <v>13</v>
      </c>
      <c r="Q10">
        <v>7</v>
      </c>
      <c r="R10">
        <f t="shared" si="5"/>
        <v>14</v>
      </c>
      <c r="S10">
        <v>48</v>
      </c>
      <c r="T10">
        <v>47</v>
      </c>
      <c r="U10">
        <f t="shared" si="6"/>
        <v>1</v>
      </c>
      <c r="W10" s="10" t="s">
        <v>7</v>
      </c>
      <c r="X10" t="s">
        <v>286</v>
      </c>
      <c r="Y10" s="3">
        <f t="shared" si="2"/>
        <v>55</v>
      </c>
      <c r="Z10">
        <v>38</v>
      </c>
      <c r="AA10">
        <v>15</v>
      </c>
      <c r="AB10">
        <v>10</v>
      </c>
      <c r="AC10">
        <f t="shared" si="7"/>
        <v>13</v>
      </c>
      <c r="AD10">
        <v>69</v>
      </c>
      <c r="AE10">
        <v>57</v>
      </c>
      <c r="AF10">
        <f t="shared" si="8"/>
        <v>12</v>
      </c>
      <c r="AH10" t="s">
        <v>308</v>
      </c>
      <c r="AI10" t="s">
        <v>42</v>
      </c>
      <c r="AJ10" t="s">
        <v>307</v>
      </c>
    </row>
    <row r="11" spans="1:39" x14ac:dyDescent="0.3">
      <c r="A11" t="s">
        <v>8</v>
      </c>
      <c r="B11" t="s">
        <v>313</v>
      </c>
      <c r="C11" s="3">
        <f t="shared" si="0"/>
        <v>47</v>
      </c>
      <c r="D11">
        <v>34</v>
      </c>
      <c r="E11">
        <v>13</v>
      </c>
      <c r="F11">
        <v>8</v>
      </c>
      <c r="G11">
        <f t="shared" si="3"/>
        <v>13</v>
      </c>
      <c r="H11">
        <v>57</v>
      </c>
      <c r="I11">
        <v>50</v>
      </c>
      <c r="J11">
        <f t="shared" si="4"/>
        <v>7</v>
      </c>
      <c r="L11" t="s">
        <v>8</v>
      </c>
      <c r="M11" t="s">
        <v>266</v>
      </c>
      <c r="N11" s="3">
        <f t="shared" si="1"/>
        <v>46</v>
      </c>
      <c r="O11">
        <v>34</v>
      </c>
      <c r="P11">
        <v>14</v>
      </c>
      <c r="Q11">
        <v>4</v>
      </c>
      <c r="R11">
        <f t="shared" si="5"/>
        <v>16</v>
      </c>
      <c r="S11">
        <v>46</v>
      </c>
      <c r="T11">
        <v>52</v>
      </c>
      <c r="U11">
        <f t="shared" si="6"/>
        <v>-6</v>
      </c>
      <c r="W11" s="10" t="s">
        <v>8</v>
      </c>
      <c r="X11" t="s">
        <v>287</v>
      </c>
      <c r="Y11" s="3">
        <f t="shared" si="2"/>
        <v>55</v>
      </c>
      <c r="Z11">
        <v>38</v>
      </c>
      <c r="AA11">
        <v>15</v>
      </c>
      <c r="AB11">
        <v>10</v>
      </c>
      <c r="AC11">
        <f t="shared" si="7"/>
        <v>13</v>
      </c>
      <c r="AD11">
        <v>59</v>
      </c>
      <c r="AE11">
        <v>52</v>
      </c>
      <c r="AF11">
        <f t="shared" si="8"/>
        <v>7</v>
      </c>
    </row>
    <row r="12" spans="1:39" x14ac:dyDescent="0.3">
      <c r="A12" t="s">
        <v>9</v>
      </c>
      <c r="B12" t="s">
        <v>314</v>
      </c>
      <c r="C12" s="3">
        <f t="shared" si="0"/>
        <v>46</v>
      </c>
      <c r="D12">
        <v>34</v>
      </c>
      <c r="E12">
        <v>12</v>
      </c>
      <c r="F12">
        <v>10</v>
      </c>
      <c r="G12">
        <f t="shared" si="3"/>
        <v>12</v>
      </c>
      <c r="H12">
        <v>57</v>
      </c>
      <c r="I12">
        <v>55</v>
      </c>
      <c r="J12">
        <f t="shared" si="4"/>
        <v>2</v>
      </c>
      <c r="L12" t="s">
        <v>9</v>
      </c>
      <c r="M12" t="s">
        <v>267</v>
      </c>
      <c r="N12" s="3">
        <f t="shared" si="1"/>
        <v>46</v>
      </c>
      <c r="O12">
        <v>34</v>
      </c>
      <c r="P12">
        <v>14</v>
      </c>
      <c r="Q12">
        <v>4</v>
      </c>
      <c r="R12">
        <f t="shared" si="5"/>
        <v>16</v>
      </c>
      <c r="S12">
        <v>52</v>
      </c>
      <c r="T12">
        <v>63</v>
      </c>
      <c r="U12">
        <f t="shared" si="6"/>
        <v>-11</v>
      </c>
      <c r="W12" s="10" t="s">
        <v>9</v>
      </c>
      <c r="X12" t="s">
        <v>288</v>
      </c>
      <c r="Y12" s="3">
        <f t="shared" si="2"/>
        <v>55</v>
      </c>
      <c r="Z12">
        <v>38</v>
      </c>
      <c r="AA12">
        <v>15</v>
      </c>
      <c r="AB12">
        <v>10</v>
      </c>
      <c r="AC12">
        <f t="shared" si="7"/>
        <v>13</v>
      </c>
      <c r="AD12">
        <v>59</v>
      </c>
      <c r="AE12">
        <v>56</v>
      </c>
      <c r="AF12">
        <f t="shared" si="8"/>
        <v>3</v>
      </c>
      <c r="AH12" t="s">
        <v>46</v>
      </c>
    </row>
    <row r="13" spans="1:39" x14ac:dyDescent="0.3">
      <c r="A13" s="5" t="s">
        <v>10</v>
      </c>
      <c r="B13" t="s">
        <v>308</v>
      </c>
      <c r="C13" s="3">
        <f t="shared" si="0"/>
        <v>45</v>
      </c>
      <c r="D13">
        <v>34</v>
      </c>
      <c r="E13">
        <v>12</v>
      </c>
      <c r="F13">
        <v>9</v>
      </c>
      <c r="G13">
        <f t="shared" si="3"/>
        <v>13</v>
      </c>
      <c r="H13">
        <v>48</v>
      </c>
      <c r="I13">
        <v>53</v>
      </c>
      <c r="J13">
        <f t="shared" si="4"/>
        <v>-5</v>
      </c>
      <c r="L13" t="s">
        <v>10</v>
      </c>
      <c r="M13" t="s">
        <v>268</v>
      </c>
      <c r="N13" s="3">
        <f t="shared" si="1"/>
        <v>45</v>
      </c>
      <c r="O13">
        <v>34</v>
      </c>
      <c r="P13">
        <v>13</v>
      </c>
      <c r="Q13">
        <v>6</v>
      </c>
      <c r="R13">
        <f t="shared" si="5"/>
        <v>15</v>
      </c>
      <c r="S13">
        <v>54</v>
      </c>
      <c r="T13">
        <v>67</v>
      </c>
      <c r="U13">
        <f t="shared" si="6"/>
        <v>-13</v>
      </c>
      <c r="W13" s="10" t="s">
        <v>10</v>
      </c>
      <c r="X13" t="s">
        <v>289</v>
      </c>
      <c r="Y13" s="3">
        <f t="shared" si="2"/>
        <v>54</v>
      </c>
      <c r="Z13">
        <v>38</v>
      </c>
      <c r="AA13">
        <v>14</v>
      </c>
      <c r="AB13">
        <v>12</v>
      </c>
      <c r="AC13">
        <f t="shared" si="7"/>
        <v>12</v>
      </c>
      <c r="AD13">
        <v>62</v>
      </c>
      <c r="AE13">
        <v>56</v>
      </c>
      <c r="AF13">
        <f t="shared" si="8"/>
        <v>6</v>
      </c>
      <c r="AH13" t="s">
        <v>304</v>
      </c>
      <c r="AI13" t="s">
        <v>38</v>
      </c>
      <c r="AJ13" t="s">
        <v>308</v>
      </c>
    </row>
    <row r="14" spans="1:39" x14ac:dyDescent="0.3">
      <c r="A14" t="s">
        <v>11</v>
      </c>
      <c r="B14" t="s">
        <v>315</v>
      </c>
      <c r="C14" s="3">
        <f t="shared" si="0"/>
        <v>42</v>
      </c>
      <c r="D14">
        <v>34</v>
      </c>
      <c r="E14">
        <v>12</v>
      </c>
      <c r="F14">
        <v>6</v>
      </c>
      <c r="G14">
        <f t="shared" si="3"/>
        <v>16</v>
      </c>
      <c r="H14">
        <v>40</v>
      </c>
      <c r="I14">
        <v>51</v>
      </c>
      <c r="J14">
        <f t="shared" si="4"/>
        <v>-11</v>
      </c>
      <c r="L14" t="s">
        <v>11</v>
      </c>
      <c r="M14" t="s">
        <v>269</v>
      </c>
      <c r="N14" s="3">
        <f t="shared" si="1"/>
        <v>44</v>
      </c>
      <c r="O14">
        <v>34</v>
      </c>
      <c r="P14">
        <v>13</v>
      </c>
      <c r="Q14">
        <v>5</v>
      </c>
      <c r="R14">
        <f t="shared" si="5"/>
        <v>16</v>
      </c>
      <c r="S14">
        <v>45</v>
      </c>
      <c r="T14">
        <v>48</v>
      </c>
      <c r="U14">
        <f t="shared" si="6"/>
        <v>-3</v>
      </c>
      <c r="W14" s="10" t="s">
        <v>11</v>
      </c>
      <c r="X14" t="s">
        <v>290</v>
      </c>
      <c r="Y14" s="3">
        <f t="shared" si="2"/>
        <v>54</v>
      </c>
      <c r="Z14">
        <v>38</v>
      </c>
      <c r="AA14">
        <v>16</v>
      </c>
      <c r="AB14">
        <v>6</v>
      </c>
      <c r="AC14">
        <f t="shared" si="7"/>
        <v>16</v>
      </c>
      <c r="AD14">
        <v>57</v>
      </c>
      <c r="AE14">
        <v>58</v>
      </c>
      <c r="AF14">
        <f t="shared" si="8"/>
        <v>-1</v>
      </c>
    </row>
    <row r="15" spans="1:39" x14ac:dyDescent="0.3">
      <c r="A15" t="s">
        <v>69</v>
      </c>
      <c r="B15" t="s">
        <v>316</v>
      </c>
      <c r="C15" s="3">
        <f t="shared" si="0"/>
        <v>41</v>
      </c>
      <c r="D15">
        <v>34</v>
      </c>
      <c r="E15">
        <v>12</v>
      </c>
      <c r="F15">
        <v>5</v>
      </c>
      <c r="G15">
        <f t="shared" si="3"/>
        <v>17</v>
      </c>
      <c r="H15">
        <v>42</v>
      </c>
      <c r="I15">
        <v>57</v>
      </c>
      <c r="J15">
        <f t="shared" si="4"/>
        <v>-15</v>
      </c>
      <c r="L15" t="s">
        <v>69</v>
      </c>
      <c r="M15" t="s">
        <v>270</v>
      </c>
      <c r="N15" s="3">
        <f t="shared" si="1"/>
        <v>44</v>
      </c>
      <c r="O15">
        <v>34</v>
      </c>
      <c r="P15">
        <v>13</v>
      </c>
      <c r="Q15">
        <v>5</v>
      </c>
      <c r="R15">
        <f t="shared" si="5"/>
        <v>16</v>
      </c>
      <c r="S15">
        <v>45</v>
      </c>
      <c r="T15">
        <v>51</v>
      </c>
      <c r="U15">
        <f t="shared" si="6"/>
        <v>-6</v>
      </c>
      <c r="W15" t="s">
        <v>69</v>
      </c>
      <c r="X15" t="s">
        <v>291</v>
      </c>
      <c r="Y15" s="3">
        <f t="shared" si="2"/>
        <v>54</v>
      </c>
      <c r="Z15">
        <v>38</v>
      </c>
      <c r="AA15">
        <v>14</v>
      </c>
      <c r="AB15">
        <v>12</v>
      </c>
      <c r="AC15">
        <f t="shared" si="7"/>
        <v>12</v>
      </c>
      <c r="AD15">
        <v>57</v>
      </c>
      <c r="AE15">
        <v>58</v>
      </c>
      <c r="AF15">
        <f t="shared" si="8"/>
        <v>-1</v>
      </c>
    </row>
    <row r="16" spans="1:39" x14ac:dyDescent="0.3">
      <c r="A16" t="s">
        <v>70</v>
      </c>
      <c r="B16" t="s">
        <v>317</v>
      </c>
      <c r="C16" s="3">
        <f t="shared" si="0"/>
        <v>38</v>
      </c>
      <c r="D16">
        <v>34</v>
      </c>
      <c r="E16">
        <v>9</v>
      </c>
      <c r="F16">
        <v>11</v>
      </c>
      <c r="G16">
        <f t="shared" si="3"/>
        <v>14</v>
      </c>
      <c r="H16">
        <v>47</v>
      </c>
      <c r="I16">
        <v>53</v>
      </c>
      <c r="J16">
        <f t="shared" si="4"/>
        <v>-6</v>
      </c>
      <c r="L16" t="s">
        <v>70</v>
      </c>
      <c r="M16" t="s">
        <v>271</v>
      </c>
      <c r="N16" s="3">
        <f t="shared" si="1"/>
        <v>43</v>
      </c>
      <c r="O16">
        <v>34</v>
      </c>
      <c r="P16">
        <v>11</v>
      </c>
      <c r="Q16">
        <v>10</v>
      </c>
      <c r="R16">
        <f t="shared" si="5"/>
        <v>13</v>
      </c>
      <c r="S16">
        <v>46</v>
      </c>
      <c r="T16">
        <v>53</v>
      </c>
      <c r="U16">
        <f t="shared" si="6"/>
        <v>-7</v>
      </c>
      <c r="W16" t="s">
        <v>70</v>
      </c>
      <c r="X16" t="s">
        <v>292</v>
      </c>
      <c r="Y16" s="3">
        <f t="shared" si="2"/>
        <v>53</v>
      </c>
      <c r="Z16">
        <v>38</v>
      </c>
      <c r="AA16">
        <v>16</v>
      </c>
      <c r="AB16">
        <v>5</v>
      </c>
      <c r="AC16">
        <f t="shared" si="7"/>
        <v>17</v>
      </c>
      <c r="AD16">
        <v>56</v>
      </c>
      <c r="AE16">
        <v>59</v>
      </c>
      <c r="AF16">
        <f t="shared" si="8"/>
        <v>-3</v>
      </c>
    </row>
    <row r="17" spans="1:32" x14ac:dyDescent="0.3">
      <c r="A17" t="s">
        <v>71</v>
      </c>
      <c r="B17" t="s">
        <v>318</v>
      </c>
      <c r="C17" s="3">
        <f t="shared" si="0"/>
        <v>36</v>
      </c>
      <c r="D17">
        <v>34</v>
      </c>
      <c r="E17">
        <v>10</v>
      </c>
      <c r="F17">
        <v>6</v>
      </c>
      <c r="G17">
        <f t="shared" si="3"/>
        <v>18</v>
      </c>
      <c r="H17">
        <v>47</v>
      </c>
      <c r="I17">
        <v>64</v>
      </c>
      <c r="J17">
        <f t="shared" si="4"/>
        <v>-17</v>
      </c>
      <c r="L17" t="s">
        <v>71</v>
      </c>
      <c r="M17" t="s">
        <v>272</v>
      </c>
      <c r="N17" s="3">
        <f t="shared" si="1"/>
        <v>39</v>
      </c>
      <c r="O17">
        <v>34</v>
      </c>
      <c r="P17">
        <v>11</v>
      </c>
      <c r="Q17">
        <v>6</v>
      </c>
      <c r="R17">
        <f t="shared" si="5"/>
        <v>17</v>
      </c>
      <c r="S17">
        <v>42</v>
      </c>
      <c r="T17">
        <v>48</v>
      </c>
      <c r="U17">
        <f t="shared" si="6"/>
        <v>-6</v>
      </c>
      <c r="W17" t="s">
        <v>71</v>
      </c>
      <c r="X17" t="s">
        <v>293</v>
      </c>
      <c r="Y17" s="3">
        <f t="shared" si="2"/>
        <v>51</v>
      </c>
      <c r="Z17">
        <v>38</v>
      </c>
      <c r="AA17">
        <v>14</v>
      </c>
      <c r="AB17">
        <v>9</v>
      </c>
      <c r="AC17">
        <f t="shared" si="7"/>
        <v>15</v>
      </c>
      <c r="AD17">
        <v>54</v>
      </c>
      <c r="AE17">
        <v>58</v>
      </c>
      <c r="AF17">
        <f t="shared" si="8"/>
        <v>-4</v>
      </c>
    </row>
    <row r="18" spans="1:32" x14ac:dyDescent="0.3">
      <c r="A18" s="8" t="s">
        <v>72</v>
      </c>
      <c r="B18" t="s">
        <v>319</v>
      </c>
      <c r="C18" s="3">
        <f t="shared" si="0"/>
        <v>34</v>
      </c>
      <c r="D18">
        <v>34</v>
      </c>
      <c r="E18">
        <v>8</v>
      </c>
      <c r="F18">
        <v>10</v>
      </c>
      <c r="G18">
        <f t="shared" si="3"/>
        <v>16</v>
      </c>
      <c r="H18">
        <v>40</v>
      </c>
      <c r="I18">
        <v>60</v>
      </c>
      <c r="J18">
        <f t="shared" si="4"/>
        <v>-20</v>
      </c>
      <c r="L18" s="8" t="s">
        <v>72</v>
      </c>
      <c r="M18" t="s">
        <v>273</v>
      </c>
      <c r="N18" s="3">
        <f t="shared" si="1"/>
        <v>39</v>
      </c>
      <c r="O18">
        <v>34</v>
      </c>
      <c r="P18">
        <v>11</v>
      </c>
      <c r="Q18">
        <v>6</v>
      </c>
      <c r="R18">
        <f t="shared" si="5"/>
        <v>17</v>
      </c>
      <c r="S18">
        <v>44</v>
      </c>
      <c r="T18">
        <v>53</v>
      </c>
      <c r="U18">
        <f t="shared" si="6"/>
        <v>-9</v>
      </c>
      <c r="W18" t="s">
        <v>72</v>
      </c>
      <c r="X18" t="s">
        <v>294</v>
      </c>
      <c r="Y18" s="3">
        <f t="shared" si="2"/>
        <v>44</v>
      </c>
      <c r="Z18">
        <v>38</v>
      </c>
      <c r="AA18">
        <v>13</v>
      </c>
      <c r="AB18">
        <v>5</v>
      </c>
      <c r="AC18">
        <f t="shared" si="7"/>
        <v>20</v>
      </c>
      <c r="AD18">
        <v>53</v>
      </c>
      <c r="AE18">
        <v>60</v>
      </c>
      <c r="AF18">
        <f t="shared" si="8"/>
        <v>-7</v>
      </c>
    </row>
    <row r="19" spans="1:32" x14ac:dyDescent="0.3">
      <c r="A19" s="7" t="s">
        <v>255</v>
      </c>
      <c r="B19" t="s">
        <v>320</v>
      </c>
      <c r="C19" s="3">
        <f t="shared" ref="C19:C20" si="9">E19*3+F19</f>
        <v>34</v>
      </c>
      <c r="D19">
        <v>34</v>
      </c>
      <c r="E19">
        <v>10</v>
      </c>
      <c r="F19">
        <v>4</v>
      </c>
      <c r="G19">
        <f t="shared" si="3"/>
        <v>20</v>
      </c>
      <c r="H19">
        <v>37</v>
      </c>
      <c r="I19">
        <v>64</v>
      </c>
      <c r="J19">
        <f t="shared" si="4"/>
        <v>-27</v>
      </c>
      <c r="L19" s="7" t="s">
        <v>255</v>
      </c>
      <c r="M19" t="s">
        <v>274</v>
      </c>
      <c r="N19" s="3">
        <f t="shared" ref="N19:N20" si="10">P19*3+Q19</f>
        <v>36</v>
      </c>
      <c r="O19">
        <v>34</v>
      </c>
      <c r="P19">
        <v>10</v>
      </c>
      <c r="Q19">
        <v>6</v>
      </c>
      <c r="R19">
        <f t="shared" si="5"/>
        <v>18</v>
      </c>
      <c r="S19">
        <v>52</v>
      </c>
      <c r="T19">
        <v>67</v>
      </c>
      <c r="U19">
        <f t="shared" si="6"/>
        <v>-15</v>
      </c>
      <c r="W19" t="s">
        <v>255</v>
      </c>
      <c r="X19" t="s">
        <v>295</v>
      </c>
      <c r="Y19" s="3">
        <f t="shared" ref="Y19:Y20" si="11">AA19*3+AB19</f>
        <v>41</v>
      </c>
      <c r="Z19">
        <v>38</v>
      </c>
      <c r="AA19">
        <v>12</v>
      </c>
      <c r="AB19">
        <v>5</v>
      </c>
      <c r="AC19">
        <f t="shared" si="7"/>
        <v>21</v>
      </c>
      <c r="AD19">
        <v>58</v>
      </c>
      <c r="AE19">
        <v>80</v>
      </c>
      <c r="AF19">
        <f t="shared" si="8"/>
        <v>-22</v>
      </c>
    </row>
    <row r="20" spans="1:32" x14ac:dyDescent="0.3">
      <c r="A20" s="7" t="s">
        <v>256</v>
      </c>
      <c r="B20" t="s">
        <v>304</v>
      </c>
      <c r="C20" s="3">
        <f t="shared" si="9"/>
        <v>33</v>
      </c>
      <c r="D20">
        <v>34</v>
      </c>
      <c r="E20">
        <v>9</v>
      </c>
      <c r="F20">
        <v>6</v>
      </c>
      <c r="G20">
        <f t="shared" si="3"/>
        <v>19</v>
      </c>
      <c r="H20">
        <v>35</v>
      </c>
      <c r="I20">
        <v>54</v>
      </c>
      <c r="J20">
        <f t="shared" si="4"/>
        <v>-19</v>
      </c>
      <c r="L20" s="7" t="s">
        <v>256</v>
      </c>
      <c r="M20" t="s">
        <v>275</v>
      </c>
      <c r="N20" s="3">
        <f t="shared" si="10"/>
        <v>33</v>
      </c>
      <c r="O20">
        <v>34</v>
      </c>
      <c r="P20">
        <v>8</v>
      </c>
      <c r="Q20">
        <v>9</v>
      </c>
      <c r="R20">
        <f t="shared" si="5"/>
        <v>17</v>
      </c>
      <c r="S20">
        <v>45</v>
      </c>
      <c r="T20">
        <v>51</v>
      </c>
      <c r="U20">
        <f t="shared" si="6"/>
        <v>-6</v>
      </c>
      <c r="W20" t="s">
        <v>256</v>
      </c>
      <c r="X20" t="s">
        <v>296</v>
      </c>
      <c r="Y20" s="3">
        <f t="shared" si="11"/>
        <v>40</v>
      </c>
      <c r="Z20">
        <v>38</v>
      </c>
      <c r="AA20">
        <v>11</v>
      </c>
      <c r="AB20">
        <v>7</v>
      </c>
      <c r="AC20">
        <f t="shared" si="7"/>
        <v>20</v>
      </c>
      <c r="AD20">
        <v>51</v>
      </c>
      <c r="AE20">
        <v>63</v>
      </c>
      <c r="AF20">
        <f t="shared" si="8"/>
        <v>-12</v>
      </c>
    </row>
    <row r="21" spans="1:32" x14ac:dyDescent="0.3">
      <c r="W21" t="s">
        <v>277</v>
      </c>
      <c r="X21" t="s">
        <v>297</v>
      </c>
      <c r="Y21" s="3">
        <f>AA21*3+AB21</f>
        <v>37</v>
      </c>
      <c r="Z21">
        <v>38</v>
      </c>
      <c r="AA21">
        <v>9</v>
      </c>
      <c r="AB21">
        <v>10</v>
      </c>
      <c r="AC21">
        <f t="shared" si="7"/>
        <v>19</v>
      </c>
      <c r="AD21">
        <v>52</v>
      </c>
      <c r="AE21">
        <v>73</v>
      </c>
      <c r="AF21">
        <f t="shared" si="8"/>
        <v>-21</v>
      </c>
    </row>
    <row r="22" spans="1:32" x14ac:dyDescent="0.3">
      <c r="A22" t="s">
        <v>299</v>
      </c>
      <c r="L22" t="s">
        <v>299</v>
      </c>
      <c r="W22" t="s">
        <v>278</v>
      </c>
      <c r="X22" t="s">
        <v>298</v>
      </c>
      <c r="Y22" s="3">
        <f>AA22*3+AB22</f>
        <v>29</v>
      </c>
      <c r="Z22">
        <v>38</v>
      </c>
      <c r="AA22">
        <v>8</v>
      </c>
      <c r="AB22">
        <v>5</v>
      </c>
      <c r="AC22">
        <f t="shared" si="7"/>
        <v>25</v>
      </c>
      <c r="AD22">
        <v>49</v>
      </c>
      <c r="AE22">
        <v>84</v>
      </c>
      <c r="AF22">
        <f t="shared" si="8"/>
        <v>-35</v>
      </c>
    </row>
    <row r="23" spans="1:32" x14ac:dyDescent="0.3">
      <c r="A23" t="s">
        <v>260</v>
      </c>
      <c r="B23" t="s">
        <v>41</v>
      </c>
      <c r="C23" t="s">
        <v>319</v>
      </c>
      <c r="E23" t="s">
        <v>319</v>
      </c>
      <c r="F23" t="s">
        <v>91</v>
      </c>
      <c r="G23" t="s">
        <v>260</v>
      </c>
      <c r="L23" t="s">
        <v>281</v>
      </c>
      <c r="M23" t="s">
        <v>42</v>
      </c>
      <c r="N23" t="s">
        <v>273</v>
      </c>
      <c r="P23" t="s">
        <v>273</v>
      </c>
      <c r="Q23" t="s">
        <v>300</v>
      </c>
      <c r="R23" t="s">
        <v>281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179DF-489C-4CA9-ABEB-9DE8952625A7}">
  <dimension ref="A1:Q12"/>
  <sheetViews>
    <sheetView workbookViewId="0">
      <selection activeCell="C3" sqref="C3:C11"/>
    </sheetView>
  </sheetViews>
  <sheetFormatPr defaultRowHeight="14.4" x14ac:dyDescent="0.3"/>
  <sheetData>
    <row r="1" spans="1:17" x14ac:dyDescent="0.3">
      <c r="A1" t="s">
        <v>242</v>
      </c>
      <c r="L1" t="s">
        <v>252</v>
      </c>
      <c r="P1" t="s">
        <v>48</v>
      </c>
    </row>
    <row r="2" spans="1:17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20</v>
      </c>
      <c r="I2" t="s">
        <v>21</v>
      </c>
      <c r="J2" t="s">
        <v>19</v>
      </c>
      <c r="L2" t="s">
        <v>39</v>
      </c>
      <c r="P2" t="s">
        <v>243</v>
      </c>
      <c r="Q2">
        <v>5</v>
      </c>
    </row>
    <row r="3" spans="1:17" x14ac:dyDescent="0.3">
      <c r="A3" s="4" t="s">
        <v>0</v>
      </c>
      <c r="B3" t="s">
        <v>243</v>
      </c>
      <c r="C3" s="3">
        <f t="shared" ref="C3:C11" si="0">E3*3+F3</f>
        <v>46</v>
      </c>
      <c r="D3">
        <v>24</v>
      </c>
      <c r="E3">
        <v>14</v>
      </c>
      <c r="F3">
        <v>4</v>
      </c>
      <c r="G3">
        <f>D3-E3-F3</f>
        <v>6</v>
      </c>
      <c r="H3">
        <v>32</v>
      </c>
      <c r="I3">
        <v>21</v>
      </c>
      <c r="J3">
        <f>H3-I3</f>
        <v>11</v>
      </c>
      <c r="L3" t="s">
        <v>247</v>
      </c>
      <c r="M3" t="s">
        <v>44</v>
      </c>
      <c r="N3" t="s">
        <v>251</v>
      </c>
      <c r="P3" t="s">
        <v>245</v>
      </c>
      <c r="Q3">
        <v>11</v>
      </c>
    </row>
    <row r="4" spans="1:17" x14ac:dyDescent="0.3">
      <c r="A4" s="1" t="s">
        <v>1</v>
      </c>
      <c r="B4" t="s">
        <v>244</v>
      </c>
      <c r="C4" s="3">
        <f t="shared" si="0"/>
        <v>42</v>
      </c>
      <c r="D4">
        <v>24</v>
      </c>
      <c r="E4">
        <v>12</v>
      </c>
      <c r="F4">
        <v>6</v>
      </c>
      <c r="G4">
        <f t="shared" ref="G4:G11" si="1">D4-E4-F4</f>
        <v>6</v>
      </c>
      <c r="H4">
        <v>38</v>
      </c>
      <c r="I4">
        <v>15</v>
      </c>
      <c r="J4">
        <f t="shared" ref="J4:J11" si="2">H4-I4</f>
        <v>23</v>
      </c>
      <c r="L4" t="s">
        <v>249</v>
      </c>
      <c r="M4" t="s">
        <v>38</v>
      </c>
      <c r="N4" t="s">
        <v>245</v>
      </c>
    </row>
    <row r="5" spans="1:17" x14ac:dyDescent="0.3">
      <c r="A5" s="1" t="s">
        <v>2</v>
      </c>
      <c r="B5" t="s">
        <v>245</v>
      </c>
      <c r="C5" s="3">
        <f t="shared" si="0"/>
        <v>39</v>
      </c>
      <c r="D5">
        <v>24</v>
      </c>
      <c r="E5">
        <v>11</v>
      </c>
      <c r="F5">
        <v>6</v>
      </c>
      <c r="G5">
        <f t="shared" si="1"/>
        <v>7</v>
      </c>
      <c r="H5">
        <v>35</v>
      </c>
      <c r="I5">
        <v>18</v>
      </c>
      <c r="J5">
        <f t="shared" si="2"/>
        <v>17</v>
      </c>
      <c r="L5" t="s">
        <v>244</v>
      </c>
      <c r="M5" t="s">
        <v>42</v>
      </c>
      <c r="N5" t="s">
        <v>248</v>
      </c>
    </row>
    <row r="6" spans="1:17" x14ac:dyDescent="0.3">
      <c r="A6" t="s">
        <v>3</v>
      </c>
      <c r="B6" t="s">
        <v>246</v>
      </c>
      <c r="C6" s="3">
        <f t="shared" si="0"/>
        <v>37</v>
      </c>
      <c r="D6">
        <v>24</v>
      </c>
      <c r="E6">
        <v>11</v>
      </c>
      <c r="F6">
        <v>4</v>
      </c>
      <c r="G6">
        <f t="shared" si="1"/>
        <v>9</v>
      </c>
      <c r="H6">
        <v>26</v>
      </c>
      <c r="I6">
        <v>33</v>
      </c>
      <c r="J6">
        <f t="shared" si="2"/>
        <v>-7</v>
      </c>
    </row>
    <row r="7" spans="1:17" x14ac:dyDescent="0.3">
      <c r="A7" t="s">
        <v>4</v>
      </c>
      <c r="B7" t="s">
        <v>247</v>
      </c>
      <c r="C7" s="3">
        <f t="shared" si="0"/>
        <v>34</v>
      </c>
      <c r="D7">
        <v>24</v>
      </c>
      <c r="E7">
        <v>9</v>
      </c>
      <c r="F7">
        <v>7</v>
      </c>
      <c r="G7">
        <f t="shared" si="1"/>
        <v>8</v>
      </c>
      <c r="H7">
        <v>29</v>
      </c>
      <c r="I7">
        <v>20</v>
      </c>
      <c r="J7">
        <f t="shared" si="2"/>
        <v>9</v>
      </c>
      <c r="L7" t="s">
        <v>40</v>
      </c>
    </row>
    <row r="8" spans="1:17" x14ac:dyDescent="0.3">
      <c r="A8" t="s">
        <v>5</v>
      </c>
      <c r="B8" t="s">
        <v>248</v>
      </c>
      <c r="C8" s="3">
        <f t="shared" si="0"/>
        <v>30</v>
      </c>
      <c r="D8">
        <v>24</v>
      </c>
      <c r="E8">
        <v>8</v>
      </c>
      <c r="F8">
        <v>6</v>
      </c>
      <c r="G8">
        <f t="shared" si="1"/>
        <v>10</v>
      </c>
      <c r="H8">
        <v>30</v>
      </c>
      <c r="I8">
        <v>35</v>
      </c>
      <c r="J8">
        <f t="shared" si="2"/>
        <v>-5</v>
      </c>
      <c r="L8" t="s">
        <v>245</v>
      </c>
      <c r="M8" t="s">
        <v>44</v>
      </c>
      <c r="N8" t="s">
        <v>243</v>
      </c>
    </row>
    <row r="9" spans="1:17" x14ac:dyDescent="0.3">
      <c r="A9" t="s">
        <v>6</v>
      </c>
      <c r="B9" t="s">
        <v>249</v>
      </c>
      <c r="C9" s="3">
        <f t="shared" si="0"/>
        <v>28</v>
      </c>
      <c r="D9">
        <v>24</v>
      </c>
      <c r="E9">
        <v>8</v>
      </c>
      <c r="F9">
        <v>4</v>
      </c>
      <c r="G9">
        <f t="shared" si="1"/>
        <v>12</v>
      </c>
      <c r="H9">
        <v>25</v>
      </c>
      <c r="I9">
        <v>28</v>
      </c>
      <c r="J9">
        <f t="shared" si="2"/>
        <v>-3</v>
      </c>
      <c r="L9" t="s">
        <v>247</v>
      </c>
      <c r="M9" t="s">
        <v>64</v>
      </c>
      <c r="N9" t="s">
        <v>244</v>
      </c>
    </row>
    <row r="10" spans="1:17" x14ac:dyDescent="0.3">
      <c r="A10" t="s">
        <v>7</v>
      </c>
      <c r="B10" t="s">
        <v>250</v>
      </c>
      <c r="C10" s="3">
        <f t="shared" si="0"/>
        <v>24</v>
      </c>
      <c r="D10">
        <v>24</v>
      </c>
      <c r="E10">
        <v>7</v>
      </c>
      <c r="F10">
        <v>3</v>
      </c>
      <c r="G10">
        <f t="shared" si="1"/>
        <v>14</v>
      </c>
      <c r="H10">
        <v>22</v>
      </c>
      <c r="I10">
        <v>50</v>
      </c>
      <c r="J10">
        <f t="shared" si="2"/>
        <v>-28</v>
      </c>
    </row>
    <row r="11" spans="1:17" x14ac:dyDescent="0.3">
      <c r="A11" t="s">
        <v>8</v>
      </c>
      <c r="B11" t="s">
        <v>251</v>
      </c>
      <c r="C11" s="3">
        <f t="shared" si="0"/>
        <v>21</v>
      </c>
      <c r="D11">
        <v>24</v>
      </c>
      <c r="E11">
        <v>5</v>
      </c>
      <c r="F11">
        <v>6</v>
      </c>
      <c r="G11">
        <f t="shared" si="1"/>
        <v>13</v>
      </c>
      <c r="H11">
        <v>17</v>
      </c>
      <c r="I11">
        <v>34</v>
      </c>
      <c r="J11">
        <f t="shared" si="2"/>
        <v>-17</v>
      </c>
      <c r="L11" t="s">
        <v>46</v>
      </c>
    </row>
    <row r="12" spans="1:17" x14ac:dyDescent="0.3">
      <c r="L12" t="s">
        <v>244</v>
      </c>
      <c r="M12" t="s">
        <v>253</v>
      </c>
      <c r="N12" t="s">
        <v>245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9E4AF-0055-4DB7-8602-E6CCA3C4300A}">
  <dimension ref="A1:U12"/>
  <sheetViews>
    <sheetView workbookViewId="0">
      <selection activeCell="A2" sqref="A2:J12"/>
    </sheetView>
  </sheetViews>
  <sheetFormatPr defaultRowHeight="14.4" x14ac:dyDescent="0.3"/>
  <sheetData>
    <row r="1" spans="1:21" x14ac:dyDescent="0.3">
      <c r="A1" t="s">
        <v>321</v>
      </c>
      <c r="L1" t="s">
        <v>332</v>
      </c>
      <c r="T1" t="s">
        <v>48</v>
      </c>
    </row>
    <row r="2" spans="1:21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20</v>
      </c>
      <c r="I2" t="s">
        <v>21</v>
      </c>
      <c r="J2" t="s">
        <v>19</v>
      </c>
      <c r="L2" t="s">
        <v>39</v>
      </c>
      <c r="T2" t="s">
        <v>322</v>
      </c>
      <c r="U2">
        <v>3</v>
      </c>
    </row>
    <row r="3" spans="1:21" x14ac:dyDescent="0.3">
      <c r="A3" s="4" t="s">
        <v>0</v>
      </c>
      <c r="B3" t="s">
        <v>322</v>
      </c>
      <c r="C3" s="3">
        <f t="shared" ref="C3:C12" si="0">E3*3+F3</f>
        <v>52</v>
      </c>
      <c r="D3">
        <v>27</v>
      </c>
      <c r="E3">
        <v>15</v>
      </c>
      <c r="F3">
        <v>7</v>
      </c>
      <c r="G3">
        <f t="shared" ref="G3:G12" si="1">D3-E3-F3</f>
        <v>5</v>
      </c>
      <c r="H3">
        <v>43</v>
      </c>
      <c r="I3">
        <v>30</v>
      </c>
      <c r="J3">
        <f t="shared" ref="J3:J12" si="2">H3-I3</f>
        <v>13</v>
      </c>
      <c r="L3" t="s">
        <v>331</v>
      </c>
      <c r="M3" t="s">
        <v>42</v>
      </c>
      <c r="N3" t="s">
        <v>323</v>
      </c>
      <c r="P3" t="s">
        <v>323</v>
      </c>
      <c r="Q3" t="s">
        <v>37</v>
      </c>
      <c r="R3" t="s">
        <v>331</v>
      </c>
      <c r="T3" t="s">
        <v>323</v>
      </c>
      <c r="U3">
        <v>5</v>
      </c>
    </row>
    <row r="4" spans="1:21" x14ac:dyDescent="0.3">
      <c r="A4" s="1" t="s">
        <v>1</v>
      </c>
      <c r="B4" t="s">
        <v>324</v>
      </c>
      <c r="C4" s="3">
        <f t="shared" si="0"/>
        <v>46</v>
      </c>
      <c r="D4">
        <v>27</v>
      </c>
      <c r="E4">
        <v>13</v>
      </c>
      <c r="F4">
        <v>7</v>
      </c>
      <c r="G4">
        <f t="shared" si="1"/>
        <v>7</v>
      </c>
      <c r="H4">
        <v>41</v>
      </c>
      <c r="I4">
        <v>31</v>
      </c>
      <c r="J4">
        <f t="shared" si="2"/>
        <v>10</v>
      </c>
      <c r="L4" t="s">
        <v>324</v>
      </c>
      <c r="M4" t="s">
        <v>38</v>
      </c>
      <c r="N4" t="s">
        <v>326</v>
      </c>
      <c r="P4" t="s">
        <v>326</v>
      </c>
      <c r="Q4" t="s">
        <v>64</v>
      </c>
      <c r="R4" t="s">
        <v>324</v>
      </c>
    </row>
    <row r="5" spans="1:21" x14ac:dyDescent="0.3">
      <c r="A5" s="1" t="s">
        <v>2</v>
      </c>
      <c r="B5" t="s">
        <v>323</v>
      </c>
      <c r="C5" s="3">
        <f t="shared" si="0"/>
        <v>44</v>
      </c>
      <c r="D5">
        <v>27</v>
      </c>
      <c r="E5">
        <v>12</v>
      </c>
      <c r="F5">
        <v>8</v>
      </c>
      <c r="G5">
        <f t="shared" si="1"/>
        <v>7</v>
      </c>
      <c r="H5">
        <v>39</v>
      </c>
      <c r="I5">
        <v>25</v>
      </c>
      <c r="J5">
        <f t="shared" si="2"/>
        <v>14</v>
      </c>
      <c r="L5" t="s">
        <v>330</v>
      </c>
      <c r="M5" t="s">
        <v>204</v>
      </c>
      <c r="N5" t="s">
        <v>322</v>
      </c>
      <c r="P5" t="s">
        <v>322</v>
      </c>
      <c r="Q5" t="s">
        <v>64</v>
      </c>
      <c r="R5" t="s">
        <v>330</v>
      </c>
    </row>
    <row r="6" spans="1:21" x14ac:dyDescent="0.3">
      <c r="A6" s="1" t="s">
        <v>3</v>
      </c>
      <c r="B6" t="s">
        <v>326</v>
      </c>
      <c r="C6" s="3">
        <f t="shared" si="0"/>
        <v>43</v>
      </c>
      <c r="D6">
        <v>27</v>
      </c>
      <c r="E6">
        <v>12</v>
      </c>
      <c r="F6">
        <v>7</v>
      </c>
      <c r="G6">
        <f t="shared" si="1"/>
        <v>8</v>
      </c>
      <c r="H6">
        <v>41</v>
      </c>
      <c r="I6">
        <v>29</v>
      </c>
      <c r="J6">
        <f t="shared" si="2"/>
        <v>12</v>
      </c>
    </row>
    <row r="7" spans="1:21" x14ac:dyDescent="0.3">
      <c r="A7" t="s">
        <v>4</v>
      </c>
      <c r="B7" t="s">
        <v>327</v>
      </c>
      <c r="C7" s="3">
        <f t="shared" si="0"/>
        <v>41</v>
      </c>
      <c r="D7">
        <v>27</v>
      </c>
      <c r="E7">
        <v>12</v>
      </c>
      <c r="F7">
        <v>5</v>
      </c>
      <c r="G7">
        <f t="shared" si="1"/>
        <v>10</v>
      </c>
      <c r="H7">
        <v>35</v>
      </c>
      <c r="I7">
        <v>37</v>
      </c>
      <c r="J7">
        <f t="shared" si="2"/>
        <v>-2</v>
      </c>
      <c r="L7" t="s">
        <v>40</v>
      </c>
    </row>
    <row r="8" spans="1:21" x14ac:dyDescent="0.3">
      <c r="A8" t="s">
        <v>5</v>
      </c>
      <c r="B8" t="s">
        <v>325</v>
      </c>
      <c r="C8" s="3">
        <f t="shared" si="0"/>
        <v>37</v>
      </c>
      <c r="D8">
        <v>27</v>
      </c>
      <c r="E8">
        <v>11</v>
      </c>
      <c r="F8">
        <v>4</v>
      </c>
      <c r="G8">
        <f t="shared" si="1"/>
        <v>12</v>
      </c>
      <c r="H8">
        <v>39</v>
      </c>
      <c r="I8">
        <v>37</v>
      </c>
      <c r="J8">
        <f t="shared" si="2"/>
        <v>2</v>
      </c>
      <c r="L8" t="s">
        <v>323</v>
      </c>
      <c r="M8" t="s">
        <v>37</v>
      </c>
      <c r="N8" t="s">
        <v>330</v>
      </c>
      <c r="P8" t="s">
        <v>330</v>
      </c>
      <c r="Q8" t="s">
        <v>206</v>
      </c>
      <c r="R8" t="s">
        <v>323</v>
      </c>
    </row>
    <row r="9" spans="1:21" x14ac:dyDescent="0.3">
      <c r="A9" t="s">
        <v>6</v>
      </c>
      <c r="B9" t="s">
        <v>330</v>
      </c>
      <c r="C9" s="3">
        <f t="shared" si="0"/>
        <v>34</v>
      </c>
      <c r="D9">
        <v>27</v>
      </c>
      <c r="E9">
        <v>10</v>
      </c>
      <c r="F9">
        <v>4</v>
      </c>
      <c r="G9">
        <f t="shared" si="1"/>
        <v>13</v>
      </c>
      <c r="H9">
        <v>31</v>
      </c>
      <c r="I9">
        <v>40</v>
      </c>
      <c r="J9">
        <f t="shared" si="2"/>
        <v>-9</v>
      </c>
    </row>
    <row r="10" spans="1:21" x14ac:dyDescent="0.3">
      <c r="A10" t="s">
        <v>7</v>
      </c>
      <c r="B10" t="s">
        <v>329</v>
      </c>
      <c r="C10" s="3">
        <f t="shared" si="0"/>
        <v>30</v>
      </c>
      <c r="D10">
        <v>27</v>
      </c>
      <c r="E10">
        <v>8</v>
      </c>
      <c r="F10">
        <v>6</v>
      </c>
      <c r="G10">
        <f t="shared" si="1"/>
        <v>13</v>
      </c>
      <c r="H10">
        <v>22</v>
      </c>
      <c r="I10">
        <v>28</v>
      </c>
      <c r="J10">
        <f t="shared" si="2"/>
        <v>-6</v>
      </c>
      <c r="L10" t="s">
        <v>46</v>
      </c>
    </row>
    <row r="11" spans="1:21" x14ac:dyDescent="0.3">
      <c r="A11" t="s">
        <v>8</v>
      </c>
      <c r="B11" t="s">
        <v>328</v>
      </c>
      <c r="C11" s="3">
        <f t="shared" si="0"/>
        <v>26</v>
      </c>
      <c r="D11">
        <v>27</v>
      </c>
      <c r="E11">
        <v>6</v>
      </c>
      <c r="F11">
        <v>8</v>
      </c>
      <c r="G11">
        <f t="shared" si="1"/>
        <v>13</v>
      </c>
      <c r="H11">
        <v>30</v>
      </c>
      <c r="I11">
        <v>42</v>
      </c>
      <c r="J11">
        <f t="shared" si="2"/>
        <v>-12</v>
      </c>
      <c r="L11" t="s">
        <v>323</v>
      </c>
      <c r="M11" t="s">
        <v>37</v>
      </c>
      <c r="N11" t="s">
        <v>324</v>
      </c>
    </row>
    <row r="12" spans="1:21" x14ac:dyDescent="0.3">
      <c r="A12" t="s">
        <v>9</v>
      </c>
      <c r="B12" t="s">
        <v>331</v>
      </c>
      <c r="C12" s="3">
        <f t="shared" si="0"/>
        <v>22</v>
      </c>
      <c r="D12">
        <v>27</v>
      </c>
      <c r="E12">
        <v>6</v>
      </c>
      <c r="F12">
        <v>4</v>
      </c>
      <c r="G12">
        <f t="shared" si="1"/>
        <v>17</v>
      </c>
      <c r="H12">
        <v>32</v>
      </c>
      <c r="I12">
        <v>54</v>
      </c>
      <c r="J12">
        <f t="shared" si="2"/>
        <v>-22</v>
      </c>
    </row>
  </sheetData>
  <sortState xmlns:xlrd2="http://schemas.microsoft.com/office/spreadsheetml/2017/richdata2" ref="B3:J12">
    <sortCondition descending="1" ref="C3:C12"/>
    <sortCondition descending="1" ref="J3:J12"/>
    <sortCondition descending="1" ref="H3:H12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27DE6-0D56-4971-9FAC-0DB83C860C48}">
  <dimension ref="A1:AB37"/>
  <sheetViews>
    <sheetView topLeftCell="M1" workbookViewId="0">
      <selection activeCell="A32" sqref="A32"/>
    </sheetView>
  </sheetViews>
  <sheetFormatPr defaultRowHeight="14.4" x14ac:dyDescent="0.3"/>
  <sheetData>
    <row r="1" spans="1:28" x14ac:dyDescent="0.3">
      <c r="A1" t="s">
        <v>333</v>
      </c>
      <c r="L1" t="s">
        <v>351</v>
      </c>
      <c r="W1" t="s">
        <v>346</v>
      </c>
      <c r="AA1" t="s">
        <v>48</v>
      </c>
    </row>
    <row r="2" spans="1:28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20</v>
      </c>
      <c r="I2" t="s">
        <v>21</v>
      </c>
      <c r="J2" t="s">
        <v>19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20</v>
      </c>
      <c r="T2" t="s">
        <v>21</v>
      </c>
      <c r="U2" t="s">
        <v>19</v>
      </c>
      <c r="W2" t="s">
        <v>39</v>
      </c>
      <c r="AA2" t="s">
        <v>334</v>
      </c>
      <c r="AB2">
        <v>2</v>
      </c>
    </row>
    <row r="3" spans="1:28" x14ac:dyDescent="0.3">
      <c r="A3" s="1" t="s">
        <v>0</v>
      </c>
      <c r="B3" t="s">
        <v>335</v>
      </c>
      <c r="C3" s="3">
        <f t="shared" ref="C3:C14" si="0">E3*3+F3</f>
        <v>39</v>
      </c>
      <c r="D3">
        <v>22</v>
      </c>
      <c r="E3">
        <v>11</v>
      </c>
      <c r="F3">
        <v>6</v>
      </c>
      <c r="G3">
        <f>D3-E3-F3</f>
        <v>5</v>
      </c>
      <c r="H3">
        <v>43</v>
      </c>
      <c r="I3">
        <v>28</v>
      </c>
      <c r="J3">
        <f>H3-I3</f>
        <v>15</v>
      </c>
      <c r="L3" s="1" t="s">
        <v>0</v>
      </c>
      <c r="M3" t="s">
        <v>352</v>
      </c>
      <c r="N3" s="3">
        <f t="shared" ref="N3:N17" si="1">P3*3+Q3</f>
        <v>53</v>
      </c>
      <c r="O3">
        <v>28</v>
      </c>
      <c r="P3">
        <v>16</v>
      </c>
      <c r="Q3">
        <v>5</v>
      </c>
      <c r="R3">
        <f>O3-P3-Q3</f>
        <v>7</v>
      </c>
      <c r="S3">
        <v>47</v>
      </c>
      <c r="T3">
        <v>29</v>
      </c>
      <c r="U3">
        <f>S3-T3</f>
        <v>18</v>
      </c>
      <c r="W3" t="s">
        <v>334</v>
      </c>
      <c r="X3" t="s">
        <v>347</v>
      </c>
      <c r="Y3" t="s">
        <v>345</v>
      </c>
      <c r="AA3" t="s">
        <v>352</v>
      </c>
      <c r="AB3">
        <v>3</v>
      </c>
    </row>
    <row r="4" spans="1:28" x14ac:dyDescent="0.3">
      <c r="A4" s="1" t="s">
        <v>1</v>
      </c>
      <c r="B4" t="s">
        <v>334</v>
      </c>
      <c r="C4" s="3">
        <f t="shared" si="0"/>
        <v>34</v>
      </c>
      <c r="D4">
        <v>22</v>
      </c>
      <c r="E4">
        <v>10</v>
      </c>
      <c r="F4">
        <v>4</v>
      </c>
      <c r="G4">
        <f t="shared" ref="G4:G14" si="2">D4-E4-F4</f>
        <v>8</v>
      </c>
      <c r="H4">
        <v>27</v>
      </c>
      <c r="I4">
        <v>27</v>
      </c>
      <c r="J4">
        <f t="shared" ref="J4:J14" si="3">H4-I4</f>
        <v>0</v>
      </c>
      <c r="L4" t="s">
        <v>1</v>
      </c>
      <c r="M4" t="s">
        <v>353</v>
      </c>
      <c r="N4" s="3">
        <f t="shared" si="1"/>
        <v>52</v>
      </c>
      <c r="O4">
        <v>28</v>
      </c>
      <c r="P4">
        <v>14</v>
      </c>
      <c r="Q4">
        <v>10</v>
      </c>
      <c r="R4">
        <f t="shared" ref="R4:R14" si="4">O4-P4-Q4</f>
        <v>4</v>
      </c>
      <c r="S4">
        <v>53</v>
      </c>
      <c r="T4">
        <v>33</v>
      </c>
      <c r="U4">
        <f t="shared" ref="U4:U14" si="5">S4-T4</f>
        <v>20</v>
      </c>
      <c r="W4" t="s">
        <v>341</v>
      </c>
      <c r="X4" t="s">
        <v>42</v>
      </c>
      <c r="Y4" t="s">
        <v>340</v>
      </c>
      <c r="AA4" t="s">
        <v>342</v>
      </c>
      <c r="AB4">
        <v>2</v>
      </c>
    </row>
    <row r="5" spans="1:28" x14ac:dyDescent="0.3">
      <c r="A5" s="1" t="s">
        <v>2</v>
      </c>
      <c r="B5" t="s">
        <v>336</v>
      </c>
      <c r="C5" s="3">
        <f t="shared" si="0"/>
        <v>33</v>
      </c>
      <c r="D5">
        <v>22</v>
      </c>
      <c r="E5">
        <v>8</v>
      </c>
      <c r="F5">
        <v>9</v>
      </c>
      <c r="G5">
        <f t="shared" si="2"/>
        <v>5</v>
      </c>
      <c r="H5">
        <v>30</v>
      </c>
      <c r="I5">
        <v>24</v>
      </c>
      <c r="J5">
        <f t="shared" si="3"/>
        <v>6</v>
      </c>
      <c r="L5" t="s">
        <v>2</v>
      </c>
      <c r="M5" t="s">
        <v>354</v>
      </c>
      <c r="N5" s="3">
        <f t="shared" si="1"/>
        <v>51</v>
      </c>
      <c r="O5">
        <v>28</v>
      </c>
      <c r="P5">
        <v>14</v>
      </c>
      <c r="Q5">
        <v>9</v>
      </c>
      <c r="R5">
        <f t="shared" si="4"/>
        <v>5</v>
      </c>
      <c r="S5">
        <v>59</v>
      </c>
      <c r="T5">
        <v>33</v>
      </c>
      <c r="U5">
        <f t="shared" si="5"/>
        <v>26</v>
      </c>
      <c r="W5" t="s">
        <v>338</v>
      </c>
      <c r="X5" t="s">
        <v>43</v>
      </c>
      <c r="Y5" t="s">
        <v>343</v>
      </c>
    </row>
    <row r="6" spans="1:28" x14ac:dyDescent="0.3">
      <c r="A6" s="1" t="s">
        <v>3</v>
      </c>
      <c r="B6" t="s">
        <v>337</v>
      </c>
      <c r="C6" s="3">
        <f t="shared" si="0"/>
        <v>33</v>
      </c>
      <c r="D6">
        <v>22</v>
      </c>
      <c r="E6">
        <v>10</v>
      </c>
      <c r="F6">
        <v>3</v>
      </c>
      <c r="G6">
        <f t="shared" si="2"/>
        <v>9</v>
      </c>
      <c r="H6">
        <v>29</v>
      </c>
      <c r="I6">
        <v>30</v>
      </c>
      <c r="J6">
        <f t="shared" si="3"/>
        <v>-1</v>
      </c>
      <c r="L6" t="s">
        <v>3</v>
      </c>
      <c r="M6" t="s">
        <v>355</v>
      </c>
      <c r="N6" s="3">
        <f t="shared" si="1"/>
        <v>49</v>
      </c>
      <c r="O6">
        <v>28</v>
      </c>
      <c r="P6">
        <v>15</v>
      </c>
      <c r="Q6">
        <v>4</v>
      </c>
      <c r="R6">
        <f t="shared" si="4"/>
        <v>9</v>
      </c>
      <c r="S6">
        <v>42</v>
      </c>
      <c r="T6">
        <v>33</v>
      </c>
      <c r="U6">
        <f t="shared" si="5"/>
        <v>9</v>
      </c>
      <c r="W6" t="s">
        <v>342</v>
      </c>
      <c r="X6" t="s">
        <v>44</v>
      </c>
      <c r="Y6" t="s">
        <v>335</v>
      </c>
    </row>
    <row r="7" spans="1:28" x14ac:dyDescent="0.3">
      <c r="A7" s="1" t="s">
        <v>4</v>
      </c>
      <c r="B7" t="s">
        <v>338</v>
      </c>
      <c r="C7" s="3">
        <f t="shared" si="0"/>
        <v>32</v>
      </c>
      <c r="D7">
        <v>22</v>
      </c>
      <c r="E7">
        <v>8</v>
      </c>
      <c r="F7">
        <v>8</v>
      </c>
      <c r="G7">
        <f t="shared" si="2"/>
        <v>6</v>
      </c>
      <c r="H7">
        <v>26</v>
      </c>
      <c r="I7">
        <v>21</v>
      </c>
      <c r="J7">
        <f t="shared" si="3"/>
        <v>5</v>
      </c>
      <c r="L7" t="s">
        <v>4</v>
      </c>
      <c r="M7" t="s">
        <v>356</v>
      </c>
      <c r="N7" s="3">
        <f t="shared" si="1"/>
        <v>44</v>
      </c>
      <c r="O7">
        <v>28</v>
      </c>
      <c r="P7">
        <v>12</v>
      </c>
      <c r="Q7">
        <v>8</v>
      </c>
      <c r="R7">
        <f t="shared" si="4"/>
        <v>8</v>
      </c>
      <c r="S7">
        <v>40</v>
      </c>
      <c r="T7">
        <v>29</v>
      </c>
      <c r="U7">
        <f t="shared" si="5"/>
        <v>11</v>
      </c>
    </row>
    <row r="8" spans="1:28" x14ac:dyDescent="0.3">
      <c r="A8" s="1" t="s">
        <v>5</v>
      </c>
      <c r="B8" t="s">
        <v>339</v>
      </c>
      <c r="C8" s="3">
        <f t="shared" si="0"/>
        <v>32</v>
      </c>
      <c r="D8">
        <v>22</v>
      </c>
      <c r="E8">
        <v>8</v>
      </c>
      <c r="F8">
        <v>8</v>
      </c>
      <c r="G8">
        <f t="shared" si="2"/>
        <v>6</v>
      </c>
      <c r="H8">
        <v>32</v>
      </c>
      <c r="I8">
        <v>29</v>
      </c>
      <c r="J8">
        <f t="shared" si="3"/>
        <v>3</v>
      </c>
      <c r="L8" t="s">
        <v>5</v>
      </c>
      <c r="M8" t="s">
        <v>357</v>
      </c>
      <c r="N8" s="3">
        <f t="shared" si="1"/>
        <v>42</v>
      </c>
      <c r="O8">
        <v>28</v>
      </c>
      <c r="P8">
        <v>13</v>
      </c>
      <c r="Q8">
        <v>3</v>
      </c>
      <c r="R8">
        <f t="shared" si="4"/>
        <v>12</v>
      </c>
      <c r="S8">
        <v>36</v>
      </c>
      <c r="T8">
        <v>41</v>
      </c>
      <c r="U8">
        <f t="shared" si="5"/>
        <v>-5</v>
      </c>
      <c r="W8" t="s">
        <v>40</v>
      </c>
    </row>
    <row r="9" spans="1:28" x14ac:dyDescent="0.3">
      <c r="A9" s="2" t="s">
        <v>6</v>
      </c>
      <c r="B9" t="s">
        <v>340</v>
      </c>
      <c r="C9" s="3">
        <f t="shared" si="0"/>
        <v>31</v>
      </c>
      <c r="D9">
        <v>22</v>
      </c>
      <c r="E9">
        <v>9</v>
      </c>
      <c r="F9">
        <v>4</v>
      </c>
      <c r="G9">
        <f t="shared" si="2"/>
        <v>9</v>
      </c>
      <c r="H9">
        <v>26</v>
      </c>
      <c r="I9">
        <v>27</v>
      </c>
      <c r="J9">
        <f t="shared" si="3"/>
        <v>-1</v>
      </c>
      <c r="L9" t="s">
        <v>6</v>
      </c>
      <c r="M9" t="s">
        <v>358</v>
      </c>
      <c r="N9" s="3">
        <f t="shared" si="1"/>
        <v>40</v>
      </c>
      <c r="O9">
        <v>28</v>
      </c>
      <c r="P9">
        <v>10</v>
      </c>
      <c r="Q9">
        <v>10</v>
      </c>
      <c r="R9">
        <f t="shared" si="4"/>
        <v>8</v>
      </c>
      <c r="S9">
        <v>40</v>
      </c>
      <c r="T9">
        <v>40</v>
      </c>
      <c r="U9">
        <f t="shared" si="5"/>
        <v>0</v>
      </c>
      <c r="W9" t="s">
        <v>341</v>
      </c>
      <c r="X9" t="s">
        <v>348</v>
      </c>
      <c r="Y9" t="s">
        <v>334</v>
      </c>
    </row>
    <row r="10" spans="1:28" x14ac:dyDescent="0.3">
      <c r="A10" s="2" t="s">
        <v>7</v>
      </c>
      <c r="B10" t="s">
        <v>341</v>
      </c>
      <c r="C10" s="3">
        <f t="shared" si="0"/>
        <v>30</v>
      </c>
      <c r="D10">
        <v>22</v>
      </c>
      <c r="E10">
        <v>9</v>
      </c>
      <c r="F10">
        <v>3</v>
      </c>
      <c r="G10">
        <f t="shared" si="2"/>
        <v>10</v>
      </c>
      <c r="H10">
        <v>27</v>
      </c>
      <c r="I10">
        <v>28</v>
      </c>
      <c r="J10">
        <f t="shared" si="3"/>
        <v>-1</v>
      </c>
      <c r="L10" t="s">
        <v>7</v>
      </c>
      <c r="M10" t="s">
        <v>359</v>
      </c>
      <c r="N10" s="3">
        <f t="shared" si="1"/>
        <v>38</v>
      </c>
      <c r="O10">
        <v>28</v>
      </c>
      <c r="P10">
        <v>11</v>
      </c>
      <c r="Q10">
        <v>5</v>
      </c>
      <c r="R10">
        <f t="shared" si="4"/>
        <v>12</v>
      </c>
      <c r="S10">
        <v>37</v>
      </c>
      <c r="T10">
        <v>39</v>
      </c>
      <c r="U10">
        <f t="shared" si="5"/>
        <v>-2</v>
      </c>
      <c r="W10" t="s">
        <v>342</v>
      </c>
      <c r="X10" t="s">
        <v>43</v>
      </c>
      <c r="Y10" t="s">
        <v>338</v>
      </c>
    </row>
    <row r="11" spans="1:28" x14ac:dyDescent="0.3">
      <c r="A11" s="2" t="s">
        <v>8</v>
      </c>
      <c r="B11" t="s">
        <v>342</v>
      </c>
      <c r="C11" s="3">
        <f t="shared" si="0"/>
        <v>29</v>
      </c>
      <c r="D11">
        <v>22</v>
      </c>
      <c r="E11">
        <v>8</v>
      </c>
      <c r="F11">
        <v>5</v>
      </c>
      <c r="G11">
        <f t="shared" si="2"/>
        <v>9</v>
      </c>
      <c r="H11">
        <v>30</v>
      </c>
      <c r="I11">
        <v>30</v>
      </c>
      <c r="J11">
        <f t="shared" si="3"/>
        <v>0</v>
      </c>
      <c r="L11" t="s">
        <v>8</v>
      </c>
      <c r="M11" t="s">
        <v>360</v>
      </c>
      <c r="N11" s="3">
        <f t="shared" si="1"/>
        <v>36</v>
      </c>
      <c r="O11">
        <v>28</v>
      </c>
      <c r="P11">
        <v>10</v>
      </c>
      <c r="Q11">
        <v>6</v>
      </c>
      <c r="R11">
        <f t="shared" si="4"/>
        <v>12</v>
      </c>
      <c r="S11">
        <v>31</v>
      </c>
      <c r="T11">
        <v>39</v>
      </c>
      <c r="U11">
        <f t="shared" si="5"/>
        <v>-8</v>
      </c>
    </row>
    <row r="12" spans="1:28" x14ac:dyDescent="0.3">
      <c r="A12" s="2" t="s">
        <v>9</v>
      </c>
      <c r="B12" t="s">
        <v>343</v>
      </c>
      <c r="C12" s="3">
        <f t="shared" si="0"/>
        <v>29</v>
      </c>
      <c r="D12">
        <v>22</v>
      </c>
      <c r="E12">
        <v>9</v>
      </c>
      <c r="F12">
        <v>2</v>
      </c>
      <c r="G12">
        <f t="shared" si="2"/>
        <v>11</v>
      </c>
      <c r="H12">
        <v>30</v>
      </c>
      <c r="I12">
        <v>30</v>
      </c>
      <c r="J12">
        <f t="shared" si="3"/>
        <v>0</v>
      </c>
      <c r="L12" t="s">
        <v>9</v>
      </c>
      <c r="M12" t="s">
        <v>361</v>
      </c>
      <c r="N12" s="3">
        <f t="shared" si="1"/>
        <v>32</v>
      </c>
      <c r="O12">
        <v>28</v>
      </c>
      <c r="P12">
        <v>9</v>
      </c>
      <c r="Q12">
        <v>5</v>
      </c>
      <c r="R12">
        <f t="shared" si="4"/>
        <v>14</v>
      </c>
      <c r="S12">
        <v>32</v>
      </c>
      <c r="T12">
        <v>41</v>
      </c>
      <c r="U12">
        <f t="shared" si="5"/>
        <v>-9</v>
      </c>
      <c r="W12" t="s">
        <v>46</v>
      </c>
    </row>
    <row r="13" spans="1:28" x14ac:dyDescent="0.3">
      <c r="A13" s="2" t="s">
        <v>10</v>
      </c>
      <c r="B13" t="s">
        <v>344</v>
      </c>
      <c r="C13" s="3">
        <f t="shared" si="0"/>
        <v>26</v>
      </c>
      <c r="D13">
        <v>22</v>
      </c>
      <c r="E13">
        <v>6</v>
      </c>
      <c r="F13">
        <v>8</v>
      </c>
      <c r="G13">
        <f t="shared" si="2"/>
        <v>8</v>
      </c>
      <c r="H13">
        <v>26</v>
      </c>
      <c r="I13">
        <v>33</v>
      </c>
      <c r="J13">
        <f t="shared" si="3"/>
        <v>-7</v>
      </c>
      <c r="L13" t="s">
        <v>10</v>
      </c>
      <c r="M13" t="s">
        <v>362</v>
      </c>
      <c r="N13" s="3">
        <f t="shared" si="1"/>
        <v>32</v>
      </c>
      <c r="O13">
        <v>28</v>
      </c>
      <c r="P13">
        <v>9</v>
      </c>
      <c r="Q13">
        <v>5</v>
      </c>
      <c r="R13">
        <f t="shared" si="4"/>
        <v>14</v>
      </c>
      <c r="S13">
        <v>34</v>
      </c>
      <c r="T13">
        <v>48</v>
      </c>
      <c r="U13">
        <f t="shared" si="5"/>
        <v>-14</v>
      </c>
      <c r="W13" t="s">
        <v>341</v>
      </c>
      <c r="X13" t="s">
        <v>349</v>
      </c>
      <c r="Y13" t="s">
        <v>342</v>
      </c>
    </row>
    <row r="14" spans="1:28" x14ac:dyDescent="0.3">
      <c r="A14" s="2" t="s">
        <v>11</v>
      </c>
      <c r="B14" t="s">
        <v>345</v>
      </c>
      <c r="C14" s="3">
        <f t="shared" si="0"/>
        <v>16</v>
      </c>
      <c r="D14">
        <v>22</v>
      </c>
      <c r="E14">
        <v>4</v>
      </c>
      <c r="F14">
        <v>4</v>
      </c>
      <c r="G14">
        <f t="shared" si="2"/>
        <v>14</v>
      </c>
      <c r="H14">
        <v>19</v>
      </c>
      <c r="I14">
        <v>38</v>
      </c>
      <c r="J14">
        <f t="shared" si="3"/>
        <v>-19</v>
      </c>
      <c r="L14" t="s">
        <v>11</v>
      </c>
      <c r="M14" t="s">
        <v>363</v>
      </c>
      <c r="N14" s="3">
        <f t="shared" si="1"/>
        <v>30</v>
      </c>
      <c r="O14">
        <v>28</v>
      </c>
      <c r="P14">
        <v>8</v>
      </c>
      <c r="Q14">
        <v>6</v>
      </c>
      <c r="R14">
        <f t="shared" si="4"/>
        <v>14</v>
      </c>
      <c r="S14">
        <v>28</v>
      </c>
      <c r="T14">
        <v>39</v>
      </c>
      <c r="U14">
        <f t="shared" si="5"/>
        <v>-11</v>
      </c>
    </row>
    <row r="15" spans="1:28" x14ac:dyDescent="0.3">
      <c r="L15" t="s">
        <v>69</v>
      </c>
      <c r="M15" t="s">
        <v>364</v>
      </c>
      <c r="N15" s="3">
        <f t="shared" si="1"/>
        <v>32</v>
      </c>
      <c r="O15">
        <v>28</v>
      </c>
      <c r="P15">
        <v>8</v>
      </c>
      <c r="Q15">
        <v>8</v>
      </c>
      <c r="R15">
        <f>O15-P15-Q15</f>
        <v>12</v>
      </c>
      <c r="S15">
        <v>34</v>
      </c>
      <c r="T15">
        <v>42</v>
      </c>
      <c r="U15">
        <f>S15-T15</f>
        <v>-8</v>
      </c>
    </row>
    <row r="16" spans="1:28" x14ac:dyDescent="0.3">
      <c r="A16" t="s">
        <v>34</v>
      </c>
      <c r="L16" t="s">
        <v>70</v>
      </c>
      <c r="M16" t="s">
        <v>365</v>
      </c>
      <c r="N16" s="3">
        <f t="shared" si="1"/>
        <v>31</v>
      </c>
      <c r="O16">
        <v>28</v>
      </c>
      <c r="P16">
        <v>9</v>
      </c>
      <c r="Q16">
        <v>4</v>
      </c>
      <c r="R16">
        <f t="shared" ref="R16:R17" si="6">O16-P16-Q16</f>
        <v>15</v>
      </c>
      <c r="S16">
        <v>42</v>
      </c>
      <c r="T16">
        <v>46</v>
      </c>
      <c r="U16">
        <f t="shared" ref="U16:U17" si="7">S16-T16</f>
        <v>-4</v>
      </c>
    </row>
    <row r="17" spans="1:21" x14ac:dyDescent="0.3">
      <c r="A17" s="4" t="s">
        <v>0</v>
      </c>
      <c r="B17" t="s">
        <v>334</v>
      </c>
      <c r="C17" s="3">
        <v>37</v>
      </c>
      <c r="D17">
        <v>32</v>
      </c>
      <c r="E17">
        <v>16</v>
      </c>
      <c r="F17">
        <v>6</v>
      </c>
      <c r="G17">
        <f t="shared" ref="G17:G22" si="8">D17-E17-F17</f>
        <v>10</v>
      </c>
      <c r="H17">
        <v>49</v>
      </c>
      <c r="I17">
        <v>42</v>
      </c>
      <c r="J17">
        <f t="shared" ref="J17:J22" si="9">H17-I17</f>
        <v>7</v>
      </c>
      <c r="L17" t="s">
        <v>71</v>
      </c>
      <c r="M17" t="s">
        <v>366</v>
      </c>
      <c r="N17" s="3">
        <f t="shared" si="1"/>
        <v>21</v>
      </c>
      <c r="O17">
        <v>28</v>
      </c>
      <c r="P17">
        <v>5</v>
      </c>
      <c r="Q17">
        <v>6</v>
      </c>
      <c r="R17">
        <f t="shared" si="6"/>
        <v>17</v>
      </c>
      <c r="S17">
        <v>27</v>
      </c>
      <c r="T17">
        <v>50</v>
      </c>
      <c r="U17">
        <f t="shared" si="7"/>
        <v>-23</v>
      </c>
    </row>
    <row r="18" spans="1:21" x14ac:dyDescent="0.3">
      <c r="A18" s="4" t="s">
        <v>1</v>
      </c>
      <c r="B18" t="s">
        <v>335</v>
      </c>
      <c r="C18" s="3">
        <v>33</v>
      </c>
      <c r="D18">
        <v>32</v>
      </c>
      <c r="E18">
        <v>15</v>
      </c>
      <c r="F18">
        <v>8</v>
      </c>
      <c r="G18">
        <f t="shared" si="8"/>
        <v>9</v>
      </c>
      <c r="H18">
        <v>61</v>
      </c>
      <c r="I18">
        <v>48</v>
      </c>
      <c r="J18">
        <f t="shared" si="9"/>
        <v>13</v>
      </c>
    </row>
    <row r="19" spans="1:21" x14ac:dyDescent="0.3">
      <c r="A19" s="1" t="s">
        <v>2</v>
      </c>
      <c r="B19" t="s">
        <v>336</v>
      </c>
      <c r="C19" s="3">
        <v>33</v>
      </c>
      <c r="D19">
        <v>32</v>
      </c>
      <c r="E19">
        <v>13</v>
      </c>
      <c r="F19">
        <v>11</v>
      </c>
      <c r="G19">
        <f t="shared" si="8"/>
        <v>8</v>
      </c>
      <c r="H19">
        <v>43</v>
      </c>
      <c r="I19">
        <v>35</v>
      </c>
      <c r="J19">
        <f t="shared" si="9"/>
        <v>8</v>
      </c>
    </row>
    <row r="20" spans="1:21" x14ac:dyDescent="0.3">
      <c r="A20" s="2" t="s">
        <v>3</v>
      </c>
      <c r="B20" t="s">
        <v>338</v>
      </c>
      <c r="C20" s="3">
        <v>32</v>
      </c>
      <c r="D20">
        <v>32</v>
      </c>
      <c r="E20">
        <v>13</v>
      </c>
      <c r="F20">
        <v>9</v>
      </c>
      <c r="G20">
        <f t="shared" si="8"/>
        <v>10</v>
      </c>
      <c r="H20">
        <v>41</v>
      </c>
      <c r="I20">
        <v>36</v>
      </c>
      <c r="J20">
        <f t="shared" si="9"/>
        <v>5</v>
      </c>
    </row>
    <row r="21" spans="1:21" x14ac:dyDescent="0.3">
      <c r="A21" t="s">
        <v>4</v>
      </c>
      <c r="B21" t="s">
        <v>337</v>
      </c>
      <c r="C21" s="3">
        <v>27</v>
      </c>
      <c r="D21">
        <v>32</v>
      </c>
      <c r="E21">
        <v>12</v>
      </c>
      <c r="F21">
        <v>8</v>
      </c>
      <c r="G21">
        <f t="shared" si="8"/>
        <v>12</v>
      </c>
      <c r="H21">
        <v>41</v>
      </c>
      <c r="I21">
        <v>43</v>
      </c>
      <c r="J21">
        <f t="shared" si="9"/>
        <v>-2</v>
      </c>
    </row>
    <row r="22" spans="1:21" x14ac:dyDescent="0.3">
      <c r="A22" t="s">
        <v>5</v>
      </c>
      <c r="B22" t="s">
        <v>339</v>
      </c>
      <c r="C22" s="3">
        <v>21</v>
      </c>
      <c r="D22">
        <v>32</v>
      </c>
      <c r="E22">
        <v>9</v>
      </c>
      <c r="F22">
        <v>10</v>
      </c>
      <c r="G22">
        <f t="shared" si="8"/>
        <v>13</v>
      </c>
      <c r="H22">
        <v>44</v>
      </c>
      <c r="I22">
        <v>47</v>
      </c>
      <c r="J22">
        <f t="shared" si="9"/>
        <v>-3</v>
      </c>
    </row>
    <row r="24" spans="1:21" x14ac:dyDescent="0.3">
      <c r="A24" t="s">
        <v>35</v>
      </c>
    </row>
    <row r="25" spans="1:21" x14ac:dyDescent="0.3">
      <c r="A25" s="1" t="s">
        <v>0</v>
      </c>
      <c r="B25" t="s">
        <v>343</v>
      </c>
      <c r="C25" s="3">
        <v>35</v>
      </c>
      <c r="D25">
        <v>32</v>
      </c>
      <c r="E25">
        <v>16</v>
      </c>
      <c r="F25">
        <v>2</v>
      </c>
      <c r="G25">
        <f t="shared" ref="G25:G30" si="10">D25-E25-F25</f>
        <v>14</v>
      </c>
      <c r="H25">
        <v>45</v>
      </c>
      <c r="I25">
        <v>39</v>
      </c>
      <c r="J25">
        <f t="shared" ref="J25:J30" si="11">H25-I25</f>
        <v>6</v>
      </c>
    </row>
    <row r="26" spans="1:21" x14ac:dyDescent="0.3">
      <c r="A26" s="2" t="s">
        <v>1</v>
      </c>
      <c r="B26" t="s">
        <v>340</v>
      </c>
      <c r="C26" s="3">
        <v>30</v>
      </c>
      <c r="D26">
        <v>32</v>
      </c>
      <c r="E26">
        <v>13</v>
      </c>
      <c r="F26">
        <v>7</v>
      </c>
      <c r="G26">
        <f t="shared" si="10"/>
        <v>12</v>
      </c>
      <c r="H26">
        <v>47</v>
      </c>
      <c r="I26">
        <v>45</v>
      </c>
      <c r="J26">
        <f t="shared" si="11"/>
        <v>2</v>
      </c>
    </row>
    <row r="27" spans="1:21" x14ac:dyDescent="0.3">
      <c r="A27" s="5" t="s">
        <v>2</v>
      </c>
      <c r="B27" t="s">
        <v>342</v>
      </c>
      <c r="C27" s="3">
        <v>29</v>
      </c>
      <c r="D27">
        <v>32</v>
      </c>
      <c r="E27">
        <v>12</v>
      </c>
      <c r="F27">
        <v>8</v>
      </c>
      <c r="G27">
        <f t="shared" si="10"/>
        <v>12</v>
      </c>
      <c r="H27">
        <v>47</v>
      </c>
      <c r="I27">
        <v>45</v>
      </c>
      <c r="J27">
        <f t="shared" si="11"/>
        <v>2</v>
      </c>
    </row>
    <row r="28" spans="1:21" x14ac:dyDescent="0.3">
      <c r="A28" t="s">
        <v>3</v>
      </c>
      <c r="B28" t="s">
        <v>341</v>
      </c>
      <c r="C28" s="3">
        <v>26</v>
      </c>
      <c r="D28">
        <v>32</v>
      </c>
      <c r="E28">
        <v>12</v>
      </c>
      <c r="F28">
        <v>5</v>
      </c>
      <c r="G28">
        <f t="shared" si="10"/>
        <v>15</v>
      </c>
      <c r="H28">
        <v>40</v>
      </c>
      <c r="I28">
        <v>47</v>
      </c>
      <c r="J28">
        <f t="shared" si="11"/>
        <v>-7</v>
      </c>
    </row>
    <row r="29" spans="1:21" x14ac:dyDescent="0.3">
      <c r="A29" t="s">
        <v>4</v>
      </c>
      <c r="B29" t="s">
        <v>344</v>
      </c>
      <c r="C29" s="3">
        <v>25</v>
      </c>
      <c r="D29">
        <v>32</v>
      </c>
      <c r="E29">
        <v>10</v>
      </c>
      <c r="F29">
        <v>8</v>
      </c>
      <c r="G29">
        <f t="shared" si="10"/>
        <v>14</v>
      </c>
      <c r="H29">
        <v>39</v>
      </c>
      <c r="I29">
        <v>48</v>
      </c>
      <c r="J29">
        <f t="shared" si="11"/>
        <v>-9</v>
      </c>
    </row>
    <row r="30" spans="1:21" x14ac:dyDescent="0.3">
      <c r="A30" s="7" t="s">
        <v>5</v>
      </c>
      <c r="B30" t="s">
        <v>345</v>
      </c>
      <c r="C30" s="3">
        <v>19</v>
      </c>
      <c r="D30">
        <v>32</v>
      </c>
      <c r="E30">
        <v>7</v>
      </c>
      <c r="F30">
        <v>6</v>
      </c>
      <c r="G30">
        <f t="shared" si="10"/>
        <v>19</v>
      </c>
      <c r="H30">
        <v>36</v>
      </c>
      <c r="I30">
        <v>58</v>
      </c>
      <c r="J30">
        <f t="shared" si="11"/>
        <v>-22</v>
      </c>
    </row>
    <row r="32" spans="1:21" x14ac:dyDescent="0.3">
      <c r="A32" t="s">
        <v>350</v>
      </c>
    </row>
    <row r="33" spans="1:7" x14ac:dyDescent="0.3">
      <c r="A33" t="s">
        <v>40</v>
      </c>
    </row>
    <row r="34" spans="1:7" x14ac:dyDescent="0.3">
      <c r="A34" t="s">
        <v>343</v>
      </c>
      <c r="B34" t="s">
        <v>42</v>
      </c>
      <c r="C34" t="s">
        <v>340</v>
      </c>
    </row>
    <row r="36" spans="1:7" x14ac:dyDescent="0.3">
      <c r="A36" t="s">
        <v>46</v>
      </c>
    </row>
    <row r="37" spans="1:7" x14ac:dyDescent="0.3">
      <c r="A37" t="s">
        <v>343</v>
      </c>
      <c r="B37" t="s">
        <v>206</v>
      </c>
      <c r="C37" t="s">
        <v>338</v>
      </c>
      <c r="E37" t="s">
        <v>338</v>
      </c>
      <c r="F37" t="s">
        <v>38</v>
      </c>
      <c r="G37" t="s">
        <v>343</v>
      </c>
    </row>
  </sheetData>
  <sortState xmlns:xlrd2="http://schemas.microsoft.com/office/spreadsheetml/2017/richdata2" ref="B25:J30">
    <sortCondition descending="1" ref="C25:C30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1CD60-5FED-43EE-A95D-065D27748715}">
  <dimension ref="A1:U15"/>
  <sheetViews>
    <sheetView workbookViewId="0">
      <selection activeCell="T2" sqref="T2:T3"/>
    </sheetView>
  </sheetViews>
  <sheetFormatPr defaultRowHeight="14.4" x14ac:dyDescent="0.3"/>
  <sheetData>
    <row r="1" spans="1:21" x14ac:dyDescent="0.3">
      <c r="A1" t="s">
        <v>367</v>
      </c>
      <c r="L1" t="s">
        <v>380</v>
      </c>
      <c r="T1" t="s">
        <v>48</v>
      </c>
    </row>
    <row r="2" spans="1:21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20</v>
      </c>
      <c r="I2" t="s">
        <v>21</v>
      </c>
      <c r="J2" t="s">
        <v>19</v>
      </c>
      <c r="L2" t="s">
        <v>39</v>
      </c>
      <c r="T2" t="s">
        <v>368</v>
      </c>
      <c r="U2">
        <v>1</v>
      </c>
    </row>
    <row r="3" spans="1:21" x14ac:dyDescent="0.3">
      <c r="A3" s="4" t="s">
        <v>0</v>
      </c>
      <c r="B3" t="s">
        <v>368</v>
      </c>
      <c r="C3" s="3"/>
      <c r="D3" s="3"/>
      <c r="E3" s="3"/>
      <c r="F3" s="3"/>
      <c r="G3" s="3"/>
      <c r="H3" s="3"/>
      <c r="I3" s="3"/>
      <c r="J3" s="3"/>
      <c r="L3" t="s">
        <v>370</v>
      </c>
      <c r="M3" t="s">
        <v>43</v>
      </c>
      <c r="N3" t="s">
        <v>378</v>
      </c>
      <c r="P3" t="s">
        <v>378</v>
      </c>
      <c r="Q3" t="s">
        <v>381</v>
      </c>
      <c r="R3" t="s">
        <v>370</v>
      </c>
      <c r="T3" t="s">
        <v>376</v>
      </c>
      <c r="U3">
        <v>3</v>
      </c>
    </row>
    <row r="4" spans="1:21" x14ac:dyDescent="0.3">
      <c r="A4" s="1" t="s">
        <v>1</v>
      </c>
      <c r="B4" t="s">
        <v>369</v>
      </c>
      <c r="C4" s="3"/>
      <c r="D4" s="3"/>
      <c r="E4" s="3"/>
      <c r="F4" s="3"/>
      <c r="G4" s="3"/>
      <c r="H4" s="3"/>
      <c r="I4" s="3"/>
      <c r="J4" s="3"/>
      <c r="L4" t="s">
        <v>376</v>
      </c>
      <c r="M4" t="s">
        <v>42</v>
      </c>
      <c r="N4" t="s">
        <v>369</v>
      </c>
      <c r="P4" t="s">
        <v>369</v>
      </c>
      <c r="Q4" t="s">
        <v>382</v>
      </c>
      <c r="R4" t="s">
        <v>376</v>
      </c>
    </row>
    <row r="5" spans="1:21" x14ac:dyDescent="0.3">
      <c r="A5" s="1" t="s">
        <v>2</v>
      </c>
      <c r="B5" t="s">
        <v>370</v>
      </c>
      <c r="C5" s="3"/>
      <c r="D5" s="3"/>
      <c r="E5" s="3"/>
      <c r="F5" s="3"/>
      <c r="G5" s="3"/>
      <c r="H5" s="3"/>
      <c r="I5" s="3"/>
      <c r="J5" s="3"/>
      <c r="L5" t="s">
        <v>373</v>
      </c>
      <c r="M5" t="s">
        <v>42</v>
      </c>
      <c r="N5" t="s">
        <v>372</v>
      </c>
      <c r="P5" t="s">
        <v>372</v>
      </c>
      <c r="Q5" t="s">
        <v>205</v>
      </c>
      <c r="R5" t="s">
        <v>373</v>
      </c>
    </row>
    <row r="6" spans="1:21" x14ac:dyDescent="0.3">
      <c r="A6" t="s">
        <v>3</v>
      </c>
      <c r="B6" t="s">
        <v>372</v>
      </c>
      <c r="C6" s="3"/>
      <c r="D6" s="3"/>
      <c r="E6" s="3"/>
      <c r="F6" s="3"/>
      <c r="G6" s="3"/>
      <c r="H6" s="3"/>
      <c r="I6" s="3"/>
      <c r="J6" s="3"/>
      <c r="L6" t="s">
        <v>368</v>
      </c>
      <c r="M6" t="s">
        <v>42</v>
      </c>
      <c r="N6" t="s">
        <v>371</v>
      </c>
      <c r="P6" t="s">
        <v>371</v>
      </c>
      <c r="Q6" t="s">
        <v>95</v>
      </c>
      <c r="R6" t="s">
        <v>368</v>
      </c>
    </row>
    <row r="7" spans="1:21" x14ac:dyDescent="0.3">
      <c r="A7" t="s">
        <v>4</v>
      </c>
      <c r="B7" t="s">
        <v>373</v>
      </c>
      <c r="C7" s="3"/>
      <c r="D7" s="3"/>
      <c r="E7" s="3"/>
      <c r="F7" s="3"/>
      <c r="G7" s="3"/>
      <c r="H7" s="3"/>
      <c r="I7" s="3"/>
      <c r="J7" s="3"/>
    </row>
    <row r="8" spans="1:21" x14ac:dyDescent="0.3">
      <c r="A8" t="s">
        <v>5</v>
      </c>
      <c r="B8" t="s">
        <v>374</v>
      </c>
      <c r="C8" s="3"/>
      <c r="D8" s="3"/>
      <c r="E8" s="3"/>
      <c r="F8" s="3"/>
      <c r="G8" s="3"/>
      <c r="H8" s="3"/>
      <c r="I8" s="3"/>
      <c r="J8" s="3"/>
      <c r="L8" t="s">
        <v>40</v>
      </c>
    </row>
    <row r="9" spans="1:21" x14ac:dyDescent="0.3">
      <c r="A9" t="s">
        <v>6</v>
      </c>
      <c r="B9" t="s">
        <v>375</v>
      </c>
      <c r="C9" s="3"/>
      <c r="D9" s="3"/>
      <c r="E9" s="3"/>
      <c r="F9" s="3"/>
      <c r="G9" s="3"/>
      <c r="H9" s="3"/>
      <c r="I9" s="3"/>
      <c r="J9" s="3"/>
      <c r="L9" t="s">
        <v>373</v>
      </c>
      <c r="M9" t="s">
        <v>44</v>
      </c>
      <c r="N9" t="s">
        <v>376</v>
      </c>
      <c r="P9" t="s">
        <v>376</v>
      </c>
      <c r="Q9" t="s">
        <v>93</v>
      </c>
      <c r="R9" t="s">
        <v>373</v>
      </c>
    </row>
    <row r="10" spans="1:21" x14ac:dyDescent="0.3">
      <c r="A10" s="5" t="s">
        <v>7</v>
      </c>
      <c r="B10" t="s">
        <v>376</v>
      </c>
      <c r="C10" s="3"/>
      <c r="D10" s="3"/>
      <c r="E10" s="3"/>
      <c r="F10" s="3"/>
      <c r="G10" s="3"/>
      <c r="H10" s="3"/>
      <c r="I10" s="3"/>
      <c r="J10" s="3"/>
      <c r="L10" t="s">
        <v>368</v>
      </c>
      <c r="M10" t="s">
        <v>42</v>
      </c>
      <c r="N10" t="s">
        <v>378</v>
      </c>
      <c r="P10" t="s">
        <v>378</v>
      </c>
      <c r="Q10" t="s">
        <v>241</v>
      </c>
      <c r="R10" t="s">
        <v>368</v>
      </c>
    </row>
    <row r="11" spans="1:21" x14ac:dyDescent="0.3">
      <c r="A11" t="s">
        <v>8</v>
      </c>
      <c r="B11" t="s">
        <v>377</v>
      </c>
      <c r="C11" s="3"/>
      <c r="D11" s="3"/>
      <c r="E11" s="3"/>
      <c r="F11" s="3"/>
      <c r="G11" s="3"/>
      <c r="H11" s="3"/>
      <c r="I11" s="3"/>
      <c r="J11" s="3"/>
    </row>
    <row r="12" spans="1:21" x14ac:dyDescent="0.3">
      <c r="A12" t="s">
        <v>9</v>
      </c>
      <c r="B12" t="s">
        <v>378</v>
      </c>
      <c r="C12" s="3"/>
      <c r="D12" s="3"/>
      <c r="E12" s="3"/>
      <c r="F12" s="3"/>
      <c r="G12" s="3"/>
      <c r="H12" s="3"/>
      <c r="I12" s="3"/>
      <c r="J12" s="3"/>
      <c r="L12" t="s">
        <v>46</v>
      </c>
    </row>
    <row r="13" spans="1:21" x14ac:dyDescent="0.3">
      <c r="A13" t="s">
        <v>10</v>
      </c>
      <c r="B13" t="s">
        <v>379</v>
      </c>
      <c r="C13" s="3"/>
      <c r="D13" s="3"/>
      <c r="E13" s="3"/>
      <c r="F13" s="3"/>
      <c r="G13" s="3"/>
      <c r="H13" s="3"/>
      <c r="I13" s="3"/>
      <c r="J13" s="3"/>
      <c r="L13" t="s">
        <v>376</v>
      </c>
      <c r="M13" t="s">
        <v>44</v>
      </c>
      <c r="N13" t="s">
        <v>368</v>
      </c>
    </row>
    <row r="14" spans="1:21" x14ac:dyDescent="0.3">
      <c r="A14" t="s">
        <v>11</v>
      </c>
      <c r="B14" t="s">
        <v>371</v>
      </c>
      <c r="C14" s="3"/>
      <c r="D14" s="3"/>
      <c r="E14" s="3"/>
      <c r="F14" s="3"/>
      <c r="G14" s="3"/>
      <c r="H14" s="3"/>
      <c r="I14" s="3"/>
      <c r="J14" s="3"/>
    </row>
    <row r="15" spans="1:21" x14ac:dyDescent="0.3">
      <c r="C15" s="3"/>
      <c r="D15" s="3"/>
      <c r="E15" s="3"/>
      <c r="F15" s="3"/>
      <c r="G15" s="3"/>
      <c r="H15" s="3"/>
      <c r="I15" s="3"/>
      <c r="J15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FE055-3B85-4C3E-ABF8-4E9129A15554}">
  <dimension ref="A1:AB44"/>
  <sheetViews>
    <sheetView topLeftCell="Q1" workbookViewId="0">
      <selection activeCell="AB3" sqref="AB3"/>
    </sheetView>
  </sheetViews>
  <sheetFormatPr defaultRowHeight="14.4" x14ac:dyDescent="0.3"/>
  <sheetData>
    <row r="1" spans="1:28" x14ac:dyDescent="0.3">
      <c r="A1" t="s">
        <v>383</v>
      </c>
      <c r="L1" t="s">
        <v>401</v>
      </c>
      <c r="W1" t="s">
        <v>420</v>
      </c>
      <c r="AA1" t="s">
        <v>48</v>
      </c>
    </row>
    <row r="2" spans="1:28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20</v>
      </c>
      <c r="I2" t="s">
        <v>21</v>
      </c>
      <c r="J2" t="s">
        <v>19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20</v>
      </c>
      <c r="T2" t="s">
        <v>21</v>
      </c>
      <c r="U2" t="s">
        <v>19</v>
      </c>
      <c r="W2" t="s">
        <v>46</v>
      </c>
      <c r="AA2" t="s">
        <v>384</v>
      </c>
      <c r="AB2">
        <v>13</v>
      </c>
    </row>
    <row r="3" spans="1:28" x14ac:dyDescent="0.3">
      <c r="A3" s="1" t="s">
        <v>0</v>
      </c>
      <c r="B3" t="s">
        <v>384</v>
      </c>
      <c r="C3" s="3">
        <f t="shared" ref="C3:C18" si="0">E3*3+F3</f>
        <v>62</v>
      </c>
      <c r="D3">
        <v>30</v>
      </c>
      <c r="E3">
        <v>18</v>
      </c>
      <c r="F3">
        <v>8</v>
      </c>
      <c r="G3">
        <f>D3-E3-F3</f>
        <v>4</v>
      </c>
      <c r="H3">
        <v>51</v>
      </c>
      <c r="I3">
        <v>20</v>
      </c>
      <c r="J3">
        <f>H3-I3</f>
        <v>31</v>
      </c>
      <c r="L3" s="1" t="s">
        <v>0</v>
      </c>
      <c r="M3" t="s">
        <v>402</v>
      </c>
      <c r="N3" s="3">
        <f t="shared" ref="N3:N19" si="1">P3*3+Q3</f>
        <v>69</v>
      </c>
      <c r="O3">
        <v>32</v>
      </c>
      <c r="P3">
        <v>22</v>
      </c>
      <c r="Q3">
        <v>3</v>
      </c>
      <c r="R3">
        <f t="shared" ref="R3:R19" si="2">O3-P3-Q3</f>
        <v>7</v>
      </c>
      <c r="S3">
        <v>61</v>
      </c>
      <c r="T3">
        <v>34</v>
      </c>
      <c r="U3">
        <f t="shared" ref="U3:U19" si="3">S3-T3</f>
        <v>27</v>
      </c>
      <c r="W3" t="s">
        <v>384</v>
      </c>
      <c r="X3" t="s">
        <v>64</v>
      </c>
      <c r="Y3" t="s">
        <v>387</v>
      </c>
      <c r="AA3" t="s">
        <v>402</v>
      </c>
      <c r="AB3">
        <v>1</v>
      </c>
    </row>
    <row r="4" spans="1:28" x14ac:dyDescent="0.3">
      <c r="A4" s="1" t="s">
        <v>1</v>
      </c>
      <c r="B4" t="s">
        <v>385</v>
      </c>
      <c r="C4" s="3">
        <f t="shared" si="0"/>
        <v>58</v>
      </c>
      <c r="D4">
        <v>30</v>
      </c>
      <c r="E4">
        <v>18</v>
      </c>
      <c r="F4">
        <v>4</v>
      </c>
      <c r="G4">
        <f t="shared" ref="G4:G18" si="4">D4-E4-F4</f>
        <v>8</v>
      </c>
      <c r="H4">
        <v>45</v>
      </c>
      <c r="I4">
        <v>37</v>
      </c>
      <c r="J4">
        <f t="shared" ref="J4:J18" si="5">H4-I4</f>
        <v>8</v>
      </c>
      <c r="L4" s="1" t="s">
        <v>1</v>
      </c>
      <c r="M4" t="s">
        <v>403</v>
      </c>
      <c r="N4" s="3">
        <f t="shared" si="1"/>
        <v>64</v>
      </c>
      <c r="O4">
        <v>32</v>
      </c>
      <c r="P4">
        <v>20</v>
      </c>
      <c r="Q4">
        <v>4</v>
      </c>
      <c r="R4">
        <f t="shared" si="2"/>
        <v>8</v>
      </c>
      <c r="S4">
        <v>57</v>
      </c>
      <c r="T4">
        <v>36</v>
      </c>
      <c r="U4">
        <f t="shared" si="3"/>
        <v>21</v>
      </c>
      <c r="AA4" t="s">
        <v>387</v>
      </c>
      <c r="AB4">
        <v>10</v>
      </c>
    </row>
    <row r="5" spans="1:28" x14ac:dyDescent="0.3">
      <c r="A5" s="1" t="s">
        <v>2</v>
      </c>
      <c r="B5" t="s">
        <v>386</v>
      </c>
      <c r="C5" s="3">
        <f t="shared" si="0"/>
        <v>54</v>
      </c>
      <c r="D5">
        <v>30</v>
      </c>
      <c r="E5">
        <v>17</v>
      </c>
      <c r="F5">
        <v>3</v>
      </c>
      <c r="G5">
        <f t="shared" si="4"/>
        <v>10</v>
      </c>
      <c r="H5">
        <v>50</v>
      </c>
      <c r="I5">
        <v>40</v>
      </c>
      <c r="J5">
        <f t="shared" si="5"/>
        <v>10</v>
      </c>
      <c r="L5" s="2" t="s">
        <v>2</v>
      </c>
      <c r="M5" t="s">
        <v>407</v>
      </c>
      <c r="N5" s="3">
        <f t="shared" si="1"/>
        <v>57</v>
      </c>
      <c r="O5">
        <v>32</v>
      </c>
      <c r="P5">
        <v>17</v>
      </c>
      <c r="Q5">
        <v>6</v>
      </c>
      <c r="R5">
        <f t="shared" si="2"/>
        <v>9</v>
      </c>
      <c r="S5">
        <v>49</v>
      </c>
      <c r="T5">
        <v>33</v>
      </c>
      <c r="U5">
        <f t="shared" si="3"/>
        <v>16</v>
      </c>
    </row>
    <row r="6" spans="1:28" x14ac:dyDescent="0.3">
      <c r="A6" s="1" t="s">
        <v>3</v>
      </c>
      <c r="B6" t="s">
        <v>387</v>
      </c>
      <c r="C6" s="3">
        <f t="shared" si="0"/>
        <v>44</v>
      </c>
      <c r="D6">
        <v>30</v>
      </c>
      <c r="E6">
        <v>12</v>
      </c>
      <c r="F6">
        <v>8</v>
      </c>
      <c r="G6">
        <f t="shared" si="4"/>
        <v>10</v>
      </c>
      <c r="H6">
        <v>37</v>
      </c>
      <c r="I6">
        <v>37</v>
      </c>
      <c r="J6">
        <f t="shared" si="5"/>
        <v>0</v>
      </c>
      <c r="L6" s="2" t="s">
        <v>3</v>
      </c>
      <c r="M6" t="s">
        <v>406</v>
      </c>
      <c r="N6" s="3">
        <f t="shared" si="1"/>
        <v>54</v>
      </c>
      <c r="O6">
        <v>32</v>
      </c>
      <c r="P6">
        <v>15</v>
      </c>
      <c r="Q6">
        <v>9</v>
      </c>
      <c r="R6">
        <f t="shared" si="2"/>
        <v>8</v>
      </c>
      <c r="S6">
        <v>45</v>
      </c>
      <c r="T6">
        <v>38</v>
      </c>
      <c r="U6">
        <f t="shared" si="3"/>
        <v>7</v>
      </c>
    </row>
    <row r="7" spans="1:28" x14ac:dyDescent="0.3">
      <c r="A7" s="1" t="s">
        <v>4</v>
      </c>
      <c r="B7" t="s">
        <v>388</v>
      </c>
      <c r="C7" s="3">
        <f t="shared" si="0"/>
        <v>43</v>
      </c>
      <c r="D7">
        <v>30</v>
      </c>
      <c r="E7">
        <v>12</v>
      </c>
      <c r="F7">
        <v>7</v>
      </c>
      <c r="G7">
        <f t="shared" si="4"/>
        <v>11</v>
      </c>
      <c r="H7">
        <v>44</v>
      </c>
      <c r="I7">
        <v>40</v>
      </c>
      <c r="J7">
        <f t="shared" si="5"/>
        <v>4</v>
      </c>
      <c r="L7" s="2" t="s">
        <v>4</v>
      </c>
      <c r="M7" t="s">
        <v>404</v>
      </c>
      <c r="N7" s="3">
        <f t="shared" si="1"/>
        <v>51</v>
      </c>
      <c r="O7">
        <v>32</v>
      </c>
      <c r="P7">
        <v>14</v>
      </c>
      <c r="Q7">
        <v>9</v>
      </c>
      <c r="R7">
        <f t="shared" si="2"/>
        <v>9</v>
      </c>
      <c r="S7">
        <v>44</v>
      </c>
      <c r="T7">
        <v>35</v>
      </c>
      <c r="U7">
        <f t="shared" si="3"/>
        <v>9</v>
      </c>
    </row>
    <row r="8" spans="1:28" x14ac:dyDescent="0.3">
      <c r="A8" s="1" t="s">
        <v>5</v>
      </c>
      <c r="B8" t="s">
        <v>389</v>
      </c>
      <c r="C8" s="3">
        <f t="shared" si="0"/>
        <v>43</v>
      </c>
      <c r="D8">
        <v>30</v>
      </c>
      <c r="E8">
        <v>12</v>
      </c>
      <c r="F8">
        <v>7</v>
      </c>
      <c r="G8">
        <f t="shared" si="4"/>
        <v>11</v>
      </c>
      <c r="H8">
        <v>35</v>
      </c>
      <c r="I8">
        <v>40</v>
      </c>
      <c r="J8">
        <f t="shared" si="5"/>
        <v>-5</v>
      </c>
      <c r="L8" s="2" t="s">
        <v>5</v>
      </c>
      <c r="M8" t="s">
        <v>408</v>
      </c>
      <c r="N8" s="3">
        <f t="shared" si="1"/>
        <v>51</v>
      </c>
      <c r="O8">
        <v>32</v>
      </c>
      <c r="P8">
        <v>14</v>
      </c>
      <c r="Q8">
        <v>9</v>
      </c>
      <c r="R8">
        <f t="shared" si="2"/>
        <v>9</v>
      </c>
      <c r="S8">
        <v>44</v>
      </c>
      <c r="T8">
        <v>36</v>
      </c>
      <c r="U8">
        <f t="shared" si="3"/>
        <v>8</v>
      </c>
    </row>
    <row r="9" spans="1:28" x14ac:dyDescent="0.3">
      <c r="A9" s="2" t="s">
        <v>6</v>
      </c>
      <c r="B9" t="s">
        <v>390</v>
      </c>
      <c r="C9" s="3">
        <f t="shared" si="0"/>
        <v>42</v>
      </c>
      <c r="D9">
        <v>30</v>
      </c>
      <c r="E9">
        <v>11</v>
      </c>
      <c r="F9">
        <v>9</v>
      </c>
      <c r="G9">
        <f t="shared" si="4"/>
        <v>10</v>
      </c>
      <c r="H9">
        <v>50</v>
      </c>
      <c r="I9">
        <v>48</v>
      </c>
      <c r="J9">
        <f t="shared" si="5"/>
        <v>2</v>
      </c>
      <c r="L9" t="s">
        <v>6</v>
      </c>
      <c r="M9" t="s">
        <v>405</v>
      </c>
      <c r="N9" s="3">
        <f t="shared" si="1"/>
        <v>49</v>
      </c>
      <c r="O9">
        <v>32</v>
      </c>
      <c r="P9">
        <v>14</v>
      </c>
      <c r="Q9">
        <v>7</v>
      </c>
      <c r="R9">
        <f t="shared" si="2"/>
        <v>11</v>
      </c>
      <c r="S9">
        <v>55</v>
      </c>
      <c r="T9">
        <v>50</v>
      </c>
      <c r="U9">
        <f t="shared" si="3"/>
        <v>5</v>
      </c>
    </row>
    <row r="10" spans="1:28" x14ac:dyDescent="0.3">
      <c r="A10" s="2" t="s">
        <v>7</v>
      </c>
      <c r="B10" t="s">
        <v>391</v>
      </c>
      <c r="C10" s="3">
        <f t="shared" si="0"/>
        <v>38</v>
      </c>
      <c r="D10">
        <v>30</v>
      </c>
      <c r="E10">
        <v>9</v>
      </c>
      <c r="F10">
        <v>11</v>
      </c>
      <c r="G10">
        <f t="shared" si="4"/>
        <v>10</v>
      </c>
      <c r="H10">
        <v>43</v>
      </c>
      <c r="I10">
        <v>36</v>
      </c>
      <c r="J10">
        <f t="shared" si="5"/>
        <v>7</v>
      </c>
      <c r="L10" t="s">
        <v>7</v>
      </c>
      <c r="M10" t="s">
        <v>409</v>
      </c>
      <c r="N10" s="3">
        <f t="shared" si="1"/>
        <v>45</v>
      </c>
      <c r="O10">
        <v>32</v>
      </c>
      <c r="P10">
        <v>11</v>
      </c>
      <c r="Q10">
        <v>12</v>
      </c>
      <c r="R10">
        <f t="shared" si="2"/>
        <v>9</v>
      </c>
      <c r="S10">
        <v>44</v>
      </c>
      <c r="T10">
        <v>41</v>
      </c>
      <c r="U10">
        <f t="shared" si="3"/>
        <v>3</v>
      </c>
    </row>
    <row r="11" spans="1:28" x14ac:dyDescent="0.3">
      <c r="A11" s="2" t="s">
        <v>8</v>
      </c>
      <c r="B11" t="s">
        <v>392</v>
      </c>
      <c r="C11" s="3">
        <f t="shared" si="0"/>
        <v>37</v>
      </c>
      <c r="D11">
        <v>30</v>
      </c>
      <c r="E11">
        <v>9</v>
      </c>
      <c r="F11">
        <v>10</v>
      </c>
      <c r="G11">
        <f t="shared" si="4"/>
        <v>11</v>
      </c>
      <c r="H11">
        <v>37</v>
      </c>
      <c r="I11">
        <v>40</v>
      </c>
      <c r="J11">
        <f t="shared" si="5"/>
        <v>-3</v>
      </c>
      <c r="L11" t="s">
        <v>8</v>
      </c>
      <c r="M11" t="s">
        <v>410</v>
      </c>
      <c r="N11" s="3">
        <f t="shared" si="1"/>
        <v>44</v>
      </c>
      <c r="O11">
        <v>32</v>
      </c>
      <c r="P11">
        <v>12</v>
      </c>
      <c r="Q11">
        <v>8</v>
      </c>
      <c r="R11">
        <f t="shared" si="2"/>
        <v>12</v>
      </c>
      <c r="S11">
        <v>41</v>
      </c>
      <c r="T11">
        <v>41</v>
      </c>
      <c r="U11">
        <f t="shared" si="3"/>
        <v>0</v>
      </c>
    </row>
    <row r="12" spans="1:28" x14ac:dyDescent="0.3">
      <c r="A12" s="2" t="s">
        <v>9</v>
      </c>
      <c r="B12" t="s">
        <v>393</v>
      </c>
      <c r="C12" s="3">
        <f t="shared" si="0"/>
        <v>37</v>
      </c>
      <c r="D12">
        <v>30</v>
      </c>
      <c r="E12">
        <v>9</v>
      </c>
      <c r="F12">
        <v>10</v>
      </c>
      <c r="G12">
        <f t="shared" si="4"/>
        <v>11</v>
      </c>
      <c r="H12">
        <v>36</v>
      </c>
      <c r="I12">
        <v>40</v>
      </c>
      <c r="J12">
        <f t="shared" si="5"/>
        <v>-4</v>
      </c>
      <c r="L12" t="s">
        <v>9</v>
      </c>
      <c r="M12" t="s">
        <v>415</v>
      </c>
      <c r="N12" s="3">
        <f t="shared" si="1"/>
        <v>40</v>
      </c>
      <c r="O12">
        <v>32</v>
      </c>
      <c r="P12">
        <v>10</v>
      </c>
      <c r="Q12">
        <v>10</v>
      </c>
      <c r="R12">
        <f t="shared" si="2"/>
        <v>12</v>
      </c>
      <c r="S12">
        <v>46</v>
      </c>
      <c r="T12">
        <v>47</v>
      </c>
      <c r="U12">
        <f t="shared" si="3"/>
        <v>-1</v>
      </c>
    </row>
    <row r="13" spans="1:28" x14ac:dyDescent="0.3">
      <c r="A13" s="2" t="s">
        <v>10</v>
      </c>
      <c r="B13" t="s">
        <v>394</v>
      </c>
      <c r="C13" s="3">
        <f t="shared" si="0"/>
        <v>36</v>
      </c>
      <c r="D13">
        <v>30</v>
      </c>
      <c r="E13">
        <v>9</v>
      </c>
      <c r="F13">
        <v>9</v>
      </c>
      <c r="G13">
        <f t="shared" si="4"/>
        <v>12</v>
      </c>
      <c r="H13">
        <v>29</v>
      </c>
      <c r="I13">
        <v>31</v>
      </c>
      <c r="J13">
        <f t="shared" si="5"/>
        <v>-2</v>
      </c>
      <c r="L13" t="s">
        <v>10</v>
      </c>
      <c r="M13" t="s">
        <v>413</v>
      </c>
      <c r="N13" s="3">
        <f t="shared" si="1"/>
        <v>38</v>
      </c>
      <c r="O13">
        <v>32</v>
      </c>
      <c r="P13">
        <v>10</v>
      </c>
      <c r="Q13">
        <v>8</v>
      </c>
      <c r="R13">
        <f t="shared" si="2"/>
        <v>14</v>
      </c>
      <c r="S13">
        <v>36</v>
      </c>
      <c r="T13">
        <v>42</v>
      </c>
      <c r="U13">
        <f t="shared" si="3"/>
        <v>-6</v>
      </c>
    </row>
    <row r="14" spans="1:28" x14ac:dyDescent="0.3">
      <c r="A14" s="2" t="s">
        <v>11</v>
      </c>
      <c r="B14" t="s">
        <v>395</v>
      </c>
      <c r="C14" s="3">
        <f t="shared" si="0"/>
        <v>36</v>
      </c>
      <c r="D14">
        <v>30</v>
      </c>
      <c r="E14">
        <v>8</v>
      </c>
      <c r="F14">
        <v>12</v>
      </c>
      <c r="G14">
        <f t="shared" si="4"/>
        <v>10</v>
      </c>
      <c r="H14">
        <v>44</v>
      </c>
      <c r="I14">
        <v>48</v>
      </c>
      <c r="J14">
        <f t="shared" si="5"/>
        <v>-4</v>
      </c>
      <c r="L14" t="s">
        <v>11</v>
      </c>
      <c r="M14" t="s">
        <v>411</v>
      </c>
      <c r="N14" s="3">
        <f t="shared" si="1"/>
        <v>33</v>
      </c>
      <c r="O14">
        <v>32</v>
      </c>
      <c r="P14">
        <v>8</v>
      </c>
      <c r="Q14">
        <v>9</v>
      </c>
      <c r="R14">
        <f t="shared" si="2"/>
        <v>15</v>
      </c>
      <c r="S14">
        <v>41</v>
      </c>
      <c r="T14">
        <v>51</v>
      </c>
      <c r="U14">
        <f t="shared" si="3"/>
        <v>-10</v>
      </c>
    </row>
    <row r="15" spans="1:28" x14ac:dyDescent="0.3">
      <c r="A15" s="8" t="s">
        <v>69</v>
      </c>
      <c r="B15" t="s">
        <v>396</v>
      </c>
      <c r="C15" s="3">
        <f t="shared" si="0"/>
        <v>34</v>
      </c>
      <c r="D15">
        <v>30</v>
      </c>
      <c r="E15">
        <v>8</v>
      </c>
      <c r="F15">
        <v>10</v>
      </c>
      <c r="G15">
        <f t="shared" si="4"/>
        <v>12</v>
      </c>
      <c r="H15">
        <v>35</v>
      </c>
      <c r="I15">
        <v>36</v>
      </c>
      <c r="J15">
        <f t="shared" si="5"/>
        <v>-1</v>
      </c>
      <c r="L15" t="s">
        <v>69</v>
      </c>
      <c r="M15" t="s">
        <v>416</v>
      </c>
      <c r="N15" s="3">
        <f t="shared" si="1"/>
        <v>33</v>
      </c>
      <c r="O15">
        <v>32</v>
      </c>
      <c r="P15">
        <v>8</v>
      </c>
      <c r="Q15">
        <v>9</v>
      </c>
      <c r="R15">
        <f t="shared" si="2"/>
        <v>15</v>
      </c>
      <c r="S15">
        <v>37</v>
      </c>
      <c r="T15">
        <v>50</v>
      </c>
      <c r="U15">
        <f t="shared" si="3"/>
        <v>-13</v>
      </c>
    </row>
    <row r="16" spans="1:28" x14ac:dyDescent="0.3">
      <c r="A16" s="8" t="s">
        <v>70</v>
      </c>
      <c r="B16" t="s">
        <v>397</v>
      </c>
      <c r="C16" s="3">
        <f t="shared" si="0"/>
        <v>31</v>
      </c>
      <c r="D16">
        <v>30</v>
      </c>
      <c r="E16">
        <v>8</v>
      </c>
      <c r="F16">
        <v>7</v>
      </c>
      <c r="G16">
        <f t="shared" si="4"/>
        <v>15</v>
      </c>
      <c r="H16">
        <v>31</v>
      </c>
      <c r="I16">
        <v>41</v>
      </c>
      <c r="J16">
        <f t="shared" si="5"/>
        <v>-10</v>
      </c>
      <c r="L16" t="s">
        <v>70</v>
      </c>
      <c r="M16" t="s">
        <v>414</v>
      </c>
      <c r="N16" s="3">
        <f t="shared" si="1"/>
        <v>33</v>
      </c>
      <c r="O16">
        <v>32</v>
      </c>
      <c r="P16">
        <v>8</v>
      </c>
      <c r="Q16">
        <v>9</v>
      </c>
      <c r="R16">
        <f t="shared" si="2"/>
        <v>15</v>
      </c>
      <c r="S16">
        <v>43</v>
      </c>
      <c r="T16">
        <v>61</v>
      </c>
      <c r="U16">
        <f t="shared" si="3"/>
        <v>-18</v>
      </c>
    </row>
    <row r="17" spans="1:21" x14ac:dyDescent="0.3">
      <c r="A17" s="8" t="s">
        <v>71</v>
      </c>
      <c r="B17" t="s">
        <v>398</v>
      </c>
      <c r="C17" s="3">
        <f t="shared" si="0"/>
        <v>30</v>
      </c>
      <c r="D17">
        <v>30</v>
      </c>
      <c r="E17">
        <v>7</v>
      </c>
      <c r="F17">
        <v>9</v>
      </c>
      <c r="G17">
        <f t="shared" si="4"/>
        <v>14</v>
      </c>
      <c r="H17">
        <v>31</v>
      </c>
      <c r="I17">
        <v>48</v>
      </c>
      <c r="J17">
        <f t="shared" si="5"/>
        <v>-17</v>
      </c>
      <c r="L17" t="s">
        <v>71</v>
      </c>
      <c r="M17" t="s">
        <v>412</v>
      </c>
      <c r="N17" s="3">
        <f t="shared" si="1"/>
        <v>32</v>
      </c>
      <c r="O17">
        <v>32</v>
      </c>
      <c r="P17">
        <v>8</v>
      </c>
      <c r="Q17">
        <v>8</v>
      </c>
      <c r="R17">
        <f t="shared" si="2"/>
        <v>16</v>
      </c>
      <c r="S17">
        <v>33</v>
      </c>
      <c r="T17">
        <v>42</v>
      </c>
      <c r="U17">
        <f t="shared" si="3"/>
        <v>-9</v>
      </c>
    </row>
    <row r="18" spans="1:21" x14ac:dyDescent="0.3">
      <c r="A18" s="8" t="s">
        <v>72</v>
      </c>
      <c r="B18" t="s">
        <v>399</v>
      </c>
      <c r="C18" s="3">
        <f t="shared" si="0"/>
        <v>29</v>
      </c>
      <c r="D18">
        <v>30</v>
      </c>
      <c r="E18">
        <v>7</v>
      </c>
      <c r="F18">
        <v>8</v>
      </c>
      <c r="G18">
        <f t="shared" si="4"/>
        <v>15</v>
      </c>
      <c r="H18">
        <v>35</v>
      </c>
      <c r="I18">
        <v>51</v>
      </c>
      <c r="J18">
        <f t="shared" si="5"/>
        <v>-16</v>
      </c>
      <c r="L18" t="s">
        <v>72</v>
      </c>
      <c r="M18" t="s">
        <v>417</v>
      </c>
      <c r="N18" s="3">
        <f t="shared" si="1"/>
        <v>30</v>
      </c>
      <c r="O18">
        <v>32</v>
      </c>
      <c r="P18">
        <v>8</v>
      </c>
      <c r="Q18">
        <v>6</v>
      </c>
      <c r="R18">
        <f t="shared" si="2"/>
        <v>18</v>
      </c>
      <c r="S18">
        <v>34</v>
      </c>
      <c r="T18">
        <v>47</v>
      </c>
      <c r="U18">
        <f t="shared" si="3"/>
        <v>-13</v>
      </c>
    </row>
    <row r="19" spans="1:21" x14ac:dyDescent="0.3">
      <c r="L19" t="s">
        <v>255</v>
      </c>
      <c r="M19" t="s">
        <v>418</v>
      </c>
      <c r="N19" s="3">
        <f t="shared" si="1"/>
        <v>26</v>
      </c>
      <c r="O19">
        <v>32</v>
      </c>
      <c r="P19">
        <v>6</v>
      </c>
      <c r="Q19">
        <v>8</v>
      </c>
      <c r="R19">
        <f t="shared" si="2"/>
        <v>18</v>
      </c>
      <c r="S19">
        <v>35</v>
      </c>
      <c r="T19">
        <v>61</v>
      </c>
      <c r="U19">
        <f t="shared" si="3"/>
        <v>-26</v>
      </c>
    </row>
    <row r="20" spans="1:21" x14ac:dyDescent="0.3">
      <c r="A20" t="s">
        <v>34</v>
      </c>
    </row>
    <row r="21" spans="1:21" x14ac:dyDescent="0.3">
      <c r="A21" s="4" t="s">
        <v>0</v>
      </c>
      <c r="B21" t="s">
        <v>384</v>
      </c>
      <c r="C21" s="3">
        <v>45</v>
      </c>
      <c r="D21">
        <v>40</v>
      </c>
      <c r="E21">
        <v>22</v>
      </c>
      <c r="F21">
        <v>10</v>
      </c>
      <c r="G21">
        <f t="shared" ref="G21:G26" si="6">D21-E21-F21</f>
        <v>8</v>
      </c>
      <c r="H21">
        <v>66</v>
      </c>
      <c r="I21">
        <v>36</v>
      </c>
      <c r="J21">
        <f t="shared" ref="J21:J26" si="7">H21-I21</f>
        <v>30</v>
      </c>
      <c r="L21" t="s">
        <v>593</v>
      </c>
    </row>
    <row r="22" spans="1:21" x14ac:dyDescent="0.3">
      <c r="A22" s="4" t="s">
        <v>1</v>
      </c>
      <c r="B22" t="s">
        <v>386</v>
      </c>
      <c r="C22" s="3">
        <v>43</v>
      </c>
      <c r="D22">
        <v>40</v>
      </c>
      <c r="E22">
        <v>22</v>
      </c>
      <c r="F22">
        <v>4</v>
      </c>
      <c r="G22">
        <f t="shared" si="6"/>
        <v>14</v>
      </c>
      <c r="H22">
        <v>64</v>
      </c>
      <c r="I22">
        <v>51</v>
      </c>
      <c r="J22">
        <f t="shared" si="7"/>
        <v>13</v>
      </c>
      <c r="L22" t="s">
        <v>39</v>
      </c>
    </row>
    <row r="23" spans="1:21" x14ac:dyDescent="0.3">
      <c r="A23" s="5" t="s">
        <v>2</v>
      </c>
      <c r="B23" t="s">
        <v>385</v>
      </c>
      <c r="C23" s="3">
        <v>43</v>
      </c>
      <c r="D23">
        <v>40</v>
      </c>
      <c r="E23">
        <v>22</v>
      </c>
      <c r="F23">
        <v>6</v>
      </c>
      <c r="G23">
        <f t="shared" si="6"/>
        <v>12</v>
      </c>
      <c r="H23">
        <v>57</v>
      </c>
      <c r="I23">
        <v>49</v>
      </c>
      <c r="J23">
        <f t="shared" si="7"/>
        <v>8</v>
      </c>
      <c r="L23" t="str">
        <f>M8</f>
        <v>KAS Eupen</v>
      </c>
      <c r="M23" t="s">
        <v>206</v>
      </c>
      <c r="N23" t="str">
        <f>M5</f>
        <v>Liège</v>
      </c>
      <c r="P23" t="str">
        <f>M5</f>
        <v>Liège</v>
      </c>
      <c r="Q23" t="s">
        <v>38</v>
      </c>
      <c r="R23" t="str">
        <f>M8</f>
        <v>KAS Eupen</v>
      </c>
    </row>
    <row r="24" spans="1:21" x14ac:dyDescent="0.3">
      <c r="A24" s="1" t="s">
        <v>3</v>
      </c>
      <c r="B24" t="s">
        <v>421</v>
      </c>
      <c r="C24" s="3">
        <v>38</v>
      </c>
      <c r="D24">
        <v>40</v>
      </c>
      <c r="E24">
        <v>17</v>
      </c>
      <c r="F24">
        <v>9</v>
      </c>
      <c r="G24">
        <f t="shared" si="6"/>
        <v>14</v>
      </c>
      <c r="H24">
        <v>50</v>
      </c>
      <c r="I24">
        <v>53</v>
      </c>
      <c r="J24">
        <f t="shared" si="7"/>
        <v>-3</v>
      </c>
      <c r="L24" t="str">
        <f>M7</f>
        <v>Beerschot</v>
      </c>
      <c r="M24" t="s">
        <v>93</v>
      </c>
      <c r="N24" t="str">
        <f>M6</f>
        <v>Patro Eisden</v>
      </c>
      <c r="P24" t="str">
        <f>M6</f>
        <v>Patro Eisden</v>
      </c>
      <c r="Q24" t="s">
        <v>64</v>
      </c>
      <c r="R24" t="str">
        <f>M7</f>
        <v>Beerschot</v>
      </c>
    </row>
    <row r="25" spans="1:21" x14ac:dyDescent="0.3">
      <c r="A25" t="s">
        <v>4</v>
      </c>
      <c r="B25" t="s">
        <v>388</v>
      </c>
      <c r="C25" s="3">
        <v>36</v>
      </c>
      <c r="D25">
        <v>40</v>
      </c>
      <c r="E25">
        <v>16</v>
      </c>
      <c r="F25">
        <v>10</v>
      </c>
      <c r="G25">
        <f t="shared" si="6"/>
        <v>14</v>
      </c>
      <c r="H25">
        <v>58</v>
      </c>
      <c r="I25">
        <v>51</v>
      </c>
      <c r="J25">
        <f t="shared" si="7"/>
        <v>7</v>
      </c>
    </row>
    <row r="26" spans="1:21" x14ac:dyDescent="0.3">
      <c r="A26" s="5" t="s">
        <v>5</v>
      </c>
      <c r="B26" t="s">
        <v>387</v>
      </c>
      <c r="C26" s="3">
        <v>30</v>
      </c>
      <c r="D26">
        <v>40</v>
      </c>
      <c r="E26">
        <v>14</v>
      </c>
      <c r="F26">
        <v>10</v>
      </c>
      <c r="G26">
        <f t="shared" si="6"/>
        <v>16</v>
      </c>
      <c r="H26">
        <v>48</v>
      </c>
      <c r="I26">
        <v>55</v>
      </c>
      <c r="J26">
        <f t="shared" si="7"/>
        <v>-7</v>
      </c>
      <c r="L26" t="s">
        <v>40</v>
      </c>
    </row>
    <row r="27" spans="1:21" x14ac:dyDescent="0.3">
      <c r="L27" t="s">
        <v>408</v>
      </c>
      <c r="M27" t="s">
        <v>42</v>
      </c>
      <c r="N27" t="s">
        <v>404</v>
      </c>
      <c r="P27" t="s">
        <v>404</v>
      </c>
      <c r="Q27" t="s">
        <v>37</v>
      </c>
      <c r="R27" t="s">
        <v>408</v>
      </c>
    </row>
    <row r="28" spans="1:21" x14ac:dyDescent="0.3">
      <c r="A28" t="s">
        <v>400</v>
      </c>
    </row>
    <row r="29" spans="1:21" x14ac:dyDescent="0.3">
      <c r="A29" s="2" t="s">
        <v>0</v>
      </c>
      <c r="B29" t="s">
        <v>390</v>
      </c>
      <c r="C29" s="3">
        <v>41</v>
      </c>
      <c r="D29">
        <v>40</v>
      </c>
      <c r="E29">
        <v>17</v>
      </c>
      <c r="F29">
        <v>11</v>
      </c>
      <c r="G29">
        <f t="shared" ref="G29:G34" si="8">D29-E29-F29</f>
        <v>12</v>
      </c>
      <c r="H29">
        <v>69</v>
      </c>
      <c r="I29">
        <v>63</v>
      </c>
      <c r="J29">
        <f t="shared" ref="J29:J34" si="9">H29-I29</f>
        <v>6</v>
      </c>
      <c r="L29" t="s">
        <v>46</v>
      </c>
    </row>
    <row r="30" spans="1:21" x14ac:dyDescent="0.3">
      <c r="A30" t="s">
        <v>1</v>
      </c>
      <c r="B30" t="s">
        <v>391</v>
      </c>
      <c r="C30" s="3">
        <v>36</v>
      </c>
      <c r="D30">
        <v>40</v>
      </c>
      <c r="E30">
        <v>14</v>
      </c>
      <c r="F30">
        <v>13</v>
      </c>
      <c r="G30">
        <f t="shared" si="8"/>
        <v>13</v>
      </c>
      <c r="H30">
        <v>60</v>
      </c>
      <c r="I30">
        <v>50</v>
      </c>
      <c r="J30">
        <f t="shared" si="9"/>
        <v>10</v>
      </c>
      <c r="L30" t="s">
        <v>404</v>
      </c>
      <c r="M30" t="s">
        <v>93</v>
      </c>
      <c r="N30" t="str">
        <f>B38</f>
        <v>OH Leuven</v>
      </c>
      <c r="P30" t="str">
        <f>B38</f>
        <v>OH Leuven</v>
      </c>
      <c r="Q30" t="s">
        <v>38</v>
      </c>
      <c r="R30" t="s">
        <v>404</v>
      </c>
    </row>
    <row r="31" spans="1:21" x14ac:dyDescent="0.3">
      <c r="A31" t="s">
        <v>2</v>
      </c>
      <c r="B31" t="s">
        <v>395</v>
      </c>
      <c r="C31" s="3">
        <v>32</v>
      </c>
      <c r="D31">
        <v>40</v>
      </c>
      <c r="E31">
        <v>12</v>
      </c>
      <c r="F31">
        <v>14</v>
      </c>
      <c r="G31">
        <f t="shared" si="8"/>
        <v>14</v>
      </c>
      <c r="H31">
        <v>61</v>
      </c>
      <c r="I31">
        <v>63</v>
      </c>
      <c r="J31">
        <f t="shared" si="9"/>
        <v>-2</v>
      </c>
    </row>
    <row r="32" spans="1:21" x14ac:dyDescent="0.3">
      <c r="A32" t="s">
        <v>3</v>
      </c>
      <c r="B32" t="s">
        <v>394</v>
      </c>
      <c r="C32" s="3">
        <v>30</v>
      </c>
      <c r="D32">
        <v>40</v>
      </c>
      <c r="E32">
        <v>12</v>
      </c>
      <c r="F32">
        <v>12</v>
      </c>
      <c r="G32">
        <f t="shared" si="8"/>
        <v>16</v>
      </c>
      <c r="H32">
        <v>46</v>
      </c>
      <c r="I32">
        <v>51</v>
      </c>
      <c r="J32">
        <f t="shared" si="9"/>
        <v>-5</v>
      </c>
    </row>
    <row r="33" spans="1:10" x14ac:dyDescent="0.3">
      <c r="A33" t="s">
        <v>4</v>
      </c>
      <c r="B33" t="s">
        <v>392</v>
      </c>
      <c r="C33" s="3">
        <v>29</v>
      </c>
      <c r="D33">
        <v>40</v>
      </c>
      <c r="E33">
        <v>12</v>
      </c>
      <c r="F33">
        <v>12</v>
      </c>
      <c r="G33">
        <f t="shared" si="8"/>
        <v>16</v>
      </c>
      <c r="H33">
        <v>54</v>
      </c>
      <c r="I33">
        <v>60</v>
      </c>
      <c r="J33">
        <f t="shared" si="9"/>
        <v>-6</v>
      </c>
    </row>
    <row r="34" spans="1:10" x14ac:dyDescent="0.3">
      <c r="A34" t="s">
        <v>5</v>
      </c>
      <c r="B34" t="s">
        <v>393</v>
      </c>
      <c r="C34" s="3">
        <v>27</v>
      </c>
      <c r="D34">
        <v>40</v>
      </c>
      <c r="E34">
        <v>11</v>
      </c>
      <c r="F34">
        <v>13</v>
      </c>
      <c r="G34">
        <f t="shared" si="8"/>
        <v>16</v>
      </c>
      <c r="H34">
        <v>46</v>
      </c>
      <c r="I34">
        <v>53</v>
      </c>
      <c r="J34">
        <f t="shared" si="9"/>
        <v>-7</v>
      </c>
    </row>
    <row r="36" spans="1:10" x14ac:dyDescent="0.3">
      <c r="A36" t="s">
        <v>35</v>
      </c>
    </row>
    <row r="37" spans="1:10" x14ac:dyDescent="0.3">
      <c r="A37" t="s">
        <v>0</v>
      </c>
      <c r="B37" t="s">
        <v>396</v>
      </c>
      <c r="C37" s="3">
        <f>E37*3+F37</f>
        <v>43</v>
      </c>
      <c r="D37">
        <v>36</v>
      </c>
      <c r="E37">
        <v>11</v>
      </c>
      <c r="F37">
        <v>10</v>
      </c>
      <c r="G37">
        <f t="shared" ref="G37:G40" si="10">D37-E37-F37</f>
        <v>15</v>
      </c>
      <c r="H37">
        <v>44</v>
      </c>
      <c r="I37">
        <v>42</v>
      </c>
      <c r="J37">
        <f t="shared" ref="J37:J40" si="11">H37-I37</f>
        <v>2</v>
      </c>
    </row>
    <row r="38" spans="1:10" x14ac:dyDescent="0.3">
      <c r="A38" s="8" t="s">
        <v>1</v>
      </c>
      <c r="B38" t="s">
        <v>397</v>
      </c>
      <c r="C38" s="3">
        <f>E38*3+F38</f>
        <v>43</v>
      </c>
      <c r="D38">
        <v>36</v>
      </c>
      <c r="E38">
        <v>12</v>
      </c>
      <c r="F38">
        <v>7</v>
      </c>
      <c r="G38">
        <f t="shared" si="10"/>
        <v>17</v>
      </c>
      <c r="H38">
        <v>41</v>
      </c>
      <c r="I38">
        <v>50</v>
      </c>
      <c r="J38">
        <f t="shared" si="11"/>
        <v>-9</v>
      </c>
    </row>
    <row r="39" spans="1:10" x14ac:dyDescent="0.3">
      <c r="A39" s="7" t="s">
        <v>2</v>
      </c>
      <c r="B39" t="s">
        <v>398</v>
      </c>
      <c r="C39" s="3">
        <f>E39*3+F39</f>
        <v>40</v>
      </c>
      <c r="D39">
        <v>36</v>
      </c>
      <c r="E39">
        <v>10</v>
      </c>
      <c r="F39">
        <v>10</v>
      </c>
      <c r="G39">
        <f t="shared" si="10"/>
        <v>16</v>
      </c>
      <c r="H39">
        <v>44</v>
      </c>
      <c r="I39">
        <v>56</v>
      </c>
      <c r="J39">
        <f t="shared" si="11"/>
        <v>-12</v>
      </c>
    </row>
    <row r="40" spans="1:10" x14ac:dyDescent="0.3">
      <c r="A40" s="7" t="s">
        <v>3</v>
      </c>
      <c r="B40" t="s">
        <v>399</v>
      </c>
      <c r="C40" s="3">
        <f>E40*3+F40</f>
        <v>33</v>
      </c>
      <c r="D40">
        <v>36</v>
      </c>
      <c r="E40">
        <v>8</v>
      </c>
      <c r="F40">
        <v>9</v>
      </c>
      <c r="G40">
        <f t="shared" si="10"/>
        <v>19</v>
      </c>
      <c r="H40">
        <v>40</v>
      </c>
      <c r="I40">
        <v>65</v>
      </c>
      <c r="J40">
        <f t="shared" si="11"/>
        <v>-25</v>
      </c>
    </row>
    <row r="42" spans="1:10" x14ac:dyDescent="0.3">
      <c r="A42" t="s">
        <v>350</v>
      </c>
    </row>
    <row r="43" spans="1:10" x14ac:dyDescent="0.3">
      <c r="A43" t="s">
        <v>46</v>
      </c>
    </row>
    <row r="44" spans="1:10" x14ac:dyDescent="0.3">
      <c r="A44" t="s">
        <v>421</v>
      </c>
      <c r="B44" t="s">
        <v>42</v>
      </c>
      <c r="C44" t="s">
        <v>390</v>
      </c>
    </row>
  </sheetData>
  <sortState xmlns:xlrd2="http://schemas.microsoft.com/office/spreadsheetml/2017/richdata2" ref="M3:U19">
    <sortCondition descending="1" ref="N3:N19"/>
    <sortCondition descending="1" ref="U3:U19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82B3E-F229-46F4-9BF3-36E6A9BA4EDF}">
  <dimension ref="A1:U12"/>
  <sheetViews>
    <sheetView workbookViewId="0">
      <selection activeCell="G15" sqref="G15"/>
    </sheetView>
  </sheetViews>
  <sheetFormatPr defaultRowHeight="14.4" x14ac:dyDescent="0.3"/>
  <sheetData>
    <row r="1" spans="1:21" x14ac:dyDescent="0.3">
      <c r="A1" t="s">
        <v>422</v>
      </c>
      <c r="L1" t="s">
        <v>433</v>
      </c>
      <c r="T1" t="s">
        <v>48</v>
      </c>
    </row>
    <row r="2" spans="1:21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20</v>
      </c>
      <c r="I2" t="s">
        <v>21</v>
      </c>
      <c r="J2" t="s">
        <v>19</v>
      </c>
      <c r="L2" t="s">
        <v>40</v>
      </c>
      <c r="T2" t="s">
        <v>423</v>
      </c>
      <c r="U2">
        <v>4</v>
      </c>
    </row>
    <row r="3" spans="1:21" x14ac:dyDescent="0.3">
      <c r="A3" s="4" t="s">
        <v>0</v>
      </c>
      <c r="B3" t="s">
        <v>423</v>
      </c>
      <c r="C3" s="3">
        <f t="shared" ref="C3:C12" si="0">E3*3+F3</f>
        <v>71</v>
      </c>
      <c r="D3">
        <v>36</v>
      </c>
      <c r="E3">
        <v>22</v>
      </c>
      <c r="F3">
        <v>5</v>
      </c>
      <c r="G3">
        <f t="shared" ref="G3:G12" si="1">D3-E3-F3</f>
        <v>9</v>
      </c>
      <c r="H3">
        <v>69</v>
      </c>
      <c r="I3">
        <v>27</v>
      </c>
      <c r="J3">
        <f t="shared" ref="J3:J12" si="2">H3-I3</f>
        <v>42</v>
      </c>
      <c r="L3" t="s">
        <v>428</v>
      </c>
      <c r="M3" t="s">
        <v>205</v>
      </c>
      <c r="N3" t="s">
        <v>424</v>
      </c>
      <c r="P3" t="s">
        <v>424</v>
      </c>
      <c r="Q3" t="s">
        <v>91</v>
      </c>
      <c r="R3" t="s">
        <v>428</v>
      </c>
      <c r="T3" t="s">
        <v>432</v>
      </c>
      <c r="U3">
        <v>1</v>
      </c>
    </row>
    <row r="4" spans="1:21" x14ac:dyDescent="0.3">
      <c r="A4" s="1" t="s">
        <v>1</v>
      </c>
      <c r="B4" t="s">
        <v>424</v>
      </c>
      <c r="C4" s="3">
        <f t="shared" si="0"/>
        <v>64</v>
      </c>
      <c r="D4">
        <v>36</v>
      </c>
      <c r="E4">
        <v>19</v>
      </c>
      <c r="F4">
        <v>7</v>
      </c>
      <c r="G4">
        <f t="shared" si="1"/>
        <v>10</v>
      </c>
      <c r="H4">
        <v>42</v>
      </c>
      <c r="I4">
        <v>31</v>
      </c>
      <c r="J4">
        <f t="shared" si="2"/>
        <v>11</v>
      </c>
      <c r="L4" t="s">
        <v>429</v>
      </c>
      <c r="M4" t="s">
        <v>44</v>
      </c>
      <c r="N4" t="s">
        <v>432</v>
      </c>
      <c r="P4" t="s">
        <v>432</v>
      </c>
      <c r="Q4" t="s">
        <v>93</v>
      </c>
      <c r="R4" t="s">
        <v>429</v>
      </c>
    </row>
    <row r="5" spans="1:21" x14ac:dyDescent="0.3">
      <c r="A5" s="1" t="s">
        <v>2</v>
      </c>
      <c r="B5" t="s">
        <v>425</v>
      </c>
      <c r="C5" s="3">
        <f t="shared" si="0"/>
        <v>57</v>
      </c>
      <c r="D5">
        <v>36</v>
      </c>
      <c r="E5">
        <v>16</v>
      </c>
      <c r="F5">
        <v>9</v>
      </c>
      <c r="G5">
        <f t="shared" si="1"/>
        <v>11</v>
      </c>
      <c r="H5">
        <v>46</v>
      </c>
      <c r="I5">
        <v>39</v>
      </c>
      <c r="J5">
        <f t="shared" si="2"/>
        <v>7</v>
      </c>
    </row>
    <row r="6" spans="1:21" x14ac:dyDescent="0.3">
      <c r="A6" t="s">
        <v>3</v>
      </c>
      <c r="B6" t="s">
        <v>426</v>
      </c>
      <c r="C6" s="3">
        <f t="shared" si="0"/>
        <v>54</v>
      </c>
      <c r="D6">
        <v>36</v>
      </c>
      <c r="E6">
        <v>14</v>
      </c>
      <c r="F6">
        <v>12</v>
      </c>
      <c r="G6">
        <f t="shared" si="1"/>
        <v>10</v>
      </c>
      <c r="H6">
        <v>41</v>
      </c>
      <c r="I6">
        <v>40</v>
      </c>
      <c r="J6">
        <f t="shared" si="2"/>
        <v>1</v>
      </c>
      <c r="L6" t="s">
        <v>46</v>
      </c>
    </row>
    <row r="7" spans="1:21" x14ac:dyDescent="0.3">
      <c r="A7" t="s">
        <v>4</v>
      </c>
      <c r="B7" t="s">
        <v>427</v>
      </c>
      <c r="C7" s="3">
        <f t="shared" si="0"/>
        <v>46</v>
      </c>
      <c r="D7">
        <v>36</v>
      </c>
      <c r="E7">
        <v>12</v>
      </c>
      <c r="F7">
        <v>10</v>
      </c>
      <c r="G7">
        <f t="shared" si="1"/>
        <v>14</v>
      </c>
      <c r="H7">
        <v>29</v>
      </c>
      <c r="I7">
        <v>36</v>
      </c>
      <c r="J7">
        <f t="shared" si="2"/>
        <v>-7</v>
      </c>
      <c r="L7" t="s">
        <v>424</v>
      </c>
      <c r="M7" t="s">
        <v>38</v>
      </c>
      <c r="N7" t="s">
        <v>432</v>
      </c>
      <c r="P7" t="s">
        <v>432</v>
      </c>
      <c r="Q7" t="s">
        <v>204</v>
      </c>
      <c r="R7" t="s">
        <v>424</v>
      </c>
    </row>
    <row r="8" spans="1:21" x14ac:dyDescent="0.3">
      <c r="A8" t="s">
        <v>5</v>
      </c>
      <c r="B8" t="s">
        <v>428</v>
      </c>
      <c r="C8" s="3">
        <f t="shared" si="0"/>
        <v>45</v>
      </c>
      <c r="D8">
        <v>36</v>
      </c>
      <c r="E8">
        <v>11</v>
      </c>
      <c r="F8">
        <v>12</v>
      </c>
      <c r="G8">
        <f t="shared" si="1"/>
        <v>13</v>
      </c>
      <c r="H8">
        <v>39</v>
      </c>
      <c r="I8">
        <v>41</v>
      </c>
      <c r="J8">
        <f t="shared" si="2"/>
        <v>-2</v>
      </c>
    </row>
    <row r="9" spans="1:21" x14ac:dyDescent="0.3">
      <c r="A9" t="s">
        <v>6</v>
      </c>
      <c r="B9" t="s">
        <v>429</v>
      </c>
      <c r="C9" s="3">
        <f t="shared" si="0"/>
        <v>44</v>
      </c>
      <c r="D9">
        <v>36</v>
      </c>
      <c r="E9">
        <v>12</v>
      </c>
      <c r="F9">
        <v>8</v>
      </c>
      <c r="G9">
        <f t="shared" si="1"/>
        <v>16</v>
      </c>
      <c r="H9">
        <v>29</v>
      </c>
      <c r="I9">
        <v>37</v>
      </c>
      <c r="J9">
        <f t="shared" si="2"/>
        <v>-8</v>
      </c>
    </row>
    <row r="10" spans="1:21" x14ac:dyDescent="0.3">
      <c r="A10" t="s">
        <v>7</v>
      </c>
      <c r="B10" t="s">
        <v>430</v>
      </c>
      <c r="C10" s="3">
        <f t="shared" si="0"/>
        <v>39</v>
      </c>
      <c r="D10">
        <v>36</v>
      </c>
      <c r="E10">
        <v>9</v>
      </c>
      <c r="F10">
        <v>12</v>
      </c>
      <c r="G10">
        <f t="shared" si="1"/>
        <v>15</v>
      </c>
      <c r="H10">
        <v>30</v>
      </c>
      <c r="I10">
        <v>41</v>
      </c>
      <c r="J10">
        <f t="shared" si="2"/>
        <v>-11</v>
      </c>
    </row>
    <row r="11" spans="1:21" x14ac:dyDescent="0.3">
      <c r="A11" t="s">
        <v>8</v>
      </c>
      <c r="B11" t="s">
        <v>431</v>
      </c>
      <c r="C11" s="3">
        <f t="shared" si="0"/>
        <v>38</v>
      </c>
      <c r="D11">
        <v>36</v>
      </c>
      <c r="E11">
        <v>9</v>
      </c>
      <c r="F11">
        <v>11</v>
      </c>
      <c r="G11">
        <f t="shared" si="1"/>
        <v>16</v>
      </c>
      <c r="H11">
        <v>30</v>
      </c>
      <c r="I11">
        <v>45</v>
      </c>
      <c r="J11">
        <f t="shared" si="2"/>
        <v>-15</v>
      </c>
    </row>
    <row r="12" spans="1:21" x14ac:dyDescent="0.3">
      <c r="A12" s="1" t="s">
        <v>9</v>
      </c>
      <c r="B12" t="s">
        <v>432</v>
      </c>
      <c r="C12" s="3">
        <f t="shared" si="0"/>
        <v>33</v>
      </c>
      <c r="D12">
        <v>36</v>
      </c>
      <c r="E12">
        <v>7</v>
      </c>
      <c r="F12">
        <v>12</v>
      </c>
      <c r="G12">
        <f t="shared" si="1"/>
        <v>17</v>
      </c>
      <c r="H12">
        <v>25</v>
      </c>
      <c r="I12">
        <v>43</v>
      </c>
      <c r="J12">
        <f t="shared" si="2"/>
        <v>-18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2AA48-ADB4-41C1-85E4-A39183E0F164}">
  <dimension ref="A1:U18"/>
  <sheetViews>
    <sheetView workbookViewId="0">
      <selection activeCell="A2" sqref="A2:J12"/>
    </sheetView>
  </sheetViews>
  <sheetFormatPr defaultRowHeight="14.4" x14ac:dyDescent="0.3"/>
  <sheetData>
    <row r="1" spans="1:21" x14ac:dyDescent="0.3">
      <c r="A1" t="s">
        <v>186</v>
      </c>
      <c r="L1" t="s">
        <v>203</v>
      </c>
      <c r="T1" t="s">
        <v>48</v>
      </c>
    </row>
    <row r="2" spans="1:21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20</v>
      </c>
      <c r="I2" t="s">
        <v>21</v>
      </c>
      <c r="J2" t="s">
        <v>19</v>
      </c>
      <c r="L2" t="s">
        <v>39</v>
      </c>
      <c r="T2" t="s">
        <v>187</v>
      </c>
      <c r="U2">
        <v>2</v>
      </c>
    </row>
    <row r="3" spans="1:21" x14ac:dyDescent="0.3">
      <c r="A3" s="4" t="s">
        <v>0</v>
      </c>
      <c r="B3" t="s">
        <v>187</v>
      </c>
      <c r="C3" s="3">
        <v>54</v>
      </c>
      <c r="D3">
        <v>30</v>
      </c>
      <c r="E3">
        <v>17</v>
      </c>
      <c r="F3">
        <v>3</v>
      </c>
      <c r="G3">
        <f>D3-E3-F3</f>
        <v>10</v>
      </c>
      <c r="H3">
        <v>43</v>
      </c>
      <c r="I3">
        <v>35</v>
      </c>
      <c r="J3">
        <f>H3-I3</f>
        <v>8</v>
      </c>
      <c r="L3" t="s">
        <v>202</v>
      </c>
      <c r="M3" t="s">
        <v>42</v>
      </c>
      <c r="N3" t="s">
        <v>197</v>
      </c>
      <c r="P3" t="s">
        <v>197</v>
      </c>
      <c r="Q3" t="s">
        <v>205</v>
      </c>
      <c r="R3" t="s">
        <v>202</v>
      </c>
      <c r="T3" t="s">
        <v>202</v>
      </c>
      <c r="U3">
        <v>1</v>
      </c>
    </row>
    <row r="4" spans="1:21" x14ac:dyDescent="0.3">
      <c r="A4" s="1" t="s">
        <v>1</v>
      </c>
      <c r="B4" t="s">
        <v>188</v>
      </c>
      <c r="C4" s="3">
        <v>52</v>
      </c>
      <c r="D4">
        <v>30</v>
      </c>
      <c r="E4">
        <v>15</v>
      </c>
      <c r="F4">
        <v>7</v>
      </c>
      <c r="G4">
        <f t="shared" ref="G4:G18" si="0">D4-E4-F4</f>
        <v>8</v>
      </c>
      <c r="H4">
        <v>49</v>
      </c>
      <c r="I4">
        <v>39</v>
      </c>
      <c r="J4">
        <f t="shared" ref="J4:J18" si="1">H4-I4</f>
        <v>10</v>
      </c>
      <c r="L4" t="s">
        <v>200</v>
      </c>
      <c r="M4" t="s">
        <v>44</v>
      </c>
      <c r="N4" t="s">
        <v>192</v>
      </c>
      <c r="P4" t="s">
        <v>192</v>
      </c>
      <c r="Q4" t="s">
        <v>206</v>
      </c>
      <c r="R4" t="s">
        <v>200</v>
      </c>
    </row>
    <row r="5" spans="1:21" x14ac:dyDescent="0.3">
      <c r="A5" t="s">
        <v>2</v>
      </c>
      <c r="B5" t="s">
        <v>189</v>
      </c>
      <c r="C5" s="3">
        <v>47</v>
      </c>
      <c r="D5">
        <v>30</v>
      </c>
      <c r="E5">
        <v>13</v>
      </c>
      <c r="F5">
        <v>8</v>
      </c>
      <c r="G5">
        <f t="shared" si="0"/>
        <v>9</v>
      </c>
      <c r="H5">
        <v>53</v>
      </c>
      <c r="I5">
        <v>44</v>
      </c>
      <c r="J5">
        <f t="shared" si="1"/>
        <v>9</v>
      </c>
      <c r="L5" t="s">
        <v>198</v>
      </c>
      <c r="M5" t="s">
        <v>204</v>
      </c>
      <c r="N5" t="s">
        <v>193</v>
      </c>
      <c r="P5" t="s">
        <v>193</v>
      </c>
      <c r="Q5" t="s">
        <v>92</v>
      </c>
      <c r="R5" t="s">
        <v>198</v>
      </c>
    </row>
    <row r="6" spans="1:21" x14ac:dyDescent="0.3">
      <c r="A6" t="s">
        <v>3</v>
      </c>
      <c r="B6" t="s">
        <v>190</v>
      </c>
      <c r="C6" s="3">
        <v>47</v>
      </c>
      <c r="D6">
        <v>30</v>
      </c>
      <c r="E6">
        <v>14</v>
      </c>
      <c r="F6">
        <v>5</v>
      </c>
      <c r="G6">
        <f t="shared" si="0"/>
        <v>11</v>
      </c>
      <c r="H6">
        <v>53</v>
      </c>
      <c r="I6">
        <v>44</v>
      </c>
      <c r="J6">
        <f t="shared" si="1"/>
        <v>9</v>
      </c>
      <c r="L6" t="s">
        <v>194</v>
      </c>
      <c r="M6" t="s">
        <v>93</v>
      </c>
      <c r="N6" t="s">
        <v>199</v>
      </c>
      <c r="P6" t="s">
        <v>199</v>
      </c>
      <c r="Q6" t="s">
        <v>37</v>
      </c>
      <c r="R6" t="s">
        <v>194</v>
      </c>
    </row>
    <row r="7" spans="1:21" x14ac:dyDescent="0.3">
      <c r="A7" t="s">
        <v>4</v>
      </c>
      <c r="B7" t="s">
        <v>191</v>
      </c>
      <c r="C7" s="3">
        <v>47</v>
      </c>
      <c r="D7">
        <v>30</v>
      </c>
      <c r="E7">
        <v>13</v>
      </c>
      <c r="F7">
        <v>8</v>
      </c>
      <c r="G7">
        <f t="shared" si="0"/>
        <v>9</v>
      </c>
      <c r="H7">
        <v>46</v>
      </c>
      <c r="I7">
        <v>41</v>
      </c>
      <c r="J7">
        <f t="shared" si="1"/>
        <v>5</v>
      </c>
    </row>
    <row r="8" spans="1:21" x14ac:dyDescent="0.3">
      <c r="A8" t="s">
        <v>5</v>
      </c>
      <c r="B8" t="s">
        <v>192</v>
      </c>
      <c r="C8" s="3">
        <v>45</v>
      </c>
      <c r="D8">
        <v>30</v>
      </c>
      <c r="E8">
        <v>13</v>
      </c>
      <c r="F8">
        <v>6</v>
      </c>
      <c r="G8">
        <f t="shared" si="0"/>
        <v>11</v>
      </c>
      <c r="H8">
        <v>43</v>
      </c>
      <c r="I8">
        <v>43</v>
      </c>
      <c r="J8">
        <f t="shared" si="1"/>
        <v>0</v>
      </c>
      <c r="L8" t="s">
        <v>40</v>
      </c>
    </row>
    <row r="9" spans="1:21" x14ac:dyDescent="0.3">
      <c r="A9" t="s">
        <v>6</v>
      </c>
      <c r="B9" t="s">
        <v>193</v>
      </c>
      <c r="C9" s="3">
        <v>44</v>
      </c>
      <c r="D9">
        <v>30</v>
      </c>
      <c r="E9">
        <v>13</v>
      </c>
      <c r="F9">
        <v>5</v>
      </c>
      <c r="G9">
        <f t="shared" si="0"/>
        <v>12</v>
      </c>
      <c r="H9">
        <v>50</v>
      </c>
      <c r="I9">
        <v>51</v>
      </c>
      <c r="J9">
        <f t="shared" si="1"/>
        <v>-1</v>
      </c>
      <c r="L9" t="s">
        <v>202</v>
      </c>
      <c r="M9" t="s">
        <v>43</v>
      </c>
      <c r="N9" t="s">
        <v>200</v>
      </c>
      <c r="P9" t="s">
        <v>200</v>
      </c>
      <c r="Q9" t="s">
        <v>38</v>
      </c>
      <c r="R9" t="s">
        <v>202</v>
      </c>
    </row>
    <row r="10" spans="1:21" x14ac:dyDescent="0.3">
      <c r="A10" t="s">
        <v>7</v>
      </c>
      <c r="B10" t="s">
        <v>194</v>
      </c>
      <c r="C10" s="3">
        <v>43</v>
      </c>
      <c r="D10">
        <v>30</v>
      </c>
      <c r="E10">
        <v>13</v>
      </c>
      <c r="F10">
        <v>4</v>
      </c>
      <c r="G10">
        <f t="shared" si="0"/>
        <v>13</v>
      </c>
      <c r="H10">
        <v>46</v>
      </c>
      <c r="I10">
        <v>51</v>
      </c>
      <c r="J10">
        <f t="shared" si="1"/>
        <v>-5</v>
      </c>
      <c r="L10" t="s">
        <v>199</v>
      </c>
      <c r="M10" t="s">
        <v>43</v>
      </c>
      <c r="N10" t="s">
        <v>193</v>
      </c>
      <c r="P10" t="s">
        <v>193</v>
      </c>
      <c r="Q10" t="s">
        <v>44</v>
      </c>
      <c r="R10" t="s">
        <v>199</v>
      </c>
    </row>
    <row r="11" spans="1:21" x14ac:dyDescent="0.3">
      <c r="A11" t="s">
        <v>8</v>
      </c>
      <c r="B11" t="s">
        <v>195</v>
      </c>
      <c r="C11" s="3">
        <v>42</v>
      </c>
      <c r="D11">
        <v>30</v>
      </c>
      <c r="E11">
        <v>11</v>
      </c>
      <c r="F11">
        <v>9</v>
      </c>
      <c r="G11">
        <f t="shared" si="0"/>
        <v>10</v>
      </c>
      <c r="H11">
        <v>50</v>
      </c>
      <c r="I11">
        <v>48</v>
      </c>
      <c r="J11">
        <f t="shared" si="1"/>
        <v>2</v>
      </c>
    </row>
    <row r="12" spans="1:21" x14ac:dyDescent="0.3">
      <c r="A12" t="s">
        <v>9</v>
      </c>
      <c r="B12" t="s">
        <v>196</v>
      </c>
      <c r="C12" s="3">
        <v>41</v>
      </c>
      <c r="D12">
        <v>30</v>
      </c>
      <c r="E12">
        <v>12</v>
      </c>
      <c r="F12">
        <v>5</v>
      </c>
      <c r="G12">
        <f t="shared" si="0"/>
        <v>13</v>
      </c>
      <c r="H12">
        <v>46</v>
      </c>
      <c r="I12">
        <v>42</v>
      </c>
      <c r="J12">
        <f t="shared" si="1"/>
        <v>4</v>
      </c>
      <c r="L12" t="s">
        <v>46</v>
      </c>
    </row>
    <row r="13" spans="1:21" x14ac:dyDescent="0.3">
      <c r="A13" t="s">
        <v>10</v>
      </c>
      <c r="B13" t="s">
        <v>197</v>
      </c>
      <c r="C13" s="3">
        <v>40</v>
      </c>
      <c r="D13">
        <v>30</v>
      </c>
      <c r="E13">
        <v>12</v>
      </c>
      <c r="F13">
        <v>4</v>
      </c>
      <c r="G13">
        <f t="shared" si="0"/>
        <v>14</v>
      </c>
      <c r="H13">
        <v>34</v>
      </c>
      <c r="I13">
        <v>42</v>
      </c>
      <c r="J13">
        <f t="shared" si="1"/>
        <v>-8</v>
      </c>
      <c r="L13" t="s">
        <v>199</v>
      </c>
      <c r="M13" t="s">
        <v>41</v>
      </c>
      <c r="N13" t="s">
        <v>202</v>
      </c>
    </row>
    <row r="14" spans="1:21" x14ac:dyDescent="0.3">
      <c r="A14" t="s">
        <v>11</v>
      </c>
      <c r="B14" t="s">
        <v>198</v>
      </c>
      <c r="C14" s="3">
        <v>39</v>
      </c>
      <c r="D14">
        <v>30</v>
      </c>
      <c r="E14">
        <v>10</v>
      </c>
      <c r="F14">
        <v>9</v>
      </c>
      <c r="G14">
        <f t="shared" si="0"/>
        <v>11</v>
      </c>
      <c r="H14">
        <v>56</v>
      </c>
      <c r="I14">
        <v>52</v>
      </c>
      <c r="J14">
        <f t="shared" si="1"/>
        <v>4</v>
      </c>
    </row>
    <row r="15" spans="1:21" x14ac:dyDescent="0.3">
      <c r="A15" t="s">
        <v>69</v>
      </c>
      <c r="B15" t="s">
        <v>199</v>
      </c>
      <c r="C15" s="3">
        <v>36</v>
      </c>
      <c r="D15">
        <v>30</v>
      </c>
      <c r="E15">
        <v>11</v>
      </c>
      <c r="F15">
        <v>3</v>
      </c>
      <c r="G15">
        <f t="shared" si="0"/>
        <v>16</v>
      </c>
      <c r="H15">
        <v>38</v>
      </c>
      <c r="I15">
        <v>45</v>
      </c>
      <c r="J15">
        <f t="shared" si="1"/>
        <v>-7</v>
      </c>
    </row>
    <row r="16" spans="1:21" x14ac:dyDescent="0.3">
      <c r="A16" t="s">
        <v>70</v>
      </c>
      <c r="B16" t="s">
        <v>200</v>
      </c>
      <c r="C16" s="3">
        <v>33</v>
      </c>
      <c r="D16">
        <v>30</v>
      </c>
      <c r="E16">
        <v>9</v>
      </c>
      <c r="F16">
        <v>6</v>
      </c>
      <c r="G16">
        <f t="shared" si="0"/>
        <v>15</v>
      </c>
      <c r="H16">
        <v>41</v>
      </c>
      <c r="I16">
        <v>47</v>
      </c>
      <c r="J16">
        <f t="shared" si="1"/>
        <v>-6</v>
      </c>
    </row>
    <row r="17" spans="1:10" x14ac:dyDescent="0.3">
      <c r="A17" t="s">
        <v>71</v>
      </c>
      <c r="B17" t="s">
        <v>201</v>
      </c>
      <c r="C17" s="3">
        <v>31</v>
      </c>
      <c r="D17">
        <v>30</v>
      </c>
      <c r="E17">
        <v>7</v>
      </c>
      <c r="F17">
        <v>10</v>
      </c>
      <c r="G17">
        <f t="shared" si="0"/>
        <v>13</v>
      </c>
      <c r="H17">
        <v>45</v>
      </c>
      <c r="I17">
        <v>57</v>
      </c>
      <c r="J17">
        <f t="shared" si="1"/>
        <v>-12</v>
      </c>
    </row>
    <row r="18" spans="1:10" x14ac:dyDescent="0.3">
      <c r="A18" s="1" t="s">
        <v>72</v>
      </c>
      <c r="B18" t="s">
        <v>202</v>
      </c>
      <c r="C18" s="3">
        <v>29</v>
      </c>
      <c r="D18">
        <v>30</v>
      </c>
      <c r="E18">
        <v>7</v>
      </c>
      <c r="F18">
        <v>8</v>
      </c>
      <c r="G18">
        <f t="shared" si="0"/>
        <v>15</v>
      </c>
      <c r="H18">
        <v>35</v>
      </c>
      <c r="I18">
        <v>47</v>
      </c>
      <c r="J18">
        <f t="shared" si="1"/>
        <v>-12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4951D-CFA9-4C1C-83AA-962ADA874FFE}">
  <dimension ref="A1:U33"/>
  <sheetViews>
    <sheetView topLeftCell="A8" workbookViewId="0">
      <selection activeCell="A2" sqref="A2:J14"/>
    </sheetView>
  </sheetViews>
  <sheetFormatPr defaultRowHeight="14.4" x14ac:dyDescent="0.3"/>
  <sheetData>
    <row r="1" spans="1:21" x14ac:dyDescent="0.3">
      <c r="A1" t="s">
        <v>434</v>
      </c>
      <c r="L1" t="s">
        <v>451</v>
      </c>
      <c r="T1" t="s">
        <v>48</v>
      </c>
    </row>
    <row r="2" spans="1:21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20</v>
      </c>
      <c r="I2" t="s">
        <v>21</v>
      </c>
      <c r="J2" t="s">
        <v>19</v>
      </c>
      <c r="L2" t="s">
        <v>40</v>
      </c>
      <c r="T2" t="s">
        <v>435</v>
      </c>
      <c r="U2">
        <v>27</v>
      </c>
    </row>
    <row r="3" spans="1:21" x14ac:dyDescent="0.3">
      <c r="A3" s="1" t="s">
        <v>0</v>
      </c>
      <c r="B3" t="s">
        <v>435</v>
      </c>
      <c r="C3" s="3">
        <f t="shared" ref="C3:C18" si="0">E3*3+F3</f>
        <v>72</v>
      </c>
      <c r="D3">
        <v>30</v>
      </c>
      <c r="E3">
        <v>23</v>
      </c>
      <c r="F3">
        <v>3</v>
      </c>
      <c r="G3">
        <f>D3-E3-F3</f>
        <v>4</v>
      </c>
      <c r="H3">
        <v>66</v>
      </c>
      <c r="I3">
        <v>20</v>
      </c>
      <c r="J3">
        <f>H3-I3</f>
        <v>46</v>
      </c>
      <c r="L3" t="s">
        <v>436</v>
      </c>
      <c r="M3" t="s">
        <v>206</v>
      </c>
      <c r="N3" t="s">
        <v>438</v>
      </c>
      <c r="P3" t="s">
        <v>438</v>
      </c>
      <c r="Q3" t="s">
        <v>151</v>
      </c>
      <c r="R3" t="s">
        <v>436</v>
      </c>
      <c r="T3" t="s">
        <v>438</v>
      </c>
      <c r="U3">
        <v>22</v>
      </c>
    </row>
    <row r="4" spans="1:21" x14ac:dyDescent="0.3">
      <c r="A4" s="1" t="s">
        <v>1</v>
      </c>
      <c r="B4" t="s">
        <v>436</v>
      </c>
      <c r="C4" s="3">
        <f t="shared" si="0"/>
        <v>62</v>
      </c>
      <c r="D4">
        <v>30</v>
      </c>
      <c r="E4">
        <v>18</v>
      </c>
      <c r="F4">
        <v>8</v>
      </c>
      <c r="G4">
        <f t="shared" ref="G4:G18" si="1">D4-E4-F4</f>
        <v>4</v>
      </c>
      <c r="H4">
        <v>57</v>
      </c>
      <c r="I4">
        <v>22</v>
      </c>
      <c r="J4">
        <f t="shared" ref="J4:J18" si="2">H4-I4</f>
        <v>35</v>
      </c>
      <c r="L4" t="s">
        <v>441</v>
      </c>
      <c r="M4" t="s">
        <v>205</v>
      </c>
      <c r="N4" t="s">
        <v>440</v>
      </c>
      <c r="P4" t="s">
        <v>440</v>
      </c>
      <c r="Q4" t="s">
        <v>65</v>
      </c>
      <c r="R4" t="s">
        <v>441</v>
      </c>
    </row>
    <row r="5" spans="1:21" x14ac:dyDescent="0.3">
      <c r="A5" s="1" t="s">
        <v>2</v>
      </c>
      <c r="B5" t="s">
        <v>437</v>
      </c>
      <c r="C5" s="3">
        <f t="shared" si="0"/>
        <v>56</v>
      </c>
      <c r="D5">
        <v>30</v>
      </c>
      <c r="E5">
        <v>17</v>
      </c>
      <c r="F5">
        <v>5</v>
      </c>
      <c r="G5">
        <f t="shared" si="1"/>
        <v>8</v>
      </c>
      <c r="H5">
        <v>51</v>
      </c>
      <c r="I5">
        <v>35</v>
      </c>
      <c r="J5">
        <f t="shared" si="2"/>
        <v>16</v>
      </c>
    </row>
    <row r="6" spans="1:21" x14ac:dyDescent="0.3">
      <c r="A6" s="1" t="s">
        <v>3</v>
      </c>
      <c r="B6" t="s">
        <v>438</v>
      </c>
      <c r="C6" s="3">
        <f t="shared" si="0"/>
        <v>50</v>
      </c>
      <c r="D6">
        <v>30</v>
      </c>
      <c r="E6">
        <v>14</v>
      </c>
      <c r="F6">
        <v>8</v>
      </c>
      <c r="G6">
        <f t="shared" si="1"/>
        <v>8</v>
      </c>
      <c r="H6">
        <v>40</v>
      </c>
      <c r="I6">
        <v>28</v>
      </c>
      <c r="J6">
        <f t="shared" si="2"/>
        <v>12</v>
      </c>
      <c r="L6" t="s">
        <v>46</v>
      </c>
    </row>
    <row r="7" spans="1:21" x14ac:dyDescent="0.3">
      <c r="A7" s="2" t="s">
        <v>4</v>
      </c>
      <c r="B7" t="s">
        <v>439</v>
      </c>
      <c r="C7" s="3">
        <f t="shared" si="0"/>
        <v>49</v>
      </c>
      <c r="D7">
        <v>30</v>
      </c>
      <c r="E7">
        <v>13</v>
      </c>
      <c r="F7">
        <v>10</v>
      </c>
      <c r="G7">
        <f t="shared" si="1"/>
        <v>7</v>
      </c>
      <c r="H7">
        <v>39</v>
      </c>
      <c r="I7">
        <v>23</v>
      </c>
      <c r="J7">
        <f t="shared" si="2"/>
        <v>16</v>
      </c>
      <c r="L7" t="s">
        <v>438</v>
      </c>
      <c r="M7" t="s">
        <v>44</v>
      </c>
      <c r="N7" t="s">
        <v>440</v>
      </c>
    </row>
    <row r="8" spans="1:21" x14ac:dyDescent="0.3">
      <c r="A8" s="2" t="s">
        <v>5</v>
      </c>
      <c r="B8" t="s">
        <v>440</v>
      </c>
      <c r="C8" s="3">
        <f t="shared" si="0"/>
        <v>45</v>
      </c>
      <c r="D8">
        <v>30</v>
      </c>
      <c r="E8">
        <v>11</v>
      </c>
      <c r="F8">
        <v>12</v>
      </c>
      <c r="G8">
        <f t="shared" si="1"/>
        <v>7</v>
      </c>
      <c r="H8">
        <v>33</v>
      </c>
      <c r="I8">
        <v>37</v>
      </c>
      <c r="J8">
        <f t="shared" si="2"/>
        <v>-4</v>
      </c>
    </row>
    <row r="9" spans="1:21" x14ac:dyDescent="0.3">
      <c r="A9" s="2" t="s">
        <v>6</v>
      </c>
      <c r="B9" t="s">
        <v>441</v>
      </c>
      <c r="C9" s="3">
        <f t="shared" si="0"/>
        <v>42</v>
      </c>
      <c r="D9">
        <v>30</v>
      </c>
      <c r="E9">
        <v>11</v>
      </c>
      <c r="F9">
        <v>9</v>
      </c>
      <c r="G9">
        <f t="shared" si="1"/>
        <v>10</v>
      </c>
      <c r="H9">
        <v>32</v>
      </c>
      <c r="I9">
        <v>27</v>
      </c>
      <c r="J9">
        <f t="shared" si="2"/>
        <v>5</v>
      </c>
    </row>
    <row r="10" spans="1:21" x14ac:dyDescent="0.3">
      <c r="A10" s="2" t="s">
        <v>7</v>
      </c>
      <c r="B10" t="s">
        <v>442</v>
      </c>
      <c r="C10" s="3">
        <f t="shared" si="0"/>
        <v>41</v>
      </c>
      <c r="D10">
        <v>30</v>
      </c>
      <c r="E10">
        <v>11</v>
      </c>
      <c r="F10">
        <v>8</v>
      </c>
      <c r="G10">
        <f t="shared" si="1"/>
        <v>11</v>
      </c>
      <c r="H10">
        <v>36</v>
      </c>
      <c r="I10">
        <v>33</v>
      </c>
      <c r="J10">
        <f t="shared" si="2"/>
        <v>3</v>
      </c>
    </row>
    <row r="11" spans="1:21" x14ac:dyDescent="0.3">
      <c r="A11" t="s">
        <v>8</v>
      </c>
      <c r="B11" t="s">
        <v>443</v>
      </c>
      <c r="C11" s="3">
        <f t="shared" si="0"/>
        <v>37</v>
      </c>
      <c r="D11">
        <v>30</v>
      </c>
      <c r="E11">
        <v>9</v>
      </c>
      <c r="F11">
        <v>10</v>
      </c>
      <c r="G11">
        <f t="shared" si="1"/>
        <v>11</v>
      </c>
      <c r="H11">
        <v>42</v>
      </c>
      <c r="I11">
        <v>40</v>
      </c>
      <c r="J11">
        <f t="shared" si="2"/>
        <v>2</v>
      </c>
    </row>
    <row r="12" spans="1:21" x14ac:dyDescent="0.3">
      <c r="A12" t="s">
        <v>9</v>
      </c>
      <c r="B12" t="s">
        <v>444</v>
      </c>
      <c r="C12" s="3">
        <f t="shared" si="0"/>
        <v>37</v>
      </c>
      <c r="D12">
        <v>30</v>
      </c>
      <c r="E12">
        <v>9</v>
      </c>
      <c r="F12">
        <v>10</v>
      </c>
      <c r="G12">
        <f t="shared" si="1"/>
        <v>11</v>
      </c>
      <c r="H12">
        <v>26</v>
      </c>
      <c r="I12">
        <v>33</v>
      </c>
      <c r="J12">
        <f t="shared" si="2"/>
        <v>-7</v>
      </c>
    </row>
    <row r="13" spans="1:21" x14ac:dyDescent="0.3">
      <c r="A13" t="s">
        <v>10</v>
      </c>
      <c r="B13" t="s">
        <v>445</v>
      </c>
      <c r="C13" s="3">
        <f t="shared" si="0"/>
        <v>36</v>
      </c>
      <c r="D13">
        <v>30</v>
      </c>
      <c r="E13">
        <v>10</v>
      </c>
      <c r="F13">
        <v>6</v>
      </c>
      <c r="G13">
        <f t="shared" si="1"/>
        <v>14</v>
      </c>
      <c r="H13">
        <v>35</v>
      </c>
      <c r="I13">
        <v>42</v>
      </c>
      <c r="J13">
        <f t="shared" si="2"/>
        <v>-7</v>
      </c>
    </row>
    <row r="14" spans="1:21" x14ac:dyDescent="0.3">
      <c r="A14" t="s">
        <v>11</v>
      </c>
      <c r="B14" t="s">
        <v>446</v>
      </c>
      <c r="C14" s="3">
        <f t="shared" si="0"/>
        <v>29</v>
      </c>
      <c r="D14">
        <v>30</v>
      </c>
      <c r="E14">
        <v>8</v>
      </c>
      <c r="F14">
        <v>5</v>
      </c>
      <c r="G14">
        <f t="shared" si="1"/>
        <v>17</v>
      </c>
      <c r="H14">
        <v>27</v>
      </c>
      <c r="I14">
        <v>42</v>
      </c>
      <c r="J14">
        <f t="shared" si="2"/>
        <v>-15</v>
      </c>
    </row>
    <row r="15" spans="1:21" x14ac:dyDescent="0.3">
      <c r="A15" t="s">
        <v>69</v>
      </c>
      <c r="B15" t="s">
        <v>447</v>
      </c>
      <c r="C15" s="3">
        <f t="shared" si="0"/>
        <v>29</v>
      </c>
      <c r="D15">
        <v>30</v>
      </c>
      <c r="E15">
        <v>6</v>
      </c>
      <c r="F15">
        <v>11</v>
      </c>
      <c r="G15">
        <f t="shared" si="1"/>
        <v>13</v>
      </c>
      <c r="H15">
        <v>30</v>
      </c>
      <c r="I15">
        <v>50</v>
      </c>
      <c r="J15">
        <f t="shared" si="2"/>
        <v>-20</v>
      </c>
    </row>
    <row r="16" spans="1:21" x14ac:dyDescent="0.3">
      <c r="A16" t="s">
        <v>70</v>
      </c>
      <c r="B16" t="s">
        <v>448</v>
      </c>
      <c r="C16" s="3">
        <f t="shared" si="0"/>
        <v>27</v>
      </c>
      <c r="D16">
        <v>30</v>
      </c>
      <c r="E16">
        <v>8</v>
      </c>
      <c r="F16">
        <v>3</v>
      </c>
      <c r="G16">
        <f t="shared" si="1"/>
        <v>19</v>
      </c>
      <c r="H16">
        <v>29</v>
      </c>
      <c r="I16">
        <v>59</v>
      </c>
      <c r="J16">
        <f t="shared" si="2"/>
        <v>-30</v>
      </c>
    </row>
    <row r="17" spans="1:10" x14ac:dyDescent="0.3">
      <c r="A17" t="s">
        <v>71</v>
      </c>
      <c r="B17" t="s">
        <v>449</v>
      </c>
      <c r="C17" s="3">
        <f t="shared" si="0"/>
        <v>24</v>
      </c>
      <c r="D17">
        <v>30</v>
      </c>
      <c r="E17">
        <v>4</v>
      </c>
      <c r="F17">
        <v>12</v>
      </c>
      <c r="G17">
        <f t="shared" si="1"/>
        <v>14</v>
      </c>
      <c r="H17">
        <v>23</v>
      </c>
      <c r="I17">
        <v>46</v>
      </c>
      <c r="J17">
        <f t="shared" si="2"/>
        <v>-23</v>
      </c>
    </row>
    <row r="18" spans="1:10" x14ac:dyDescent="0.3">
      <c r="A18" t="s">
        <v>72</v>
      </c>
      <c r="B18" t="s">
        <v>450</v>
      </c>
      <c r="C18" s="3">
        <f t="shared" si="0"/>
        <v>20</v>
      </c>
      <c r="D18">
        <v>30</v>
      </c>
      <c r="E18">
        <v>4</v>
      </c>
      <c r="F18">
        <v>8</v>
      </c>
      <c r="G18">
        <f t="shared" si="1"/>
        <v>18</v>
      </c>
      <c r="H18">
        <v>16</v>
      </c>
      <c r="I18">
        <v>45</v>
      </c>
      <c r="J18">
        <f t="shared" si="2"/>
        <v>-29</v>
      </c>
    </row>
    <row r="20" spans="1:10" x14ac:dyDescent="0.3">
      <c r="A20" t="s">
        <v>34</v>
      </c>
    </row>
    <row r="21" spans="1:10" x14ac:dyDescent="0.3">
      <c r="A21" s="4" t="s">
        <v>0</v>
      </c>
      <c r="B21" t="s">
        <v>435</v>
      </c>
      <c r="C21" s="3">
        <f t="shared" ref="C21:C24" si="3">E21*3+F21</f>
        <v>79</v>
      </c>
      <c r="D21">
        <v>36</v>
      </c>
      <c r="E21">
        <v>25</v>
      </c>
      <c r="F21">
        <v>4</v>
      </c>
      <c r="G21">
        <f>D21-E21-F21</f>
        <v>7</v>
      </c>
      <c r="H21">
        <v>76</v>
      </c>
      <c r="I21">
        <v>35</v>
      </c>
      <c r="J21">
        <f>H21-I21</f>
        <v>41</v>
      </c>
    </row>
    <row r="22" spans="1:10" x14ac:dyDescent="0.3">
      <c r="A22" s="1" t="s">
        <v>1</v>
      </c>
      <c r="B22" t="s">
        <v>436</v>
      </c>
      <c r="C22" s="3">
        <f t="shared" si="3"/>
        <v>72</v>
      </c>
      <c r="D22">
        <v>36</v>
      </c>
      <c r="E22">
        <v>21</v>
      </c>
      <c r="F22">
        <v>9</v>
      </c>
      <c r="G22">
        <f t="shared" ref="G22:G24" si="4">D22-E22-F22</f>
        <v>6</v>
      </c>
      <c r="H22">
        <v>67</v>
      </c>
      <c r="I22">
        <v>30</v>
      </c>
      <c r="J22">
        <f t="shared" ref="J22:J24" si="5">H22-I22</f>
        <v>37</v>
      </c>
    </row>
    <row r="23" spans="1:10" x14ac:dyDescent="0.3">
      <c r="A23" s="1" t="s">
        <v>2</v>
      </c>
      <c r="B23" t="s">
        <v>437</v>
      </c>
      <c r="C23" s="3">
        <f t="shared" si="3"/>
        <v>65</v>
      </c>
      <c r="D23">
        <v>36</v>
      </c>
      <c r="E23">
        <v>20</v>
      </c>
      <c r="F23">
        <v>5</v>
      </c>
      <c r="G23">
        <f t="shared" si="4"/>
        <v>11</v>
      </c>
      <c r="H23">
        <v>62</v>
      </c>
      <c r="I23">
        <v>43</v>
      </c>
      <c r="J23">
        <f t="shared" si="5"/>
        <v>19</v>
      </c>
    </row>
    <row r="24" spans="1:10" x14ac:dyDescent="0.3">
      <c r="A24" s="5" t="s">
        <v>3</v>
      </c>
      <c r="B24" t="s">
        <v>438</v>
      </c>
      <c r="C24" s="3">
        <f t="shared" si="3"/>
        <v>58</v>
      </c>
      <c r="D24">
        <v>36</v>
      </c>
      <c r="E24">
        <v>16</v>
      </c>
      <c r="F24">
        <v>10</v>
      </c>
      <c r="G24">
        <f t="shared" si="4"/>
        <v>10</v>
      </c>
      <c r="H24">
        <v>48</v>
      </c>
      <c r="I24">
        <v>36</v>
      </c>
      <c r="J24">
        <f t="shared" si="5"/>
        <v>12</v>
      </c>
    </row>
    <row r="26" spans="1:10" x14ac:dyDescent="0.3">
      <c r="A26" t="s">
        <v>400</v>
      </c>
    </row>
    <row r="27" spans="1:10" x14ac:dyDescent="0.3">
      <c r="A27" s="2" t="s">
        <v>0</v>
      </c>
      <c r="B27" t="s">
        <v>439</v>
      </c>
      <c r="C27" s="3">
        <f t="shared" ref="C27:C28" si="6">E27*3+F27</f>
        <v>58</v>
      </c>
      <c r="D27">
        <v>36</v>
      </c>
      <c r="E27">
        <v>16</v>
      </c>
      <c r="F27">
        <v>10</v>
      </c>
      <c r="G27">
        <f t="shared" ref="G27:G28" si="7">D27-E27-F27</f>
        <v>10</v>
      </c>
      <c r="H27">
        <v>51</v>
      </c>
      <c r="I27">
        <v>31</v>
      </c>
      <c r="J27">
        <f t="shared" ref="J27:J28" si="8">H27-I27</f>
        <v>20</v>
      </c>
    </row>
    <row r="28" spans="1:10" x14ac:dyDescent="0.3">
      <c r="A28" t="s">
        <v>1</v>
      </c>
      <c r="B28" t="s">
        <v>440</v>
      </c>
      <c r="C28" s="3">
        <f t="shared" si="6"/>
        <v>54</v>
      </c>
      <c r="D28">
        <v>36</v>
      </c>
      <c r="E28">
        <v>14</v>
      </c>
      <c r="F28">
        <v>12</v>
      </c>
      <c r="G28">
        <f t="shared" si="7"/>
        <v>10</v>
      </c>
      <c r="H28">
        <v>40</v>
      </c>
      <c r="I28">
        <v>47</v>
      </c>
      <c r="J28">
        <f t="shared" si="8"/>
        <v>-7</v>
      </c>
    </row>
    <row r="29" spans="1:10" x14ac:dyDescent="0.3">
      <c r="A29" t="s">
        <v>2</v>
      </c>
      <c r="B29" t="s">
        <v>442</v>
      </c>
      <c r="C29" s="3">
        <f>E29*3+F29</f>
        <v>51</v>
      </c>
      <c r="D29">
        <v>36</v>
      </c>
      <c r="E29">
        <v>14</v>
      </c>
      <c r="F29">
        <v>9</v>
      </c>
      <c r="G29">
        <f>D29-E29-F29</f>
        <v>13</v>
      </c>
      <c r="H29">
        <v>47</v>
      </c>
      <c r="I29">
        <v>39</v>
      </c>
      <c r="J29">
        <f>H29-I29</f>
        <v>8</v>
      </c>
    </row>
    <row r="30" spans="1:10" x14ac:dyDescent="0.3">
      <c r="A30" t="s">
        <v>3</v>
      </c>
      <c r="B30" t="s">
        <v>441</v>
      </c>
      <c r="C30" s="3">
        <f>E30*3+F30</f>
        <v>49</v>
      </c>
      <c r="D30">
        <v>36</v>
      </c>
      <c r="E30">
        <v>13</v>
      </c>
      <c r="F30">
        <v>10</v>
      </c>
      <c r="G30">
        <f>D30-E30-F30</f>
        <v>13</v>
      </c>
      <c r="H30">
        <v>37</v>
      </c>
      <c r="I30">
        <v>38</v>
      </c>
      <c r="J30">
        <f>H30-I30</f>
        <v>-1</v>
      </c>
    </row>
    <row r="32" spans="1:10" x14ac:dyDescent="0.3">
      <c r="A32" t="s">
        <v>350</v>
      </c>
    </row>
    <row r="33" spans="1:3" x14ac:dyDescent="0.3">
      <c r="A33" t="s">
        <v>437</v>
      </c>
      <c r="B33" t="s">
        <v>43</v>
      </c>
      <c r="C33" t="s">
        <v>439</v>
      </c>
    </row>
  </sheetData>
  <sortState xmlns:xlrd2="http://schemas.microsoft.com/office/spreadsheetml/2017/richdata2" ref="B29:J30">
    <sortCondition descending="1" ref="C29:C30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87593-90EE-47D4-83B0-5AC24F990084}">
  <dimension ref="A1:Q23"/>
  <sheetViews>
    <sheetView workbookViewId="0">
      <selection activeCell="A2" sqref="A2:J8"/>
    </sheetView>
  </sheetViews>
  <sheetFormatPr defaultRowHeight="14.4" x14ac:dyDescent="0.3"/>
  <sheetData>
    <row r="1" spans="1:17" x14ac:dyDescent="0.3">
      <c r="A1" t="s">
        <v>68</v>
      </c>
      <c r="L1" t="s">
        <v>89</v>
      </c>
      <c r="P1" t="s">
        <v>48</v>
      </c>
    </row>
    <row r="2" spans="1:17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20</v>
      </c>
      <c r="I2" t="s">
        <v>21</v>
      </c>
      <c r="J2" t="s">
        <v>19</v>
      </c>
      <c r="L2" t="s">
        <v>90</v>
      </c>
      <c r="P2" t="s">
        <v>73</v>
      </c>
      <c r="Q2">
        <v>3</v>
      </c>
    </row>
    <row r="3" spans="1:17" x14ac:dyDescent="0.3">
      <c r="A3" s="4" t="s">
        <v>0</v>
      </c>
      <c r="B3" t="s">
        <v>73</v>
      </c>
      <c r="C3" s="3">
        <v>54</v>
      </c>
      <c r="D3">
        <v>30</v>
      </c>
      <c r="E3">
        <v>15</v>
      </c>
      <c r="F3">
        <v>9</v>
      </c>
      <c r="G3">
        <f>D3-E3-F3</f>
        <v>6</v>
      </c>
      <c r="H3">
        <v>52</v>
      </c>
      <c r="I3">
        <v>32</v>
      </c>
      <c r="J3">
        <f>H3-I3</f>
        <v>20</v>
      </c>
      <c r="L3" t="s">
        <v>74</v>
      </c>
      <c r="M3" t="s">
        <v>41</v>
      </c>
      <c r="N3" t="s">
        <v>81</v>
      </c>
      <c r="P3" t="s">
        <v>77</v>
      </c>
      <c r="Q3">
        <v>1</v>
      </c>
    </row>
    <row r="4" spans="1:17" x14ac:dyDescent="0.3">
      <c r="A4" s="1" t="s">
        <v>1</v>
      </c>
      <c r="B4" t="s">
        <v>74</v>
      </c>
      <c r="C4" s="3">
        <v>50</v>
      </c>
      <c r="D4">
        <v>30</v>
      </c>
      <c r="E4">
        <v>14</v>
      </c>
      <c r="F4">
        <v>8</v>
      </c>
      <c r="G4">
        <f t="shared" ref="G4:G18" si="0">D4-E4-F4</f>
        <v>8</v>
      </c>
      <c r="H4">
        <v>48</v>
      </c>
      <c r="I4">
        <v>34</v>
      </c>
      <c r="J4">
        <f t="shared" ref="J4:J18" si="1">H4-I4</f>
        <v>14</v>
      </c>
      <c r="L4" t="s">
        <v>77</v>
      </c>
      <c r="M4" t="s">
        <v>91</v>
      </c>
      <c r="N4" t="s">
        <v>73</v>
      </c>
    </row>
    <row r="5" spans="1:17" x14ac:dyDescent="0.3">
      <c r="A5" s="1" t="s">
        <v>2</v>
      </c>
      <c r="B5" t="s">
        <v>75</v>
      </c>
      <c r="C5" s="3">
        <v>49</v>
      </c>
      <c r="D5">
        <v>30</v>
      </c>
      <c r="E5">
        <v>13</v>
      </c>
      <c r="F5">
        <v>10</v>
      </c>
      <c r="G5">
        <f t="shared" si="0"/>
        <v>7</v>
      </c>
      <c r="H5">
        <v>45</v>
      </c>
      <c r="I5">
        <v>37</v>
      </c>
      <c r="J5">
        <f t="shared" si="1"/>
        <v>8</v>
      </c>
      <c r="L5" t="s">
        <v>83</v>
      </c>
      <c r="M5" t="s">
        <v>44</v>
      </c>
      <c r="N5" t="s">
        <v>86</v>
      </c>
    </row>
    <row r="6" spans="1:17" x14ac:dyDescent="0.3">
      <c r="A6" t="s">
        <v>3</v>
      </c>
      <c r="B6" t="s">
        <v>76</v>
      </c>
      <c r="C6" s="3">
        <v>48</v>
      </c>
      <c r="D6">
        <v>30</v>
      </c>
      <c r="E6">
        <v>15</v>
      </c>
      <c r="F6">
        <v>3</v>
      </c>
      <c r="G6">
        <f t="shared" si="0"/>
        <v>12</v>
      </c>
      <c r="H6">
        <v>46</v>
      </c>
      <c r="I6">
        <v>38</v>
      </c>
      <c r="J6">
        <f t="shared" si="1"/>
        <v>8</v>
      </c>
      <c r="L6" t="s">
        <v>79</v>
      </c>
      <c r="M6" t="s">
        <v>44</v>
      </c>
      <c r="N6" t="s">
        <v>78</v>
      </c>
    </row>
    <row r="7" spans="1:17" x14ac:dyDescent="0.3">
      <c r="A7" s="1" t="s">
        <v>4</v>
      </c>
      <c r="B7" t="s">
        <v>77</v>
      </c>
      <c r="C7" s="3">
        <v>47</v>
      </c>
      <c r="D7">
        <v>30</v>
      </c>
      <c r="E7">
        <v>14</v>
      </c>
      <c r="F7">
        <v>5</v>
      </c>
      <c r="G7">
        <f t="shared" si="0"/>
        <v>11</v>
      </c>
      <c r="H7">
        <v>46</v>
      </c>
      <c r="I7">
        <v>35</v>
      </c>
      <c r="J7">
        <f t="shared" si="1"/>
        <v>11</v>
      </c>
      <c r="L7" t="s">
        <v>87</v>
      </c>
      <c r="M7" t="s">
        <v>42</v>
      </c>
      <c r="N7" t="s">
        <v>76</v>
      </c>
    </row>
    <row r="8" spans="1:17" x14ac:dyDescent="0.3">
      <c r="A8" t="s">
        <v>5</v>
      </c>
      <c r="B8" t="s">
        <v>78</v>
      </c>
      <c r="C8" s="3">
        <v>44</v>
      </c>
      <c r="D8">
        <v>30</v>
      </c>
      <c r="E8">
        <v>14</v>
      </c>
      <c r="F8">
        <v>2</v>
      </c>
      <c r="G8">
        <f t="shared" si="0"/>
        <v>14</v>
      </c>
      <c r="H8">
        <v>51</v>
      </c>
      <c r="I8">
        <v>50</v>
      </c>
      <c r="J8">
        <f t="shared" si="1"/>
        <v>1</v>
      </c>
      <c r="L8" t="s">
        <v>88</v>
      </c>
      <c r="M8" t="s">
        <v>92</v>
      </c>
      <c r="N8" t="s">
        <v>80</v>
      </c>
    </row>
    <row r="9" spans="1:17" x14ac:dyDescent="0.3">
      <c r="A9" t="s">
        <v>6</v>
      </c>
      <c r="B9" t="s">
        <v>79</v>
      </c>
      <c r="C9" s="3">
        <v>43</v>
      </c>
      <c r="D9">
        <v>30</v>
      </c>
      <c r="E9">
        <v>11</v>
      </c>
      <c r="F9">
        <v>10</v>
      </c>
      <c r="G9">
        <f t="shared" si="0"/>
        <v>9</v>
      </c>
      <c r="H9">
        <v>38</v>
      </c>
      <c r="I9">
        <v>41</v>
      </c>
      <c r="J9">
        <f t="shared" si="1"/>
        <v>-3</v>
      </c>
      <c r="L9" t="s">
        <v>75</v>
      </c>
      <c r="M9" t="s">
        <v>38</v>
      </c>
      <c r="N9" t="s">
        <v>84</v>
      </c>
    </row>
    <row r="10" spans="1:17" x14ac:dyDescent="0.3">
      <c r="A10" t="s">
        <v>7</v>
      </c>
      <c r="B10" t="s">
        <v>80</v>
      </c>
      <c r="C10" s="3">
        <v>41</v>
      </c>
      <c r="D10">
        <v>30</v>
      </c>
      <c r="E10">
        <v>11</v>
      </c>
      <c r="F10">
        <v>8</v>
      </c>
      <c r="G10">
        <f t="shared" si="0"/>
        <v>11</v>
      </c>
      <c r="H10">
        <v>40</v>
      </c>
      <c r="I10">
        <v>37</v>
      </c>
      <c r="J10">
        <f t="shared" si="1"/>
        <v>3</v>
      </c>
      <c r="L10" t="s">
        <v>85</v>
      </c>
      <c r="M10" t="s">
        <v>42</v>
      </c>
      <c r="N10" t="s">
        <v>82</v>
      </c>
    </row>
    <row r="11" spans="1:17" x14ac:dyDescent="0.3">
      <c r="A11" t="s">
        <v>8</v>
      </c>
      <c r="B11" t="s">
        <v>81</v>
      </c>
      <c r="C11" s="3">
        <v>40</v>
      </c>
      <c r="D11">
        <v>30</v>
      </c>
      <c r="E11">
        <v>10</v>
      </c>
      <c r="F11">
        <v>10</v>
      </c>
      <c r="G11">
        <f t="shared" si="0"/>
        <v>10</v>
      </c>
      <c r="H11">
        <v>40</v>
      </c>
      <c r="I11">
        <v>44</v>
      </c>
      <c r="J11">
        <f t="shared" si="1"/>
        <v>-4</v>
      </c>
    </row>
    <row r="12" spans="1:17" x14ac:dyDescent="0.3">
      <c r="A12" t="s">
        <v>9</v>
      </c>
      <c r="B12" t="s">
        <v>82</v>
      </c>
      <c r="C12" s="3">
        <v>37</v>
      </c>
      <c r="D12">
        <v>30</v>
      </c>
      <c r="E12">
        <v>10</v>
      </c>
      <c r="F12">
        <v>7</v>
      </c>
      <c r="G12">
        <f t="shared" si="0"/>
        <v>13</v>
      </c>
      <c r="H12">
        <v>46</v>
      </c>
      <c r="I12">
        <v>46</v>
      </c>
      <c r="J12">
        <f t="shared" si="1"/>
        <v>0</v>
      </c>
      <c r="L12" t="s">
        <v>39</v>
      </c>
    </row>
    <row r="13" spans="1:17" x14ac:dyDescent="0.3">
      <c r="A13" t="s">
        <v>10</v>
      </c>
      <c r="B13" t="s">
        <v>83</v>
      </c>
      <c r="C13" s="3">
        <v>37</v>
      </c>
      <c r="D13">
        <v>30</v>
      </c>
      <c r="E13">
        <v>8</v>
      </c>
      <c r="F13">
        <v>13</v>
      </c>
      <c r="G13">
        <f t="shared" si="0"/>
        <v>9</v>
      </c>
      <c r="H13">
        <v>39</v>
      </c>
      <c r="I13">
        <v>42</v>
      </c>
      <c r="J13">
        <f t="shared" si="1"/>
        <v>-3</v>
      </c>
      <c r="L13" t="s">
        <v>77</v>
      </c>
      <c r="M13" t="s">
        <v>42</v>
      </c>
      <c r="N13" t="s">
        <v>81</v>
      </c>
    </row>
    <row r="14" spans="1:17" x14ac:dyDescent="0.3">
      <c r="A14" t="s">
        <v>11</v>
      </c>
      <c r="B14" t="s">
        <v>84</v>
      </c>
      <c r="C14" s="3">
        <v>36</v>
      </c>
      <c r="D14">
        <v>30</v>
      </c>
      <c r="E14">
        <v>10</v>
      </c>
      <c r="F14">
        <v>6</v>
      </c>
      <c r="G14">
        <f t="shared" si="0"/>
        <v>14</v>
      </c>
      <c r="H14">
        <v>40</v>
      </c>
      <c r="I14">
        <v>50</v>
      </c>
      <c r="J14">
        <f t="shared" si="1"/>
        <v>-10</v>
      </c>
      <c r="L14" t="s">
        <v>79</v>
      </c>
      <c r="M14" t="s">
        <v>43</v>
      </c>
      <c r="N14" t="s">
        <v>83</v>
      </c>
    </row>
    <row r="15" spans="1:17" x14ac:dyDescent="0.3">
      <c r="A15" t="s">
        <v>69</v>
      </c>
      <c r="B15" t="s">
        <v>85</v>
      </c>
      <c r="C15" s="3">
        <v>34</v>
      </c>
      <c r="D15">
        <v>30</v>
      </c>
      <c r="E15">
        <v>9</v>
      </c>
      <c r="F15">
        <v>7</v>
      </c>
      <c r="G15">
        <f t="shared" si="0"/>
        <v>14</v>
      </c>
      <c r="H15">
        <v>40</v>
      </c>
      <c r="I15">
        <v>49</v>
      </c>
      <c r="J15">
        <f t="shared" si="1"/>
        <v>-9</v>
      </c>
      <c r="L15" t="s">
        <v>87</v>
      </c>
      <c r="M15" t="s">
        <v>93</v>
      </c>
      <c r="N15" t="s">
        <v>88</v>
      </c>
    </row>
    <row r="16" spans="1:17" x14ac:dyDescent="0.3">
      <c r="A16" t="s">
        <v>70</v>
      </c>
      <c r="B16" t="s">
        <v>86</v>
      </c>
      <c r="C16" s="3">
        <v>34</v>
      </c>
      <c r="D16">
        <v>30</v>
      </c>
      <c r="E16">
        <v>9</v>
      </c>
      <c r="F16">
        <v>7</v>
      </c>
      <c r="G16">
        <f t="shared" si="0"/>
        <v>14</v>
      </c>
      <c r="H16">
        <v>46</v>
      </c>
      <c r="I16">
        <v>57</v>
      </c>
      <c r="J16">
        <f t="shared" si="1"/>
        <v>-11</v>
      </c>
      <c r="L16" t="s">
        <v>84</v>
      </c>
      <c r="M16" t="s">
        <v>37</v>
      </c>
      <c r="N16" t="s">
        <v>85</v>
      </c>
    </row>
    <row r="17" spans="1:14" x14ac:dyDescent="0.3">
      <c r="A17" t="s">
        <v>71</v>
      </c>
      <c r="B17" t="s">
        <v>87</v>
      </c>
      <c r="C17" s="3">
        <v>34</v>
      </c>
      <c r="D17">
        <v>30</v>
      </c>
      <c r="E17">
        <v>10</v>
      </c>
      <c r="F17">
        <v>4</v>
      </c>
      <c r="G17">
        <f t="shared" si="0"/>
        <v>16</v>
      </c>
      <c r="H17">
        <v>34</v>
      </c>
      <c r="I17">
        <v>52</v>
      </c>
      <c r="J17">
        <f t="shared" si="1"/>
        <v>-18</v>
      </c>
    </row>
    <row r="18" spans="1:14" x14ac:dyDescent="0.3">
      <c r="A18" t="s">
        <v>72</v>
      </c>
      <c r="B18" t="s">
        <v>88</v>
      </c>
      <c r="C18" s="3">
        <v>32</v>
      </c>
      <c r="D18">
        <v>30</v>
      </c>
      <c r="E18">
        <v>7</v>
      </c>
      <c r="F18">
        <v>11</v>
      </c>
      <c r="G18">
        <f t="shared" si="0"/>
        <v>12</v>
      </c>
      <c r="H18">
        <v>39</v>
      </c>
      <c r="I18">
        <v>46</v>
      </c>
      <c r="J18">
        <f t="shared" si="1"/>
        <v>-7</v>
      </c>
      <c r="L18" t="s">
        <v>40</v>
      </c>
    </row>
    <row r="19" spans="1:14" x14ac:dyDescent="0.3">
      <c r="L19" t="s">
        <v>77</v>
      </c>
      <c r="M19" t="s">
        <v>94</v>
      </c>
      <c r="N19" t="s">
        <v>79</v>
      </c>
    </row>
    <row r="20" spans="1:14" x14ac:dyDescent="0.3">
      <c r="L20" t="s">
        <v>87</v>
      </c>
      <c r="M20" t="s">
        <v>95</v>
      </c>
      <c r="N20" t="s">
        <v>84</v>
      </c>
    </row>
    <row r="22" spans="1:14" x14ac:dyDescent="0.3">
      <c r="L22" t="s">
        <v>46</v>
      </c>
    </row>
    <row r="23" spans="1:14" x14ac:dyDescent="0.3">
      <c r="L23" t="s">
        <v>84</v>
      </c>
      <c r="M23" t="s">
        <v>41</v>
      </c>
      <c r="N23" t="s">
        <v>77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E7CA1-48D1-43CC-85D5-A6DC3F4EA403}">
  <dimension ref="A1:U9"/>
  <sheetViews>
    <sheetView workbookViewId="0">
      <selection activeCell="A2" sqref="A2:J9"/>
    </sheetView>
  </sheetViews>
  <sheetFormatPr defaultRowHeight="14.4" x14ac:dyDescent="0.3"/>
  <sheetData>
    <row r="1" spans="1:21" x14ac:dyDescent="0.3">
      <c r="A1" t="s">
        <v>452</v>
      </c>
      <c r="L1" t="s">
        <v>459</v>
      </c>
      <c r="T1" t="s">
        <v>48</v>
      </c>
    </row>
    <row r="2" spans="1:21" x14ac:dyDescent="0.3">
      <c r="A2" t="s">
        <v>34</v>
      </c>
      <c r="L2" t="s">
        <v>40</v>
      </c>
      <c r="T2" t="s">
        <v>453</v>
      </c>
      <c r="U2">
        <v>22</v>
      </c>
    </row>
    <row r="3" spans="1:21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20</v>
      </c>
      <c r="I3" t="s">
        <v>21</v>
      </c>
      <c r="J3" t="s">
        <v>19</v>
      </c>
      <c r="L3" t="s">
        <v>460</v>
      </c>
      <c r="M3" t="s">
        <v>461</v>
      </c>
      <c r="N3" t="s">
        <v>456</v>
      </c>
      <c r="P3" t="s">
        <v>456</v>
      </c>
      <c r="Q3" t="s">
        <v>172</v>
      </c>
      <c r="R3" t="s">
        <v>460</v>
      </c>
      <c r="T3" t="s">
        <v>457</v>
      </c>
      <c r="U3">
        <v>22</v>
      </c>
    </row>
    <row r="4" spans="1:21" x14ac:dyDescent="0.3">
      <c r="A4" s="4" t="s">
        <v>0</v>
      </c>
      <c r="B4" t="s">
        <v>453</v>
      </c>
      <c r="C4" s="3">
        <f t="shared" ref="C4:C9" si="0">E4*3+F4</f>
        <v>73</v>
      </c>
      <c r="D4">
        <v>36</v>
      </c>
      <c r="E4">
        <v>22</v>
      </c>
      <c r="F4">
        <v>7</v>
      </c>
      <c r="G4">
        <f t="shared" ref="G4:G9" si="1">D4-E4-F4</f>
        <v>7</v>
      </c>
      <c r="H4">
        <v>77</v>
      </c>
      <c r="I4">
        <v>30</v>
      </c>
      <c r="J4">
        <f t="shared" ref="J4:J9" si="2">H4-I4</f>
        <v>47</v>
      </c>
      <c r="L4" t="s">
        <v>455</v>
      </c>
      <c r="M4" t="s">
        <v>42</v>
      </c>
      <c r="N4" t="s">
        <v>457</v>
      </c>
      <c r="P4" t="s">
        <v>457</v>
      </c>
      <c r="Q4" t="s">
        <v>462</v>
      </c>
      <c r="R4" t="s">
        <v>455</v>
      </c>
    </row>
    <row r="5" spans="1:21" x14ac:dyDescent="0.3">
      <c r="A5" s="1" t="s">
        <v>1</v>
      </c>
      <c r="B5" t="s">
        <v>455</v>
      </c>
      <c r="C5" s="3">
        <f t="shared" si="0"/>
        <v>66</v>
      </c>
      <c r="D5">
        <v>36</v>
      </c>
      <c r="E5">
        <v>18</v>
      </c>
      <c r="F5">
        <v>12</v>
      </c>
      <c r="G5">
        <f t="shared" si="1"/>
        <v>6</v>
      </c>
      <c r="H5">
        <v>52</v>
      </c>
      <c r="I5">
        <v>36</v>
      </c>
      <c r="J5">
        <f t="shared" si="2"/>
        <v>16</v>
      </c>
    </row>
    <row r="6" spans="1:21" x14ac:dyDescent="0.3">
      <c r="A6" s="1" t="s">
        <v>2</v>
      </c>
      <c r="B6" t="s">
        <v>454</v>
      </c>
      <c r="C6" s="3">
        <f t="shared" si="0"/>
        <v>64</v>
      </c>
      <c r="D6">
        <v>36</v>
      </c>
      <c r="E6">
        <v>19</v>
      </c>
      <c r="F6">
        <v>7</v>
      </c>
      <c r="G6">
        <f t="shared" si="1"/>
        <v>10</v>
      </c>
      <c r="H6">
        <v>57</v>
      </c>
      <c r="I6">
        <v>37</v>
      </c>
      <c r="J6">
        <f t="shared" si="2"/>
        <v>20</v>
      </c>
      <c r="L6" t="s">
        <v>46</v>
      </c>
    </row>
    <row r="7" spans="1:21" x14ac:dyDescent="0.3">
      <c r="A7" t="s">
        <v>3</v>
      </c>
      <c r="B7" t="s">
        <v>456</v>
      </c>
      <c r="C7" s="3">
        <f t="shared" si="0"/>
        <v>62</v>
      </c>
      <c r="D7">
        <v>36</v>
      </c>
      <c r="E7">
        <v>19</v>
      </c>
      <c r="F7">
        <v>5</v>
      </c>
      <c r="G7">
        <f t="shared" si="1"/>
        <v>12</v>
      </c>
      <c r="H7">
        <v>62</v>
      </c>
      <c r="I7">
        <v>34</v>
      </c>
      <c r="J7">
        <f t="shared" si="2"/>
        <v>28</v>
      </c>
      <c r="L7" t="s">
        <v>456</v>
      </c>
      <c r="M7" t="s">
        <v>38</v>
      </c>
      <c r="N7" t="s">
        <v>457</v>
      </c>
    </row>
    <row r="8" spans="1:21" x14ac:dyDescent="0.3">
      <c r="A8" s="5" t="s">
        <v>4</v>
      </c>
      <c r="B8" t="s">
        <v>457</v>
      </c>
      <c r="C8" s="3">
        <f t="shared" si="0"/>
        <v>62</v>
      </c>
      <c r="D8">
        <v>36</v>
      </c>
      <c r="E8">
        <v>18</v>
      </c>
      <c r="F8">
        <v>8</v>
      </c>
      <c r="G8">
        <f t="shared" si="1"/>
        <v>10</v>
      </c>
      <c r="H8">
        <v>68</v>
      </c>
      <c r="I8">
        <v>46</v>
      </c>
      <c r="J8">
        <f t="shared" si="2"/>
        <v>22</v>
      </c>
    </row>
    <row r="9" spans="1:21" x14ac:dyDescent="0.3">
      <c r="A9" t="s">
        <v>5</v>
      </c>
      <c r="B9" t="s">
        <v>458</v>
      </c>
      <c r="C9" s="3">
        <f t="shared" si="0"/>
        <v>59</v>
      </c>
      <c r="D9">
        <v>36</v>
      </c>
      <c r="E9">
        <v>16</v>
      </c>
      <c r="F9">
        <v>11</v>
      </c>
      <c r="G9">
        <f t="shared" si="1"/>
        <v>9</v>
      </c>
      <c r="H9">
        <v>61</v>
      </c>
      <c r="I9">
        <v>38</v>
      </c>
      <c r="J9">
        <f t="shared" si="2"/>
        <v>23</v>
      </c>
    </row>
  </sheetData>
  <sortState xmlns:xlrd2="http://schemas.microsoft.com/office/spreadsheetml/2017/richdata2" ref="B4:J9">
    <sortCondition descending="1" ref="C4:C9"/>
  </sortState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AAD9D-5E64-428A-9B0D-F88DFEAFB205}">
  <dimension ref="A1:U12"/>
  <sheetViews>
    <sheetView workbookViewId="0">
      <selection activeCell="U4" sqref="U4"/>
    </sheetView>
  </sheetViews>
  <sheetFormatPr defaultRowHeight="14.4" x14ac:dyDescent="0.3"/>
  <sheetData>
    <row r="1" spans="1:21" x14ac:dyDescent="0.3">
      <c r="A1" t="s">
        <v>463</v>
      </c>
      <c r="L1" t="s">
        <v>474</v>
      </c>
      <c r="T1" t="s">
        <v>48</v>
      </c>
    </row>
    <row r="2" spans="1:21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20</v>
      </c>
      <c r="I2" t="s">
        <v>21</v>
      </c>
      <c r="J2" t="s">
        <v>19</v>
      </c>
      <c r="L2" t="s">
        <v>40</v>
      </c>
      <c r="T2" t="s">
        <v>464</v>
      </c>
      <c r="U2">
        <v>26</v>
      </c>
    </row>
    <row r="3" spans="1:21" x14ac:dyDescent="0.3">
      <c r="A3" s="4" t="s">
        <v>0</v>
      </c>
      <c r="B3" t="s">
        <v>464</v>
      </c>
      <c r="C3" s="3">
        <f t="shared" ref="C3:C12" si="0">E3*3+F3</f>
        <v>69</v>
      </c>
      <c r="D3">
        <v>36</v>
      </c>
      <c r="E3">
        <v>21</v>
      </c>
      <c r="F3">
        <v>6</v>
      </c>
      <c r="G3">
        <f>D3-E3-F3</f>
        <v>9</v>
      </c>
      <c r="H3">
        <v>78</v>
      </c>
      <c r="I3">
        <v>39</v>
      </c>
      <c r="J3">
        <f>H3-I3</f>
        <v>39</v>
      </c>
      <c r="L3" t="s">
        <v>469</v>
      </c>
      <c r="M3" t="s">
        <v>43</v>
      </c>
      <c r="N3" t="s">
        <v>466</v>
      </c>
      <c r="T3" t="s">
        <v>464</v>
      </c>
      <c r="U3">
        <v>17</v>
      </c>
    </row>
    <row r="4" spans="1:21" x14ac:dyDescent="0.3">
      <c r="A4" s="5" t="s">
        <v>1</v>
      </c>
      <c r="B4" t="s">
        <v>465</v>
      </c>
      <c r="C4" s="3">
        <f t="shared" si="0"/>
        <v>69</v>
      </c>
      <c r="D4">
        <v>36</v>
      </c>
      <c r="E4">
        <v>21</v>
      </c>
      <c r="F4">
        <v>6</v>
      </c>
      <c r="G4">
        <f t="shared" ref="G4:G12" si="1">D4-E4-F4</f>
        <v>9</v>
      </c>
      <c r="H4">
        <v>62</v>
      </c>
      <c r="I4">
        <v>38</v>
      </c>
      <c r="J4">
        <f t="shared" ref="J4:J12" si="2">H4-I4</f>
        <v>24</v>
      </c>
      <c r="L4" t="s">
        <v>471</v>
      </c>
      <c r="M4" t="s">
        <v>38</v>
      </c>
      <c r="N4" t="s">
        <v>464</v>
      </c>
    </row>
    <row r="5" spans="1:21" x14ac:dyDescent="0.3">
      <c r="A5" s="1" t="s">
        <v>2</v>
      </c>
      <c r="B5" t="s">
        <v>466</v>
      </c>
      <c r="C5" s="3">
        <f t="shared" si="0"/>
        <v>53</v>
      </c>
      <c r="D5">
        <v>36</v>
      </c>
      <c r="E5">
        <v>14</v>
      </c>
      <c r="F5">
        <v>11</v>
      </c>
      <c r="G5">
        <f t="shared" si="1"/>
        <v>11</v>
      </c>
      <c r="H5">
        <v>51</v>
      </c>
      <c r="I5">
        <v>51</v>
      </c>
      <c r="J5">
        <f t="shared" si="2"/>
        <v>0</v>
      </c>
    </row>
    <row r="6" spans="1:21" x14ac:dyDescent="0.3">
      <c r="A6" s="1" t="s">
        <v>3</v>
      </c>
      <c r="B6" t="s">
        <v>467</v>
      </c>
      <c r="C6" s="3">
        <f t="shared" si="0"/>
        <v>53</v>
      </c>
      <c r="D6">
        <v>36</v>
      </c>
      <c r="E6">
        <v>15</v>
      </c>
      <c r="F6">
        <v>8</v>
      </c>
      <c r="G6">
        <f t="shared" si="1"/>
        <v>13</v>
      </c>
      <c r="H6">
        <v>47</v>
      </c>
      <c r="I6">
        <v>49</v>
      </c>
      <c r="J6">
        <f t="shared" si="2"/>
        <v>-2</v>
      </c>
      <c r="L6" t="s">
        <v>46</v>
      </c>
    </row>
    <row r="7" spans="1:21" x14ac:dyDescent="0.3">
      <c r="A7" t="s">
        <v>4</v>
      </c>
      <c r="B7" t="s">
        <v>468</v>
      </c>
      <c r="C7" s="3">
        <f t="shared" si="0"/>
        <v>52</v>
      </c>
      <c r="D7">
        <v>36</v>
      </c>
      <c r="E7">
        <v>14</v>
      </c>
      <c r="F7">
        <v>10</v>
      </c>
      <c r="G7">
        <f t="shared" si="1"/>
        <v>12</v>
      </c>
      <c r="H7">
        <v>49</v>
      </c>
      <c r="I7">
        <v>49</v>
      </c>
      <c r="J7">
        <f t="shared" si="2"/>
        <v>0</v>
      </c>
      <c r="L7" t="s">
        <v>469</v>
      </c>
      <c r="M7" t="s">
        <v>204</v>
      </c>
      <c r="N7" t="s">
        <v>464</v>
      </c>
      <c r="P7" t="s">
        <v>464</v>
      </c>
      <c r="Q7" t="s">
        <v>43</v>
      </c>
      <c r="R7" t="s">
        <v>469</v>
      </c>
    </row>
    <row r="8" spans="1:21" x14ac:dyDescent="0.3">
      <c r="A8" t="s">
        <v>5</v>
      </c>
      <c r="B8" t="s">
        <v>469</v>
      </c>
      <c r="C8" s="3">
        <f t="shared" si="0"/>
        <v>50</v>
      </c>
      <c r="D8">
        <v>36</v>
      </c>
      <c r="E8">
        <v>13</v>
      </c>
      <c r="F8">
        <v>11</v>
      </c>
      <c r="G8">
        <f t="shared" si="1"/>
        <v>12</v>
      </c>
      <c r="H8">
        <v>54</v>
      </c>
      <c r="I8">
        <v>47</v>
      </c>
      <c r="J8">
        <f t="shared" si="2"/>
        <v>7</v>
      </c>
    </row>
    <row r="9" spans="1:21" x14ac:dyDescent="0.3">
      <c r="A9" t="s">
        <v>6</v>
      </c>
      <c r="B9" t="s">
        <v>470</v>
      </c>
      <c r="C9" s="3">
        <f t="shared" si="0"/>
        <v>42</v>
      </c>
      <c r="D9">
        <v>36</v>
      </c>
      <c r="E9">
        <v>10</v>
      </c>
      <c r="F9">
        <v>12</v>
      </c>
      <c r="G9">
        <f t="shared" si="1"/>
        <v>14</v>
      </c>
      <c r="H9">
        <v>49</v>
      </c>
      <c r="I9">
        <v>62</v>
      </c>
      <c r="J9">
        <f t="shared" si="2"/>
        <v>-13</v>
      </c>
    </row>
    <row r="10" spans="1:21" x14ac:dyDescent="0.3">
      <c r="A10" t="s">
        <v>7</v>
      </c>
      <c r="B10" t="s">
        <v>471</v>
      </c>
      <c r="C10" s="3">
        <f t="shared" si="0"/>
        <v>40</v>
      </c>
      <c r="D10">
        <v>36</v>
      </c>
      <c r="E10">
        <v>11</v>
      </c>
      <c r="F10">
        <v>7</v>
      </c>
      <c r="G10">
        <f t="shared" si="1"/>
        <v>18</v>
      </c>
      <c r="H10">
        <v>49</v>
      </c>
      <c r="I10">
        <v>55</v>
      </c>
      <c r="J10">
        <f t="shared" si="2"/>
        <v>-6</v>
      </c>
    </row>
    <row r="11" spans="1:21" x14ac:dyDescent="0.3">
      <c r="A11" t="s">
        <v>8</v>
      </c>
      <c r="B11" t="s">
        <v>472</v>
      </c>
      <c r="C11" s="3">
        <f t="shared" si="0"/>
        <v>35</v>
      </c>
      <c r="D11">
        <v>36</v>
      </c>
      <c r="E11">
        <v>9</v>
      </c>
      <c r="F11">
        <v>8</v>
      </c>
      <c r="G11">
        <f t="shared" si="1"/>
        <v>19</v>
      </c>
      <c r="H11">
        <v>39</v>
      </c>
      <c r="I11">
        <v>65</v>
      </c>
      <c r="J11">
        <f t="shared" si="2"/>
        <v>-26</v>
      </c>
    </row>
    <row r="12" spans="1:21" x14ac:dyDescent="0.3">
      <c r="A12" t="s">
        <v>9</v>
      </c>
      <c r="B12" t="s">
        <v>473</v>
      </c>
      <c r="C12" s="3">
        <f t="shared" si="0"/>
        <v>31</v>
      </c>
      <c r="D12">
        <v>36</v>
      </c>
      <c r="E12">
        <v>6</v>
      </c>
      <c r="F12">
        <v>13</v>
      </c>
      <c r="G12">
        <f t="shared" si="1"/>
        <v>17</v>
      </c>
      <c r="H12">
        <v>33</v>
      </c>
      <c r="I12">
        <v>56</v>
      </c>
      <c r="J12">
        <f t="shared" si="2"/>
        <v>-23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9041D-2BF8-4196-A5B4-F7216F1EBDFA}">
  <dimension ref="A1:Q21"/>
  <sheetViews>
    <sheetView workbookViewId="0">
      <selection activeCell="A3" sqref="A3:J9"/>
    </sheetView>
  </sheetViews>
  <sheetFormatPr defaultRowHeight="14.4" x14ac:dyDescent="0.3"/>
  <sheetData>
    <row r="1" spans="1:17" x14ac:dyDescent="0.3">
      <c r="A1" t="s">
        <v>475</v>
      </c>
      <c r="L1" t="s">
        <v>488</v>
      </c>
      <c r="P1" t="s">
        <v>48</v>
      </c>
    </row>
    <row r="2" spans="1:17" x14ac:dyDescent="0.3">
      <c r="A2" t="s">
        <v>34</v>
      </c>
      <c r="L2" t="s">
        <v>46</v>
      </c>
      <c r="P2" t="s">
        <v>476</v>
      </c>
      <c r="Q2">
        <v>6</v>
      </c>
    </row>
    <row r="3" spans="1:17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20</v>
      </c>
      <c r="I3" t="s">
        <v>21</v>
      </c>
      <c r="J3" t="s">
        <v>19</v>
      </c>
      <c r="L3" t="s">
        <v>482</v>
      </c>
      <c r="M3" t="s">
        <v>42</v>
      </c>
      <c r="N3" t="s">
        <v>477</v>
      </c>
      <c r="P3" t="s">
        <v>482</v>
      </c>
      <c r="Q3">
        <v>11</v>
      </c>
    </row>
    <row r="4" spans="1:17" x14ac:dyDescent="0.3">
      <c r="A4" s="4" t="s">
        <v>0</v>
      </c>
      <c r="B4" t="s">
        <v>476</v>
      </c>
      <c r="C4" s="3">
        <f t="shared" ref="C4:C9" si="0">E4*3+F4</f>
        <v>59</v>
      </c>
      <c r="D4">
        <v>32</v>
      </c>
      <c r="E4">
        <v>16</v>
      </c>
      <c r="F4">
        <v>11</v>
      </c>
      <c r="G4">
        <f t="shared" ref="G4:G9" si="1">D4-E4-F4</f>
        <v>5</v>
      </c>
      <c r="H4">
        <v>54</v>
      </c>
      <c r="I4">
        <v>35</v>
      </c>
      <c r="J4">
        <f t="shared" ref="J4:J9" si="2">H4-I4</f>
        <v>19</v>
      </c>
    </row>
    <row r="5" spans="1:17" x14ac:dyDescent="0.3">
      <c r="A5" s="1" t="s">
        <v>1</v>
      </c>
      <c r="B5" t="s">
        <v>477</v>
      </c>
      <c r="C5" s="3">
        <f t="shared" si="0"/>
        <v>58</v>
      </c>
      <c r="D5">
        <v>32</v>
      </c>
      <c r="E5">
        <v>16</v>
      </c>
      <c r="F5">
        <v>10</v>
      </c>
      <c r="G5">
        <f t="shared" si="1"/>
        <v>6</v>
      </c>
      <c r="H5">
        <v>69</v>
      </c>
      <c r="I5">
        <v>35</v>
      </c>
      <c r="J5">
        <f t="shared" si="2"/>
        <v>34</v>
      </c>
    </row>
    <row r="6" spans="1:17" x14ac:dyDescent="0.3">
      <c r="A6" s="1" t="s">
        <v>2</v>
      </c>
      <c r="B6" t="s">
        <v>480</v>
      </c>
      <c r="C6" s="3">
        <f t="shared" si="0"/>
        <v>54</v>
      </c>
      <c r="D6">
        <v>32</v>
      </c>
      <c r="E6">
        <v>17</v>
      </c>
      <c r="F6">
        <v>3</v>
      </c>
      <c r="G6">
        <f t="shared" si="1"/>
        <v>12</v>
      </c>
      <c r="H6">
        <v>57</v>
      </c>
      <c r="I6">
        <v>45</v>
      </c>
      <c r="J6">
        <f t="shared" si="2"/>
        <v>12</v>
      </c>
    </row>
    <row r="7" spans="1:17" x14ac:dyDescent="0.3">
      <c r="A7" t="s">
        <v>3</v>
      </c>
      <c r="B7" t="s">
        <v>481</v>
      </c>
      <c r="C7" s="3">
        <f t="shared" si="0"/>
        <v>48</v>
      </c>
      <c r="D7">
        <v>32</v>
      </c>
      <c r="E7">
        <v>13</v>
      </c>
      <c r="F7">
        <v>9</v>
      </c>
      <c r="G7">
        <f t="shared" si="1"/>
        <v>10</v>
      </c>
      <c r="H7">
        <v>41</v>
      </c>
      <c r="I7">
        <v>29</v>
      </c>
      <c r="J7">
        <f t="shared" si="2"/>
        <v>12</v>
      </c>
    </row>
    <row r="8" spans="1:17" x14ac:dyDescent="0.3">
      <c r="A8" t="s">
        <v>4</v>
      </c>
      <c r="B8" t="s">
        <v>478</v>
      </c>
      <c r="C8" s="3">
        <f t="shared" si="0"/>
        <v>46</v>
      </c>
      <c r="D8">
        <v>32</v>
      </c>
      <c r="E8">
        <v>12</v>
      </c>
      <c r="F8">
        <v>10</v>
      </c>
      <c r="G8">
        <f t="shared" si="1"/>
        <v>10</v>
      </c>
      <c r="H8">
        <v>41</v>
      </c>
      <c r="I8">
        <v>42</v>
      </c>
      <c r="J8">
        <f t="shared" si="2"/>
        <v>-1</v>
      </c>
    </row>
    <row r="9" spans="1:17" x14ac:dyDescent="0.3">
      <c r="A9" t="s">
        <v>5</v>
      </c>
      <c r="B9" t="s">
        <v>479</v>
      </c>
      <c r="C9" s="3">
        <f t="shared" si="0"/>
        <v>43</v>
      </c>
      <c r="D9">
        <v>32</v>
      </c>
      <c r="E9">
        <v>12</v>
      </c>
      <c r="F9">
        <v>7</v>
      </c>
      <c r="G9">
        <f t="shared" si="1"/>
        <v>13</v>
      </c>
      <c r="H9">
        <v>47</v>
      </c>
      <c r="I9">
        <v>50</v>
      </c>
      <c r="J9">
        <f t="shared" si="2"/>
        <v>-3</v>
      </c>
    </row>
    <row r="11" spans="1:17" x14ac:dyDescent="0.3">
      <c r="A11" t="s">
        <v>35</v>
      </c>
    </row>
    <row r="12" spans="1:17" x14ac:dyDescent="0.3">
      <c r="A12" t="s">
        <v>12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G12" t="s">
        <v>18</v>
      </c>
      <c r="H12" t="s">
        <v>20</v>
      </c>
      <c r="I12" t="s">
        <v>21</v>
      </c>
      <c r="J12" t="s">
        <v>19</v>
      </c>
    </row>
    <row r="13" spans="1:17" x14ac:dyDescent="0.3">
      <c r="A13" s="2" t="s">
        <v>0</v>
      </c>
      <c r="B13" t="s">
        <v>483</v>
      </c>
      <c r="C13" s="3">
        <f t="shared" ref="C13:C18" si="3">E13*3+F13</f>
        <v>45</v>
      </c>
      <c r="D13">
        <v>36</v>
      </c>
      <c r="E13">
        <v>12</v>
      </c>
      <c r="F13">
        <v>9</v>
      </c>
      <c r="G13">
        <f t="shared" ref="G13:G18" si="4">D13-E13-F13</f>
        <v>15</v>
      </c>
      <c r="H13">
        <v>57</v>
      </c>
      <c r="I13">
        <v>59</v>
      </c>
      <c r="J13">
        <f t="shared" ref="J13:J18" si="5">H13-I13</f>
        <v>-2</v>
      </c>
    </row>
    <row r="14" spans="1:17" x14ac:dyDescent="0.3">
      <c r="A14" t="s">
        <v>1</v>
      </c>
      <c r="B14" t="s">
        <v>485</v>
      </c>
      <c r="C14" s="3">
        <f t="shared" si="3"/>
        <v>44</v>
      </c>
      <c r="D14">
        <v>36</v>
      </c>
      <c r="E14">
        <v>13</v>
      </c>
      <c r="F14">
        <v>5</v>
      </c>
      <c r="G14">
        <f t="shared" si="4"/>
        <v>18</v>
      </c>
      <c r="H14">
        <v>47</v>
      </c>
      <c r="I14">
        <v>63</v>
      </c>
      <c r="J14">
        <f t="shared" si="5"/>
        <v>-16</v>
      </c>
    </row>
    <row r="15" spans="1:17" x14ac:dyDescent="0.3">
      <c r="A15" t="s">
        <v>2</v>
      </c>
      <c r="B15" t="s">
        <v>484</v>
      </c>
      <c r="C15" s="3">
        <f t="shared" si="3"/>
        <v>39</v>
      </c>
      <c r="D15">
        <v>36</v>
      </c>
      <c r="E15">
        <v>10</v>
      </c>
      <c r="F15">
        <v>9</v>
      </c>
      <c r="G15">
        <f t="shared" si="4"/>
        <v>17</v>
      </c>
      <c r="H15">
        <v>38</v>
      </c>
      <c r="I15">
        <v>44</v>
      </c>
      <c r="J15">
        <f t="shared" si="5"/>
        <v>-6</v>
      </c>
    </row>
    <row r="16" spans="1:17" x14ac:dyDescent="0.3">
      <c r="A16" s="5" t="s">
        <v>3</v>
      </c>
      <c r="B16" t="s">
        <v>482</v>
      </c>
      <c r="C16" s="3">
        <f t="shared" si="3"/>
        <v>38</v>
      </c>
      <c r="D16">
        <v>36</v>
      </c>
      <c r="E16">
        <v>10</v>
      </c>
      <c r="F16">
        <v>8</v>
      </c>
      <c r="G16">
        <f t="shared" si="4"/>
        <v>18</v>
      </c>
      <c r="H16">
        <v>52</v>
      </c>
      <c r="I16">
        <v>53</v>
      </c>
      <c r="J16">
        <f t="shared" si="5"/>
        <v>-1</v>
      </c>
    </row>
    <row r="17" spans="1:10" x14ac:dyDescent="0.3">
      <c r="A17" t="s">
        <v>4</v>
      </c>
      <c r="B17" t="s">
        <v>486</v>
      </c>
      <c r="C17" s="3">
        <f t="shared" si="3"/>
        <v>31</v>
      </c>
      <c r="D17">
        <v>36</v>
      </c>
      <c r="E17">
        <v>8</v>
      </c>
      <c r="F17">
        <v>7</v>
      </c>
      <c r="G17">
        <f t="shared" si="4"/>
        <v>21</v>
      </c>
      <c r="H17">
        <v>37</v>
      </c>
      <c r="I17">
        <v>62</v>
      </c>
      <c r="J17">
        <f t="shared" si="5"/>
        <v>-25</v>
      </c>
    </row>
    <row r="18" spans="1:10" x14ac:dyDescent="0.3">
      <c r="A18" t="s">
        <v>5</v>
      </c>
      <c r="B18" t="s">
        <v>487</v>
      </c>
      <c r="C18" s="3">
        <f t="shared" si="3"/>
        <v>23</v>
      </c>
      <c r="D18">
        <v>36</v>
      </c>
      <c r="E18">
        <v>5</v>
      </c>
      <c r="F18">
        <v>8</v>
      </c>
      <c r="G18">
        <f t="shared" si="4"/>
        <v>23</v>
      </c>
      <c r="H18">
        <v>39</v>
      </c>
      <c r="I18">
        <v>62</v>
      </c>
      <c r="J18">
        <f t="shared" si="5"/>
        <v>-23</v>
      </c>
    </row>
    <row r="20" spans="1:10" x14ac:dyDescent="0.3">
      <c r="A20" t="s">
        <v>350</v>
      </c>
    </row>
    <row r="21" spans="1:10" x14ac:dyDescent="0.3">
      <c r="A21" t="s">
        <v>480</v>
      </c>
      <c r="B21" t="s">
        <v>42</v>
      </c>
      <c r="C21" t="s">
        <v>483</v>
      </c>
    </row>
  </sheetData>
  <sortState xmlns:xlrd2="http://schemas.microsoft.com/office/spreadsheetml/2017/richdata2" ref="B13:J18">
    <sortCondition descending="1" ref="C13:C18"/>
  </sortState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DE46B-1CBA-4893-BCD7-E884319F8F71}">
  <dimension ref="A1:Q23"/>
  <sheetViews>
    <sheetView workbookViewId="0">
      <selection activeCell="A2" sqref="A2:J12"/>
    </sheetView>
  </sheetViews>
  <sheetFormatPr defaultRowHeight="14.4" x14ac:dyDescent="0.3"/>
  <sheetData>
    <row r="1" spans="1:17" x14ac:dyDescent="0.3">
      <c r="A1" t="s">
        <v>489</v>
      </c>
      <c r="L1" t="s">
        <v>502</v>
      </c>
      <c r="P1" t="s">
        <v>48</v>
      </c>
    </row>
    <row r="2" spans="1:17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20</v>
      </c>
      <c r="I2" t="s">
        <v>21</v>
      </c>
      <c r="J2" t="s">
        <v>19</v>
      </c>
      <c r="L2" t="s">
        <v>40</v>
      </c>
      <c r="P2" t="s">
        <v>490</v>
      </c>
      <c r="Q2">
        <v>5</v>
      </c>
    </row>
    <row r="3" spans="1:17" x14ac:dyDescent="0.3">
      <c r="A3" s="1" t="s">
        <v>0</v>
      </c>
      <c r="B3" t="s">
        <v>490</v>
      </c>
      <c r="C3" s="3">
        <f t="shared" ref="C3:C14" si="0">E3*3+F3</f>
        <v>69</v>
      </c>
      <c r="D3">
        <v>33</v>
      </c>
      <c r="E3">
        <v>21</v>
      </c>
      <c r="F3">
        <v>6</v>
      </c>
      <c r="G3">
        <f>D3-E3-F3</f>
        <v>6</v>
      </c>
      <c r="H3">
        <v>57</v>
      </c>
      <c r="I3">
        <v>29</v>
      </c>
      <c r="J3">
        <f>H3-I3</f>
        <v>28</v>
      </c>
      <c r="L3" t="s">
        <v>492</v>
      </c>
      <c r="M3" t="s">
        <v>38</v>
      </c>
      <c r="N3" t="s">
        <v>500</v>
      </c>
      <c r="P3" t="s">
        <v>500</v>
      </c>
      <c r="Q3">
        <v>4</v>
      </c>
    </row>
    <row r="4" spans="1:17" x14ac:dyDescent="0.3">
      <c r="A4" s="1" t="s">
        <v>1</v>
      </c>
      <c r="B4" t="s">
        <v>491</v>
      </c>
      <c r="C4" s="3">
        <f t="shared" si="0"/>
        <v>66</v>
      </c>
      <c r="D4">
        <v>33</v>
      </c>
      <c r="E4">
        <v>18</v>
      </c>
      <c r="F4">
        <v>12</v>
      </c>
      <c r="G4">
        <f t="shared" ref="G4:G14" si="1">D4-E4-F4</f>
        <v>3</v>
      </c>
      <c r="H4">
        <v>59</v>
      </c>
      <c r="I4">
        <v>28</v>
      </c>
      <c r="J4">
        <f t="shared" ref="J4:J14" si="2">H4-I4</f>
        <v>31</v>
      </c>
    </row>
    <row r="5" spans="1:17" x14ac:dyDescent="0.3">
      <c r="A5" s="1" t="s">
        <v>2</v>
      </c>
      <c r="B5" t="s">
        <v>492</v>
      </c>
      <c r="C5" s="3">
        <f t="shared" si="0"/>
        <v>61</v>
      </c>
      <c r="D5">
        <v>33</v>
      </c>
      <c r="E5">
        <v>19</v>
      </c>
      <c r="F5">
        <v>4</v>
      </c>
      <c r="G5">
        <f t="shared" si="1"/>
        <v>10</v>
      </c>
      <c r="H5">
        <v>57</v>
      </c>
      <c r="I5">
        <v>38</v>
      </c>
      <c r="J5">
        <f t="shared" si="2"/>
        <v>19</v>
      </c>
      <c r="L5" t="s">
        <v>46</v>
      </c>
    </row>
    <row r="6" spans="1:17" x14ac:dyDescent="0.3">
      <c r="A6" s="1" t="s">
        <v>3</v>
      </c>
      <c r="B6" t="s">
        <v>493</v>
      </c>
      <c r="C6" s="3">
        <f t="shared" si="0"/>
        <v>58</v>
      </c>
      <c r="D6">
        <v>33</v>
      </c>
      <c r="E6">
        <v>15</v>
      </c>
      <c r="F6">
        <v>13</v>
      </c>
      <c r="G6">
        <f t="shared" si="1"/>
        <v>5</v>
      </c>
      <c r="H6">
        <v>53</v>
      </c>
      <c r="I6">
        <v>26</v>
      </c>
      <c r="J6">
        <f t="shared" si="2"/>
        <v>27</v>
      </c>
      <c r="L6" t="s">
        <v>500</v>
      </c>
      <c r="M6" t="s">
        <v>44</v>
      </c>
      <c r="N6" t="s">
        <v>495</v>
      </c>
    </row>
    <row r="7" spans="1:17" x14ac:dyDescent="0.3">
      <c r="A7" s="1" t="s">
        <v>4</v>
      </c>
      <c r="B7" t="s">
        <v>494</v>
      </c>
      <c r="C7" s="3">
        <f t="shared" si="0"/>
        <v>48</v>
      </c>
      <c r="D7">
        <v>33</v>
      </c>
      <c r="E7">
        <v>12</v>
      </c>
      <c r="F7">
        <v>12</v>
      </c>
      <c r="G7">
        <f t="shared" si="1"/>
        <v>9</v>
      </c>
      <c r="H7">
        <v>48</v>
      </c>
      <c r="I7">
        <v>38</v>
      </c>
      <c r="J7">
        <f t="shared" si="2"/>
        <v>10</v>
      </c>
    </row>
    <row r="8" spans="1:17" x14ac:dyDescent="0.3">
      <c r="A8" s="1" t="s">
        <v>5</v>
      </c>
      <c r="B8" t="s">
        <v>495</v>
      </c>
      <c r="C8" s="3">
        <f t="shared" si="0"/>
        <v>44</v>
      </c>
      <c r="D8">
        <v>33</v>
      </c>
      <c r="E8">
        <v>12</v>
      </c>
      <c r="F8">
        <v>8</v>
      </c>
      <c r="G8">
        <f t="shared" si="1"/>
        <v>13</v>
      </c>
      <c r="H8">
        <v>42</v>
      </c>
      <c r="I8">
        <v>45</v>
      </c>
      <c r="J8">
        <f t="shared" si="2"/>
        <v>-3</v>
      </c>
    </row>
    <row r="9" spans="1:17" x14ac:dyDescent="0.3">
      <c r="A9" t="s">
        <v>6</v>
      </c>
      <c r="B9" t="s">
        <v>496</v>
      </c>
      <c r="C9" s="3">
        <f t="shared" si="0"/>
        <v>43</v>
      </c>
      <c r="D9">
        <v>33</v>
      </c>
      <c r="E9">
        <v>10</v>
      </c>
      <c r="F9">
        <v>13</v>
      </c>
      <c r="G9">
        <f t="shared" si="1"/>
        <v>10</v>
      </c>
      <c r="H9">
        <v>43</v>
      </c>
      <c r="I9">
        <v>48</v>
      </c>
      <c r="J9">
        <f t="shared" si="2"/>
        <v>-5</v>
      </c>
    </row>
    <row r="10" spans="1:17" x14ac:dyDescent="0.3">
      <c r="A10" t="s">
        <v>7</v>
      </c>
      <c r="B10" t="s">
        <v>497</v>
      </c>
      <c r="C10" s="3">
        <f t="shared" si="0"/>
        <v>36</v>
      </c>
      <c r="D10">
        <v>33</v>
      </c>
      <c r="E10">
        <v>10</v>
      </c>
      <c r="F10">
        <v>6</v>
      </c>
      <c r="G10">
        <f t="shared" si="1"/>
        <v>17</v>
      </c>
      <c r="H10">
        <v>34</v>
      </c>
      <c r="I10">
        <v>47</v>
      </c>
      <c r="J10">
        <f t="shared" si="2"/>
        <v>-13</v>
      </c>
    </row>
    <row r="11" spans="1:17" x14ac:dyDescent="0.3">
      <c r="A11" t="s">
        <v>8</v>
      </c>
      <c r="B11" t="s">
        <v>498</v>
      </c>
      <c r="C11" s="3">
        <f t="shared" si="0"/>
        <v>35</v>
      </c>
      <c r="D11">
        <v>33</v>
      </c>
      <c r="E11">
        <v>9</v>
      </c>
      <c r="F11">
        <v>8</v>
      </c>
      <c r="G11">
        <f t="shared" si="1"/>
        <v>16</v>
      </c>
      <c r="H11">
        <v>34</v>
      </c>
      <c r="I11">
        <v>52</v>
      </c>
      <c r="J11">
        <f t="shared" si="2"/>
        <v>-18</v>
      </c>
    </row>
    <row r="12" spans="1:17" x14ac:dyDescent="0.3">
      <c r="A12" t="s">
        <v>9</v>
      </c>
      <c r="B12" t="s">
        <v>499</v>
      </c>
      <c r="C12" s="3">
        <f t="shared" si="0"/>
        <v>33</v>
      </c>
      <c r="D12">
        <v>33</v>
      </c>
      <c r="E12">
        <v>8</v>
      </c>
      <c r="F12">
        <v>9</v>
      </c>
      <c r="G12">
        <f t="shared" si="1"/>
        <v>16</v>
      </c>
      <c r="H12">
        <v>39</v>
      </c>
      <c r="I12">
        <v>60</v>
      </c>
      <c r="J12">
        <f t="shared" si="2"/>
        <v>-21</v>
      </c>
    </row>
    <row r="13" spans="1:17" x14ac:dyDescent="0.3">
      <c r="A13" s="5" t="s">
        <v>10</v>
      </c>
      <c r="B13" t="s">
        <v>500</v>
      </c>
      <c r="C13" s="3">
        <f t="shared" si="0"/>
        <v>30</v>
      </c>
      <c r="D13">
        <v>33</v>
      </c>
      <c r="E13">
        <v>7</v>
      </c>
      <c r="F13">
        <v>9</v>
      </c>
      <c r="G13">
        <f t="shared" si="1"/>
        <v>17</v>
      </c>
      <c r="H13">
        <v>27</v>
      </c>
      <c r="I13">
        <v>49</v>
      </c>
      <c r="J13">
        <f t="shared" si="2"/>
        <v>-22</v>
      </c>
    </row>
    <row r="14" spans="1:17" x14ac:dyDescent="0.3">
      <c r="A14" t="s">
        <v>11</v>
      </c>
      <c r="B14" t="s">
        <v>501</v>
      </c>
      <c r="C14" s="3">
        <f t="shared" si="0"/>
        <v>15</v>
      </c>
      <c r="D14">
        <v>33</v>
      </c>
      <c r="E14">
        <v>1</v>
      </c>
      <c r="F14">
        <v>12</v>
      </c>
      <c r="G14">
        <f t="shared" si="1"/>
        <v>20</v>
      </c>
      <c r="H14">
        <v>33</v>
      </c>
      <c r="I14">
        <v>66</v>
      </c>
      <c r="J14">
        <f t="shared" si="2"/>
        <v>-33</v>
      </c>
    </row>
    <row r="16" spans="1:17" x14ac:dyDescent="0.3">
      <c r="A16" t="s">
        <v>34</v>
      </c>
    </row>
    <row r="17" spans="1:10" x14ac:dyDescent="0.3">
      <c r="A17" t="s">
        <v>34</v>
      </c>
    </row>
    <row r="18" spans="1:10" x14ac:dyDescent="0.3">
      <c r="A18" s="4" t="s">
        <v>0</v>
      </c>
      <c r="B18" t="s">
        <v>490</v>
      </c>
      <c r="C18" s="3">
        <f t="shared" ref="C18:C23" si="3">E18*3+F18</f>
        <v>72</v>
      </c>
      <c r="D18">
        <v>38</v>
      </c>
      <c r="E18">
        <v>22</v>
      </c>
      <c r="F18">
        <v>6</v>
      </c>
      <c r="G18">
        <f>D18-E18-F18</f>
        <v>10</v>
      </c>
      <c r="H18">
        <v>62</v>
      </c>
      <c r="I18">
        <v>30</v>
      </c>
      <c r="J18">
        <f>H18-I18</f>
        <v>32</v>
      </c>
    </row>
    <row r="19" spans="1:10" x14ac:dyDescent="0.3">
      <c r="A19" s="4" t="s">
        <v>1</v>
      </c>
      <c r="B19" t="s">
        <v>491</v>
      </c>
      <c r="C19" s="3">
        <f t="shared" si="3"/>
        <v>69</v>
      </c>
      <c r="D19">
        <v>38</v>
      </c>
      <c r="E19">
        <v>19</v>
      </c>
      <c r="F19">
        <v>12</v>
      </c>
      <c r="G19">
        <f t="shared" ref="G19:G23" si="4">D19-E19-F19</f>
        <v>7</v>
      </c>
      <c r="H19">
        <v>63</v>
      </c>
      <c r="I19">
        <v>37</v>
      </c>
      <c r="J19">
        <f t="shared" ref="J19:J23" si="5">H19-I19</f>
        <v>26</v>
      </c>
    </row>
    <row r="20" spans="1:10" x14ac:dyDescent="0.3">
      <c r="A20" s="1" t="s">
        <v>2</v>
      </c>
      <c r="B20" t="s">
        <v>492</v>
      </c>
      <c r="C20" s="3">
        <f t="shared" si="3"/>
        <v>68</v>
      </c>
      <c r="D20">
        <v>38</v>
      </c>
      <c r="E20">
        <v>21</v>
      </c>
      <c r="F20">
        <v>5</v>
      </c>
      <c r="G20">
        <f t="shared" si="4"/>
        <v>12</v>
      </c>
      <c r="H20">
        <v>63</v>
      </c>
      <c r="I20">
        <v>44</v>
      </c>
      <c r="J20">
        <f t="shared" si="5"/>
        <v>19</v>
      </c>
    </row>
    <row r="21" spans="1:10" x14ac:dyDescent="0.3">
      <c r="A21" s="1" t="s">
        <v>3</v>
      </c>
      <c r="B21" t="s">
        <v>493</v>
      </c>
      <c r="C21" s="3">
        <f t="shared" si="3"/>
        <v>64</v>
      </c>
      <c r="D21">
        <v>38</v>
      </c>
      <c r="E21">
        <v>17</v>
      </c>
      <c r="F21">
        <v>13</v>
      </c>
      <c r="G21">
        <f t="shared" si="4"/>
        <v>8</v>
      </c>
      <c r="H21">
        <v>59</v>
      </c>
      <c r="I21">
        <v>33</v>
      </c>
      <c r="J21">
        <f t="shared" si="5"/>
        <v>26</v>
      </c>
    </row>
    <row r="22" spans="1:10" x14ac:dyDescent="0.3">
      <c r="A22" t="s">
        <v>4</v>
      </c>
      <c r="B22" t="s">
        <v>494</v>
      </c>
      <c r="C22" s="3">
        <f t="shared" si="3"/>
        <v>61</v>
      </c>
      <c r="D22">
        <v>38</v>
      </c>
      <c r="E22">
        <v>16</v>
      </c>
      <c r="F22">
        <v>13</v>
      </c>
      <c r="G22">
        <f t="shared" si="4"/>
        <v>9</v>
      </c>
      <c r="H22">
        <v>59</v>
      </c>
      <c r="I22">
        <v>41</v>
      </c>
      <c r="J22">
        <f t="shared" si="5"/>
        <v>18</v>
      </c>
    </row>
    <row r="23" spans="1:10" x14ac:dyDescent="0.3">
      <c r="A23" t="s">
        <v>5</v>
      </c>
      <c r="B23" t="s">
        <v>495</v>
      </c>
      <c r="C23" s="3">
        <f t="shared" si="3"/>
        <v>56</v>
      </c>
      <c r="D23">
        <v>38</v>
      </c>
      <c r="E23">
        <v>16</v>
      </c>
      <c r="F23">
        <v>8</v>
      </c>
      <c r="G23">
        <f t="shared" si="4"/>
        <v>14</v>
      </c>
      <c r="H23">
        <v>53</v>
      </c>
      <c r="I23">
        <v>52</v>
      </c>
      <c r="J23">
        <f t="shared" si="5"/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061B4-F935-4A50-B93A-E75518B66F70}">
  <dimension ref="A1:U9"/>
  <sheetViews>
    <sheetView workbookViewId="0">
      <selection activeCell="A3" sqref="A3:J9"/>
    </sheetView>
  </sheetViews>
  <sheetFormatPr defaultRowHeight="14.4" x14ac:dyDescent="0.3"/>
  <sheetData>
    <row r="1" spans="1:21" x14ac:dyDescent="0.3">
      <c r="A1" t="s">
        <v>503</v>
      </c>
      <c r="L1" t="s">
        <v>510</v>
      </c>
      <c r="T1" t="s">
        <v>48</v>
      </c>
    </row>
    <row r="2" spans="1:21" x14ac:dyDescent="0.3">
      <c r="A2" t="s">
        <v>34</v>
      </c>
      <c r="L2" t="s">
        <v>40</v>
      </c>
      <c r="T2" t="s">
        <v>504</v>
      </c>
      <c r="U2">
        <v>1</v>
      </c>
    </row>
    <row r="3" spans="1:21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20</v>
      </c>
      <c r="I3" t="s">
        <v>21</v>
      </c>
      <c r="J3" t="s">
        <v>19</v>
      </c>
      <c r="L3" t="s">
        <v>512</v>
      </c>
      <c r="M3" t="s">
        <v>204</v>
      </c>
      <c r="N3" t="s">
        <v>511</v>
      </c>
      <c r="P3" t="s">
        <v>511</v>
      </c>
      <c r="Q3" t="s">
        <v>43</v>
      </c>
      <c r="R3" t="s">
        <v>512</v>
      </c>
      <c r="T3" t="s">
        <v>511</v>
      </c>
      <c r="U3">
        <v>1</v>
      </c>
    </row>
    <row r="4" spans="1:21" x14ac:dyDescent="0.3">
      <c r="A4" s="4" t="s">
        <v>0</v>
      </c>
      <c r="B4" t="s">
        <v>504</v>
      </c>
      <c r="C4" s="3">
        <f t="shared" ref="C4:C9" si="0">E4*3+F4</f>
        <v>63</v>
      </c>
      <c r="D4">
        <v>32</v>
      </c>
      <c r="E4">
        <v>18</v>
      </c>
      <c r="F4">
        <v>9</v>
      </c>
      <c r="G4">
        <f t="shared" ref="G4:G9" si="1">D4-E4-F4</f>
        <v>5</v>
      </c>
      <c r="H4">
        <v>57</v>
      </c>
      <c r="I4">
        <v>28</v>
      </c>
      <c r="J4">
        <f t="shared" ref="J4:J9" si="2">H4-I4</f>
        <v>29</v>
      </c>
      <c r="L4" t="s">
        <v>506</v>
      </c>
      <c r="M4" t="s">
        <v>43</v>
      </c>
      <c r="N4" t="s">
        <v>509</v>
      </c>
      <c r="P4" t="s">
        <v>509</v>
      </c>
      <c r="Q4" t="s">
        <v>38</v>
      </c>
      <c r="R4" t="s">
        <v>506</v>
      </c>
    </row>
    <row r="5" spans="1:21" x14ac:dyDescent="0.3">
      <c r="A5" s="1" t="s">
        <v>1</v>
      </c>
      <c r="B5" t="s">
        <v>505</v>
      </c>
      <c r="C5" s="3">
        <f t="shared" si="0"/>
        <v>58</v>
      </c>
      <c r="D5">
        <v>32</v>
      </c>
      <c r="E5">
        <v>17</v>
      </c>
      <c r="F5">
        <v>7</v>
      </c>
      <c r="G5">
        <f t="shared" si="1"/>
        <v>8</v>
      </c>
      <c r="H5">
        <v>56</v>
      </c>
      <c r="I5">
        <v>43</v>
      </c>
      <c r="J5">
        <f t="shared" si="2"/>
        <v>13</v>
      </c>
    </row>
    <row r="6" spans="1:21" x14ac:dyDescent="0.3">
      <c r="A6" s="1" t="s">
        <v>2</v>
      </c>
      <c r="B6" t="s">
        <v>506</v>
      </c>
      <c r="C6" s="3">
        <f t="shared" si="0"/>
        <v>56</v>
      </c>
      <c r="D6">
        <v>32</v>
      </c>
      <c r="E6">
        <v>16</v>
      </c>
      <c r="F6">
        <v>8</v>
      </c>
      <c r="G6">
        <f t="shared" si="1"/>
        <v>8</v>
      </c>
      <c r="H6">
        <v>61</v>
      </c>
      <c r="I6">
        <v>38</v>
      </c>
      <c r="J6">
        <f t="shared" si="2"/>
        <v>23</v>
      </c>
      <c r="L6" t="s">
        <v>46</v>
      </c>
    </row>
    <row r="7" spans="1:21" x14ac:dyDescent="0.3">
      <c r="A7" t="s">
        <v>3</v>
      </c>
      <c r="B7" t="s">
        <v>507</v>
      </c>
      <c r="C7" s="3">
        <f t="shared" si="0"/>
        <v>51</v>
      </c>
      <c r="D7">
        <v>32</v>
      </c>
      <c r="E7">
        <v>15</v>
      </c>
      <c r="F7">
        <v>6</v>
      </c>
      <c r="G7">
        <f t="shared" si="1"/>
        <v>11</v>
      </c>
      <c r="H7">
        <v>43</v>
      </c>
      <c r="I7">
        <v>39</v>
      </c>
      <c r="J7">
        <f t="shared" si="2"/>
        <v>4</v>
      </c>
      <c r="L7" t="s">
        <v>506</v>
      </c>
      <c r="M7" t="s">
        <v>38</v>
      </c>
      <c r="N7" t="s">
        <v>511</v>
      </c>
    </row>
    <row r="8" spans="1:21" x14ac:dyDescent="0.3">
      <c r="A8" t="s">
        <v>4</v>
      </c>
      <c r="B8" t="s">
        <v>508</v>
      </c>
      <c r="C8" s="3">
        <f t="shared" si="0"/>
        <v>46</v>
      </c>
      <c r="D8">
        <v>32</v>
      </c>
      <c r="E8">
        <v>13</v>
      </c>
      <c r="F8">
        <v>7</v>
      </c>
      <c r="G8">
        <f t="shared" si="1"/>
        <v>12</v>
      </c>
      <c r="H8">
        <v>44</v>
      </c>
      <c r="I8">
        <v>45</v>
      </c>
      <c r="J8">
        <f t="shared" si="2"/>
        <v>-1</v>
      </c>
    </row>
    <row r="9" spans="1:21" x14ac:dyDescent="0.3">
      <c r="A9" t="s">
        <v>5</v>
      </c>
      <c r="B9" t="s">
        <v>509</v>
      </c>
      <c r="C9" s="3">
        <f t="shared" si="0"/>
        <v>42</v>
      </c>
      <c r="D9">
        <v>32</v>
      </c>
      <c r="E9">
        <v>13</v>
      </c>
      <c r="F9">
        <v>3</v>
      </c>
      <c r="G9">
        <f t="shared" si="1"/>
        <v>16</v>
      </c>
      <c r="H9">
        <v>56</v>
      </c>
      <c r="I9">
        <v>50</v>
      </c>
      <c r="J9">
        <f t="shared" si="2"/>
        <v>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5A8E1-51E6-4586-A187-428FCEB61B8B}">
  <dimension ref="A1:Q11"/>
  <sheetViews>
    <sheetView workbookViewId="0">
      <selection activeCell="Q3" sqref="Q3"/>
    </sheetView>
  </sheetViews>
  <sheetFormatPr defaultRowHeight="14.4" x14ac:dyDescent="0.3"/>
  <sheetData>
    <row r="1" spans="1:17" x14ac:dyDescent="0.3">
      <c r="A1" t="s">
        <v>513</v>
      </c>
      <c r="L1" t="s">
        <v>523</v>
      </c>
      <c r="P1" t="s">
        <v>48</v>
      </c>
    </row>
    <row r="2" spans="1:17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20</v>
      </c>
      <c r="I2" t="s">
        <v>21</v>
      </c>
      <c r="J2" t="s">
        <v>19</v>
      </c>
      <c r="L2" t="s">
        <v>40</v>
      </c>
      <c r="P2" t="s">
        <v>514</v>
      </c>
      <c r="Q2">
        <v>2</v>
      </c>
    </row>
    <row r="3" spans="1:17" x14ac:dyDescent="0.3">
      <c r="A3" s="4" t="s">
        <v>0</v>
      </c>
      <c r="B3" t="s">
        <v>514</v>
      </c>
      <c r="C3" s="3">
        <f t="shared" ref="C3:C11" si="0">E3*3+F3</f>
        <v>76</v>
      </c>
      <c r="D3">
        <v>34</v>
      </c>
      <c r="E3">
        <v>23</v>
      </c>
      <c r="F3">
        <v>7</v>
      </c>
      <c r="G3">
        <f>D3-E3-F3</f>
        <v>4</v>
      </c>
      <c r="H3">
        <v>87</v>
      </c>
      <c r="I3">
        <v>34</v>
      </c>
      <c r="J3">
        <f>H3-I3</f>
        <v>53</v>
      </c>
      <c r="L3" t="s">
        <v>515</v>
      </c>
      <c r="M3" t="s">
        <v>42</v>
      </c>
      <c r="N3" t="s">
        <v>520</v>
      </c>
      <c r="P3" t="s">
        <v>519</v>
      </c>
      <c r="Q3">
        <v>1</v>
      </c>
    </row>
    <row r="4" spans="1:17" x14ac:dyDescent="0.3">
      <c r="A4" s="1" t="s">
        <v>1</v>
      </c>
      <c r="B4" t="s">
        <v>515</v>
      </c>
      <c r="C4" s="3">
        <f t="shared" si="0"/>
        <v>55</v>
      </c>
      <c r="D4">
        <v>34</v>
      </c>
      <c r="E4">
        <v>17</v>
      </c>
      <c r="F4">
        <v>4</v>
      </c>
      <c r="G4">
        <f t="shared" ref="G4:G11" si="1">D4-E4-F4</f>
        <v>13</v>
      </c>
      <c r="H4">
        <v>61</v>
      </c>
      <c r="I4">
        <v>51</v>
      </c>
      <c r="J4">
        <f t="shared" ref="J4:J11" si="2">H4-I4</f>
        <v>10</v>
      </c>
    </row>
    <row r="5" spans="1:17" x14ac:dyDescent="0.3">
      <c r="A5" s="1" t="s">
        <v>2</v>
      </c>
      <c r="B5" t="s">
        <v>516</v>
      </c>
      <c r="C5" s="3">
        <f t="shared" si="0"/>
        <v>54</v>
      </c>
      <c r="D5">
        <v>34</v>
      </c>
      <c r="E5">
        <v>15</v>
      </c>
      <c r="F5">
        <v>9</v>
      </c>
      <c r="G5">
        <f t="shared" si="1"/>
        <v>10</v>
      </c>
      <c r="H5">
        <v>54</v>
      </c>
      <c r="I5">
        <v>41</v>
      </c>
      <c r="J5">
        <f t="shared" si="2"/>
        <v>13</v>
      </c>
      <c r="L5" t="s">
        <v>46</v>
      </c>
    </row>
    <row r="6" spans="1:17" x14ac:dyDescent="0.3">
      <c r="A6" t="s">
        <v>3</v>
      </c>
      <c r="B6" t="s">
        <v>517</v>
      </c>
      <c r="C6" s="3">
        <f t="shared" si="0"/>
        <v>54</v>
      </c>
      <c r="D6">
        <v>34</v>
      </c>
      <c r="E6">
        <v>15</v>
      </c>
      <c r="F6">
        <v>9</v>
      </c>
      <c r="G6">
        <f t="shared" si="1"/>
        <v>10</v>
      </c>
      <c r="H6">
        <v>65</v>
      </c>
      <c r="I6">
        <v>54</v>
      </c>
      <c r="J6">
        <f t="shared" si="2"/>
        <v>11</v>
      </c>
      <c r="L6" t="s">
        <v>519</v>
      </c>
      <c r="M6" t="s">
        <v>42</v>
      </c>
      <c r="N6" t="s">
        <v>515</v>
      </c>
    </row>
    <row r="7" spans="1:17" x14ac:dyDescent="0.3">
      <c r="A7" t="s">
        <v>4</v>
      </c>
      <c r="B7" t="s">
        <v>518</v>
      </c>
      <c r="C7" s="3">
        <f t="shared" si="0"/>
        <v>48</v>
      </c>
      <c r="D7">
        <v>34</v>
      </c>
      <c r="E7">
        <v>14</v>
      </c>
      <c r="F7">
        <v>6</v>
      </c>
      <c r="G7">
        <f t="shared" si="1"/>
        <v>14</v>
      </c>
      <c r="H7">
        <v>48</v>
      </c>
      <c r="I7">
        <v>51</v>
      </c>
      <c r="J7">
        <f t="shared" si="2"/>
        <v>-3</v>
      </c>
    </row>
    <row r="8" spans="1:17" x14ac:dyDescent="0.3">
      <c r="A8" s="5" t="s">
        <v>5</v>
      </c>
      <c r="B8" t="s">
        <v>519</v>
      </c>
      <c r="C8" s="3">
        <f t="shared" si="0"/>
        <v>47</v>
      </c>
      <c r="D8">
        <v>34</v>
      </c>
      <c r="E8">
        <v>13</v>
      </c>
      <c r="F8">
        <v>8</v>
      </c>
      <c r="G8">
        <f t="shared" si="1"/>
        <v>13</v>
      </c>
      <c r="H8">
        <v>50</v>
      </c>
      <c r="I8">
        <v>59</v>
      </c>
      <c r="J8">
        <f t="shared" si="2"/>
        <v>-9</v>
      </c>
    </row>
    <row r="9" spans="1:17" x14ac:dyDescent="0.3">
      <c r="A9" t="s">
        <v>6</v>
      </c>
      <c r="B9" t="s">
        <v>520</v>
      </c>
      <c r="C9" s="3">
        <f t="shared" si="0"/>
        <v>42</v>
      </c>
      <c r="D9">
        <v>34</v>
      </c>
      <c r="E9">
        <v>12</v>
      </c>
      <c r="F9">
        <v>6</v>
      </c>
      <c r="G9">
        <f t="shared" si="1"/>
        <v>16</v>
      </c>
      <c r="H9">
        <v>48</v>
      </c>
      <c r="I9">
        <v>59</v>
      </c>
      <c r="J9">
        <f t="shared" si="2"/>
        <v>-11</v>
      </c>
    </row>
    <row r="10" spans="1:17" x14ac:dyDescent="0.3">
      <c r="A10" t="s">
        <v>7</v>
      </c>
      <c r="B10" t="s">
        <v>521</v>
      </c>
      <c r="C10" s="3">
        <f t="shared" si="0"/>
        <v>40</v>
      </c>
      <c r="D10">
        <v>34</v>
      </c>
      <c r="E10">
        <v>11</v>
      </c>
      <c r="F10">
        <v>7</v>
      </c>
      <c r="G10">
        <f t="shared" si="1"/>
        <v>16</v>
      </c>
      <c r="H10">
        <v>43</v>
      </c>
      <c r="I10">
        <v>55</v>
      </c>
      <c r="J10">
        <f t="shared" si="2"/>
        <v>-12</v>
      </c>
    </row>
    <row r="11" spans="1:17" x14ac:dyDescent="0.3">
      <c r="A11" t="s">
        <v>8</v>
      </c>
      <c r="B11" t="s">
        <v>522</v>
      </c>
      <c r="C11" s="3">
        <f t="shared" si="0"/>
        <v>26</v>
      </c>
      <c r="D11">
        <v>34</v>
      </c>
      <c r="E11">
        <v>7</v>
      </c>
      <c r="F11">
        <v>5</v>
      </c>
      <c r="G11">
        <f t="shared" si="1"/>
        <v>22</v>
      </c>
      <c r="H11">
        <v>33</v>
      </c>
      <c r="I11">
        <v>64</v>
      </c>
      <c r="J11">
        <f t="shared" si="2"/>
        <v>-31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9C930-8E92-4720-A31A-F04FDEA71DAB}">
  <dimension ref="A1:AX37"/>
  <sheetViews>
    <sheetView workbookViewId="0">
      <selection activeCell="A10" sqref="A10"/>
    </sheetView>
  </sheetViews>
  <sheetFormatPr defaultRowHeight="14.4" x14ac:dyDescent="0.3"/>
  <sheetData>
    <row r="1" spans="1:50" x14ac:dyDescent="0.3">
      <c r="A1" t="s">
        <v>544</v>
      </c>
      <c r="L1" t="s">
        <v>545</v>
      </c>
      <c r="W1" t="s">
        <v>570</v>
      </c>
      <c r="AS1" t="s">
        <v>617</v>
      </c>
      <c r="AW1" t="s">
        <v>48</v>
      </c>
    </row>
    <row r="2" spans="1:50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20</v>
      </c>
      <c r="I2" t="s">
        <v>21</v>
      </c>
      <c r="J2" t="s">
        <v>19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20</v>
      </c>
      <c r="T2" t="s">
        <v>21</v>
      </c>
      <c r="U2" t="s">
        <v>19</v>
      </c>
      <c r="W2" t="s">
        <v>571</v>
      </c>
      <c r="AH2" t="s">
        <v>572</v>
      </c>
      <c r="AS2" t="s">
        <v>46</v>
      </c>
      <c r="AW2" t="s">
        <v>524</v>
      </c>
      <c r="AX2">
        <v>29</v>
      </c>
    </row>
    <row r="3" spans="1:50" x14ac:dyDescent="0.3">
      <c r="A3" s="4" t="s">
        <v>0</v>
      </c>
      <c r="B3" t="s">
        <v>524</v>
      </c>
      <c r="C3" s="3">
        <f t="shared" ref="C3:C22" si="0">E3*3+F3</f>
        <v>89</v>
      </c>
      <c r="D3">
        <v>38</v>
      </c>
      <c r="E3">
        <v>29</v>
      </c>
      <c r="F3">
        <v>2</v>
      </c>
      <c r="G3">
        <f>D3-E3-F3</f>
        <v>7</v>
      </c>
      <c r="H3">
        <v>96</v>
      </c>
      <c r="I3">
        <v>41</v>
      </c>
      <c r="J3">
        <f>H3-I3</f>
        <v>55</v>
      </c>
      <c r="L3" s="1" t="s">
        <v>0</v>
      </c>
      <c r="M3" t="s">
        <v>548</v>
      </c>
      <c r="N3" s="3">
        <f t="shared" ref="N3:N24" si="1">P3*3+Q3</f>
        <v>73</v>
      </c>
      <c r="O3">
        <v>42</v>
      </c>
      <c r="P3">
        <v>21</v>
      </c>
      <c r="Q3">
        <v>10</v>
      </c>
      <c r="R3">
        <f>O3-P3-Q3</f>
        <v>11</v>
      </c>
      <c r="S3">
        <v>70</v>
      </c>
      <c r="T3">
        <v>53</v>
      </c>
      <c r="U3">
        <f>S3-T3</f>
        <v>17</v>
      </c>
      <c r="W3" t="s">
        <v>12</v>
      </c>
      <c r="X3" t="s">
        <v>13</v>
      </c>
      <c r="Y3" t="s">
        <v>14</v>
      </c>
      <c r="Z3" t="s">
        <v>15</v>
      </c>
      <c r="AA3" t="s">
        <v>16</v>
      </c>
      <c r="AB3" t="s">
        <v>17</v>
      </c>
      <c r="AC3" t="s">
        <v>18</v>
      </c>
      <c r="AD3" t="s">
        <v>20</v>
      </c>
      <c r="AE3" t="s">
        <v>21</v>
      </c>
      <c r="AF3" t="s">
        <v>19</v>
      </c>
      <c r="AH3" t="s">
        <v>12</v>
      </c>
      <c r="AI3" t="s">
        <v>13</v>
      </c>
      <c r="AJ3" t="s">
        <v>14</v>
      </c>
      <c r="AK3" t="s">
        <v>15</v>
      </c>
      <c r="AL3" t="s">
        <v>16</v>
      </c>
      <c r="AM3" t="s">
        <v>17</v>
      </c>
      <c r="AN3" t="s">
        <v>18</v>
      </c>
      <c r="AO3" t="s">
        <v>20</v>
      </c>
      <c r="AP3" t="s">
        <v>21</v>
      </c>
      <c r="AQ3" t="s">
        <v>19</v>
      </c>
      <c r="AS3" t="s">
        <v>527</v>
      </c>
      <c r="AT3" t="s">
        <v>91</v>
      </c>
      <c r="AU3" t="s">
        <v>530</v>
      </c>
      <c r="AW3" t="s">
        <v>548</v>
      </c>
      <c r="AX3">
        <v>6</v>
      </c>
    </row>
    <row r="4" spans="1:50" x14ac:dyDescent="0.3">
      <c r="A4" s="4" t="s">
        <v>1</v>
      </c>
      <c r="B4" t="s">
        <v>525</v>
      </c>
      <c r="C4" s="3">
        <f t="shared" si="0"/>
        <v>86</v>
      </c>
      <c r="D4">
        <v>38</v>
      </c>
      <c r="E4">
        <v>27</v>
      </c>
      <c r="F4">
        <v>5</v>
      </c>
      <c r="G4">
        <f t="shared" ref="G4:G22" si="2">D4-E4-F4</f>
        <v>6</v>
      </c>
      <c r="H4">
        <v>77</v>
      </c>
      <c r="I4">
        <v>37</v>
      </c>
      <c r="J4">
        <f t="shared" ref="J4:J22" si="3">H4-I4</f>
        <v>40</v>
      </c>
      <c r="L4" s="1" t="s">
        <v>1</v>
      </c>
      <c r="M4" t="s">
        <v>549</v>
      </c>
      <c r="N4" s="3">
        <f t="shared" si="1"/>
        <v>73</v>
      </c>
      <c r="O4">
        <v>42</v>
      </c>
      <c r="P4">
        <v>21</v>
      </c>
      <c r="Q4">
        <v>10</v>
      </c>
      <c r="R4">
        <f t="shared" ref="R4:R24" si="4">O4-P4-Q4</f>
        <v>11</v>
      </c>
      <c r="S4">
        <v>79</v>
      </c>
      <c r="T4">
        <v>63</v>
      </c>
      <c r="U4">
        <f t="shared" ref="U4:U24" si="5">S4-T4</f>
        <v>16</v>
      </c>
      <c r="W4" s="1" t="s">
        <v>0</v>
      </c>
      <c r="X4" t="s">
        <v>573</v>
      </c>
      <c r="Y4" s="3">
        <f t="shared" ref="Y4:Y23" si="6">AA4*3+AB4</f>
        <v>76</v>
      </c>
      <c r="Z4">
        <v>38</v>
      </c>
      <c r="AA4">
        <v>23</v>
      </c>
      <c r="AB4">
        <v>7</v>
      </c>
      <c r="AC4">
        <f>Z4-AA4-AB4</f>
        <v>8</v>
      </c>
      <c r="AD4">
        <v>63</v>
      </c>
      <c r="AE4">
        <v>27</v>
      </c>
      <c r="AF4">
        <f>AD4-AE4</f>
        <v>36</v>
      </c>
      <c r="AH4" s="1" t="s">
        <v>0</v>
      </c>
      <c r="AI4" t="s">
        <v>594</v>
      </c>
      <c r="AJ4" s="3">
        <f t="shared" ref="AJ4:AJ23" si="7">AL4*3+AM4</f>
        <v>67</v>
      </c>
      <c r="AK4">
        <v>38</v>
      </c>
      <c r="AL4">
        <v>19</v>
      </c>
      <c r="AM4">
        <v>10</v>
      </c>
      <c r="AN4">
        <f>AK4-AL4-AM4</f>
        <v>9</v>
      </c>
      <c r="AO4">
        <v>59</v>
      </c>
      <c r="AP4">
        <v>37</v>
      </c>
      <c r="AQ4">
        <f>AO4-AP4</f>
        <v>22</v>
      </c>
      <c r="AW4" t="s">
        <v>594</v>
      </c>
      <c r="AX4">
        <v>4</v>
      </c>
    </row>
    <row r="5" spans="1:50" x14ac:dyDescent="0.3">
      <c r="A5" s="4" t="s">
        <v>2</v>
      </c>
      <c r="B5" t="s">
        <v>526</v>
      </c>
      <c r="C5" s="3">
        <f t="shared" si="0"/>
        <v>71</v>
      </c>
      <c r="D5">
        <v>38</v>
      </c>
      <c r="E5">
        <v>22</v>
      </c>
      <c r="F5">
        <v>5</v>
      </c>
      <c r="G5">
        <f t="shared" si="2"/>
        <v>11</v>
      </c>
      <c r="H5">
        <v>69</v>
      </c>
      <c r="I5">
        <v>47</v>
      </c>
      <c r="J5">
        <f t="shared" si="3"/>
        <v>22</v>
      </c>
      <c r="L5" s="2" t="s">
        <v>2</v>
      </c>
      <c r="M5" t="s">
        <v>550</v>
      </c>
      <c r="N5" s="3">
        <f t="shared" si="1"/>
        <v>70</v>
      </c>
      <c r="O5">
        <v>42</v>
      </c>
      <c r="P5">
        <v>19</v>
      </c>
      <c r="Q5">
        <v>13</v>
      </c>
      <c r="R5">
        <f t="shared" si="4"/>
        <v>10</v>
      </c>
      <c r="S5">
        <v>61</v>
      </c>
      <c r="T5">
        <v>38</v>
      </c>
      <c r="U5">
        <f t="shared" si="5"/>
        <v>23</v>
      </c>
      <c r="W5" s="2" t="s">
        <v>1</v>
      </c>
      <c r="X5" t="s">
        <v>574</v>
      </c>
      <c r="Y5" s="3">
        <f t="shared" si="6"/>
        <v>66</v>
      </c>
      <c r="Z5">
        <v>38</v>
      </c>
      <c r="AA5">
        <v>19</v>
      </c>
      <c r="AB5">
        <v>9</v>
      </c>
      <c r="AC5">
        <f t="shared" ref="AC5:AC23" si="8">Z5-AA5-AB5</f>
        <v>10</v>
      </c>
      <c r="AD5">
        <v>63</v>
      </c>
      <c r="AE5">
        <v>51</v>
      </c>
      <c r="AF5">
        <f t="shared" ref="AF5:AF23" si="9">AD5-AE5</f>
        <v>12</v>
      </c>
      <c r="AH5" s="2" t="s">
        <v>1</v>
      </c>
      <c r="AI5" t="s">
        <v>595</v>
      </c>
      <c r="AJ5" s="3">
        <f t="shared" si="7"/>
        <v>63</v>
      </c>
      <c r="AK5">
        <v>38</v>
      </c>
      <c r="AL5">
        <v>16</v>
      </c>
      <c r="AM5">
        <v>15</v>
      </c>
      <c r="AN5">
        <f t="shared" ref="AN5:AN23" si="10">AK5-AL5-AM5</f>
        <v>7</v>
      </c>
      <c r="AO5">
        <v>52</v>
      </c>
      <c r="AP5">
        <v>32</v>
      </c>
      <c r="AQ5">
        <f t="shared" ref="AQ5:AQ23" si="11">AO5-AP5</f>
        <v>20</v>
      </c>
      <c r="AW5" t="s">
        <v>527</v>
      </c>
      <c r="AX5">
        <v>11</v>
      </c>
    </row>
    <row r="6" spans="1:50" x14ac:dyDescent="0.3">
      <c r="A6" s="4" t="s">
        <v>3</v>
      </c>
      <c r="B6" t="s">
        <v>527</v>
      </c>
      <c r="C6" s="3">
        <f t="shared" si="0"/>
        <v>71</v>
      </c>
      <c r="D6">
        <v>38</v>
      </c>
      <c r="E6">
        <v>21</v>
      </c>
      <c r="F6">
        <v>8</v>
      </c>
      <c r="G6">
        <f t="shared" si="2"/>
        <v>9</v>
      </c>
      <c r="H6">
        <v>63</v>
      </c>
      <c r="I6">
        <v>42</v>
      </c>
      <c r="J6">
        <f t="shared" si="3"/>
        <v>21</v>
      </c>
      <c r="L6" s="2" t="s">
        <v>3</v>
      </c>
      <c r="M6" t="s">
        <v>551</v>
      </c>
      <c r="N6" s="3">
        <f t="shared" si="1"/>
        <v>67</v>
      </c>
      <c r="O6">
        <v>42</v>
      </c>
      <c r="P6">
        <v>19</v>
      </c>
      <c r="Q6">
        <v>10</v>
      </c>
      <c r="R6">
        <f t="shared" si="4"/>
        <v>13</v>
      </c>
      <c r="S6">
        <v>78</v>
      </c>
      <c r="T6">
        <v>65</v>
      </c>
      <c r="U6">
        <f t="shared" si="5"/>
        <v>13</v>
      </c>
      <c r="W6" s="2" t="s">
        <v>2</v>
      </c>
      <c r="X6" t="s">
        <v>575</v>
      </c>
      <c r="Y6" s="3">
        <f t="shared" si="6"/>
        <v>61</v>
      </c>
      <c r="Z6">
        <v>38</v>
      </c>
      <c r="AA6">
        <v>16</v>
      </c>
      <c r="AB6">
        <v>13</v>
      </c>
      <c r="AC6">
        <f t="shared" si="8"/>
        <v>9</v>
      </c>
      <c r="AD6">
        <v>54</v>
      </c>
      <c r="AE6">
        <v>42</v>
      </c>
      <c r="AF6">
        <f t="shared" si="9"/>
        <v>12</v>
      </c>
      <c r="AH6" s="2" t="s">
        <v>2</v>
      </c>
      <c r="AI6" t="s">
        <v>596</v>
      </c>
      <c r="AJ6" s="3">
        <f t="shared" si="7"/>
        <v>61</v>
      </c>
      <c r="AK6">
        <v>38</v>
      </c>
      <c r="AL6">
        <v>16</v>
      </c>
      <c r="AM6">
        <v>13</v>
      </c>
      <c r="AN6">
        <f t="shared" si="10"/>
        <v>9</v>
      </c>
      <c r="AO6">
        <v>56</v>
      </c>
      <c r="AP6">
        <v>47</v>
      </c>
      <c r="AQ6">
        <f t="shared" si="11"/>
        <v>9</v>
      </c>
    </row>
    <row r="7" spans="1:50" x14ac:dyDescent="0.3">
      <c r="A7" s="4" t="s">
        <v>4</v>
      </c>
      <c r="B7" t="s">
        <v>528</v>
      </c>
      <c r="C7" s="3">
        <f t="shared" si="0"/>
        <v>57</v>
      </c>
      <c r="D7">
        <v>38</v>
      </c>
      <c r="E7">
        <v>17</v>
      </c>
      <c r="F7">
        <v>6</v>
      </c>
      <c r="G7">
        <f t="shared" si="2"/>
        <v>15</v>
      </c>
      <c r="H7">
        <v>45</v>
      </c>
      <c r="I7">
        <v>49</v>
      </c>
      <c r="J7">
        <f t="shared" si="3"/>
        <v>-4</v>
      </c>
      <c r="L7" s="2" t="s">
        <v>4</v>
      </c>
      <c r="M7" t="s">
        <v>552</v>
      </c>
      <c r="N7" s="3">
        <f t="shared" si="1"/>
        <v>67</v>
      </c>
      <c r="O7">
        <v>42</v>
      </c>
      <c r="P7">
        <v>19</v>
      </c>
      <c r="Q7">
        <v>10</v>
      </c>
      <c r="R7">
        <f t="shared" si="4"/>
        <v>13</v>
      </c>
      <c r="S7">
        <v>51</v>
      </c>
      <c r="T7">
        <v>39</v>
      </c>
      <c r="U7">
        <f t="shared" si="5"/>
        <v>12</v>
      </c>
      <c r="W7" s="2" t="s">
        <v>3</v>
      </c>
      <c r="X7" t="s">
        <v>576</v>
      </c>
      <c r="Y7" s="3">
        <f t="shared" si="6"/>
        <v>60</v>
      </c>
      <c r="Z7">
        <v>38</v>
      </c>
      <c r="AA7">
        <v>17</v>
      </c>
      <c r="AB7">
        <v>9</v>
      </c>
      <c r="AC7">
        <f t="shared" si="8"/>
        <v>12</v>
      </c>
      <c r="AD7">
        <v>49</v>
      </c>
      <c r="AE7">
        <v>45</v>
      </c>
      <c r="AF7">
        <f t="shared" si="9"/>
        <v>4</v>
      </c>
      <c r="AH7" s="2" t="s">
        <v>3</v>
      </c>
      <c r="AI7" t="s">
        <v>597</v>
      </c>
      <c r="AJ7" s="3">
        <f t="shared" si="7"/>
        <v>60</v>
      </c>
      <c r="AK7">
        <v>38</v>
      </c>
      <c r="AL7">
        <v>16</v>
      </c>
      <c r="AM7">
        <v>12</v>
      </c>
      <c r="AN7">
        <f t="shared" si="10"/>
        <v>10</v>
      </c>
      <c r="AO7">
        <v>51</v>
      </c>
      <c r="AP7">
        <v>42</v>
      </c>
      <c r="AQ7">
        <f t="shared" si="11"/>
        <v>9</v>
      </c>
    </row>
    <row r="8" spans="1:50" x14ac:dyDescent="0.3">
      <c r="A8" s="4" t="s">
        <v>5</v>
      </c>
      <c r="B8" t="s">
        <v>529</v>
      </c>
      <c r="C8" s="3">
        <f t="shared" si="0"/>
        <v>56</v>
      </c>
      <c r="D8">
        <v>38</v>
      </c>
      <c r="E8">
        <v>15</v>
      </c>
      <c r="F8">
        <v>11</v>
      </c>
      <c r="G8">
        <f t="shared" si="2"/>
        <v>12</v>
      </c>
      <c r="H8">
        <v>53</v>
      </c>
      <c r="I8">
        <v>48</v>
      </c>
      <c r="J8">
        <f t="shared" si="3"/>
        <v>5</v>
      </c>
      <c r="L8" s="2" t="s">
        <v>5</v>
      </c>
      <c r="M8" t="s">
        <v>553</v>
      </c>
      <c r="N8" s="3">
        <f t="shared" si="1"/>
        <v>66</v>
      </c>
      <c r="O8">
        <v>42</v>
      </c>
      <c r="P8">
        <v>19</v>
      </c>
      <c r="Q8">
        <v>9</v>
      </c>
      <c r="R8">
        <f t="shared" si="4"/>
        <v>14</v>
      </c>
      <c r="S8">
        <v>66</v>
      </c>
      <c r="T8">
        <v>51</v>
      </c>
      <c r="U8">
        <f t="shared" si="5"/>
        <v>15</v>
      </c>
      <c r="W8" s="2" t="s">
        <v>4</v>
      </c>
      <c r="X8" t="s">
        <v>577</v>
      </c>
      <c r="Y8" s="3">
        <f t="shared" si="6"/>
        <v>59</v>
      </c>
      <c r="Z8">
        <v>38</v>
      </c>
      <c r="AA8">
        <v>15</v>
      </c>
      <c r="AB8">
        <v>14</v>
      </c>
      <c r="AC8">
        <f t="shared" si="8"/>
        <v>9</v>
      </c>
      <c r="AD8">
        <v>45</v>
      </c>
      <c r="AE8">
        <v>42</v>
      </c>
      <c r="AF8">
        <f t="shared" si="9"/>
        <v>3</v>
      </c>
      <c r="AH8" s="2" t="s">
        <v>4</v>
      </c>
      <c r="AI8" t="s">
        <v>598</v>
      </c>
      <c r="AJ8" s="3">
        <f t="shared" si="7"/>
        <v>59</v>
      </c>
      <c r="AK8">
        <v>38</v>
      </c>
      <c r="AL8">
        <v>16</v>
      </c>
      <c r="AM8">
        <v>11</v>
      </c>
      <c r="AN8">
        <f t="shared" si="10"/>
        <v>11</v>
      </c>
      <c r="AO8">
        <v>41</v>
      </c>
      <c r="AP8">
        <v>34</v>
      </c>
      <c r="AQ8">
        <f t="shared" si="11"/>
        <v>7</v>
      </c>
    </row>
    <row r="9" spans="1:50" x14ac:dyDescent="0.3">
      <c r="A9" s="5" t="s">
        <v>6</v>
      </c>
      <c r="B9" t="s">
        <v>530</v>
      </c>
      <c r="C9" s="3">
        <f t="shared" si="0"/>
        <v>55</v>
      </c>
      <c r="D9">
        <v>38</v>
      </c>
      <c r="E9">
        <v>15</v>
      </c>
      <c r="F9">
        <v>10</v>
      </c>
      <c r="G9">
        <f t="shared" si="2"/>
        <v>13</v>
      </c>
      <c r="H9">
        <v>58</v>
      </c>
      <c r="I9">
        <v>56</v>
      </c>
      <c r="J9">
        <f t="shared" si="3"/>
        <v>2</v>
      </c>
      <c r="L9" t="s">
        <v>6</v>
      </c>
      <c r="M9" t="s">
        <v>554</v>
      </c>
      <c r="N9" s="3">
        <f t="shared" si="1"/>
        <v>66</v>
      </c>
      <c r="O9">
        <v>42</v>
      </c>
      <c r="P9">
        <v>19</v>
      </c>
      <c r="Q9">
        <v>9</v>
      </c>
      <c r="R9">
        <f t="shared" si="4"/>
        <v>14</v>
      </c>
      <c r="S9">
        <v>56</v>
      </c>
      <c r="T9">
        <v>62</v>
      </c>
      <c r="U9">
        <f t="shared" si="5"/>
        <v>-6</v>
      </c>
      <c r="W9" t="s">
        <v>5</v>
      </c>
      <c r="X9" t="s">
        <v>578</v>
      </c>
      <c r="Y9" s="3">
        <f t="shared" si="6"/>
        <v>57</v>
      </c>
      <c r="Z9">
        <v>38</v>
      </c>
      <c r="AA9">
        <v>16</v>
      </c>
      <c r="AB9">
        <v>9</v>
      </c>
      <c r="AC9">
        <f t="shared" si="8"/>
        <v>13</v>
      </c>
      <c r="AD9">
        <v>45</v>
      </c>
      <c r="AE9">
        <v>36</v>
      </c>
      <c r="AF9">
        <f t="shared" si="9"/>
        <v>9</v>
      </c>
      <c r="AH9" t="s">
        <v>5</v>
      </c>
      <c r="AI9" t="s">
        <v>599</v>
      </c>
      <c r="AJ9" s="3">
        <f t="shared" si="7"/>
        <v>59</v>
      </c>
      <c r="AK9">
        <v>38</v>
      </c>
      <c r="AL9">
        <v>16</v>
      </c>
      <c r="AM9">
        <v>11</v>
      </c>
      <c r="AN9">
        <f t="shared" si="10"/>
        <v>11</v>
      </c>
      <c r="AO9">
        <v>40</v>
      </c>
      <c r="AP9">
        <v>36</v>
      </c>
      <c r="AQ9">
        <f t="shared" si="11"/>
        <v>4</v>
      </c>
    </row>
    <row r="10" spans="1:50" x14ac:dyDescent="0.3">
      <c r="A10" s="1" t="s">
        <v>7</v>
      </c>
      <c r="B10" t="s">
        <v>531</v>
      </c>
      <c r="C10" s="3">
        <f t="shared" si="0"/>
        <v>54</v>
      </c>
      <c r="D10">
        <v>38</v>
      </c>
      <c r="E10">
        <v>14</v>
      </c>
      <c r="F10">
        <v>12</v>
      </c>
      <c r="G10">
        <f t="shared" si="2"/>
        <v>12</v>
      </c>
      <c r="H10">
        <v>53</v>
      </c>
      <c r="I10">
        <v>45</v>
      </c>
      <c r="J10">
        <f t="shared" si="3"/>
        <v>8</v>
      </c>
      <c r="L10" t="s">
        <v>7</v>
      </c>
      <c r="M10" t="s">
        <v>555</v>
      </c>
      <c r="N10" s="3">
        <f t="shared" si="1"/>
        <v>61</v>
      </c>
      <c r="O10">
        <v>42</v>
      </c>
      <c r="P10">
        <v>17</v>
      </c>
      <c r="Q10">
        <v>10</v>
      </c>
      <c r="R10">
        <f t="shared" si="4"/>
        <v>15</v>
      </c>
      <c r="S10">
        <v>69</v>
      </c>
      <c r="T10">
        <v>61</v>
      </c>
      <c r="U10">
        <f t="shared" si="5"/>
        <v>8</v>
      </c>
      <c r="W10" t="s">
        <v>6</v>
      </c>
      <c r="X10" t="s">
        <v>579</v>
      </c>
      <c r="Y10" s="3">
        <f t="shared" si="6"/>
        <v>57</v>
      </c>
      <c r="Z10">
        <v>38</v>
      </c>
      <c r="AA10">
        <v>16</v>
      </c>
      <c r="AB10">
        <v>9</v>
      </c>
      <c r="AC10">
        <f t="shared" si="8"/>
        <v>13</v>
      </c>
      <c r="AD10">
        <v>54</v>
      </c>
      <c r="AE10">
        <v>50</v>
      </c>
      <c r="AF10">
        <f t="shared" si="9"/>
        <v>4</v>
      </c>
      <c r="AH10" t="s">
        <v>6</v>
      </c>
      <c r="AI10" t="s">
        <v>600</v>
      </c>
      <c r="AJ10" s="3">
        <f t="shared" si="7"/>
        <v>56</v>
      </c>
      <c r="AK10">
        <v>38</v>
      </c>
      <c r="AL10">
        <v>15</v>
      </c>
      <c r="AM10">
        <v>11</v>
      </c>
      <c r="AN10">
        <f t="shared" si="10"/>
        <v>12</v>
      </c>
      <c r="AO10">
        <v>52</v>
      </c>
      <c r="AP10">
        <v>46</v>
      </c>
      <c r="AQ10">
        <f t="shared" si="11"/>
        <v>6</v>
      </c>
    </row>
    <row r="11" spans="1:50" x14ac:dyDescent="0.3">
      <c r="A11" t="s">
        <v>8</v>
      </c>
      <c r="B11" t="s">
        <v>532</v>
      </c>
      <c r="C11" s="3">
        <f t="shared" si="0"/>
        <v>50</v>
      </c>
      <c r="D11">
        <v>38</v>
      </c>
      <c r="E11">
        <v>14</v>
      </c>
      <c r="F11">
        <v>8</v>
      </c>
      <c r="G11">
        <f t="shared" si="2"/>
        <v>16</v>
      </c>
      <c r="H11">
        <v>35</v>
      </c>
      <c r="I11">
        <v>44</v>
      </c>
      <c r="J11">
        <f t="shared" si="3"/>
        <v>-9</v>
      </c>
      <c r="L11" t="s">
        <v>8</v>
      </c>
      <c r="M11" t="s">
        <v>556</v>
      </c>
      <c r="N11" s="3">
        <f t="shared" si="1"/>
        <v>60</v>
      </c>
      <c r="O11">
        <v>42</v>
      </c>
      <c r="P11">
        <v>16</v>
      </c>
      <c r="Q11">
        <v>12</v>
      </c>
      <c r="R11">
        <f t="shared" si="4"/>
        <v>14</v>
      </c>
      <c r="S11">
        <v>48</v>
      </c>
      <c r="T11">
        <v>45</v>
      </c>
      <c r="U11">
        <f t="shared" si="5"/>
        <v>3</v>
      </c>
      <c r="W11" t="s">
        <v>7</v>
      </c>
      <c r="X11" t="s">
        <v>580</v>
      </c>
      <c r="Y11" s="3">
        <f t="shared" si="6"/>
        <v>56</v>
      </c>
      <c r="Z11">
        <v>38</v>
      </c>
      <c r="AA11">
        <v>15</v>
      </c>
      <c r="AB11">
        <v>11</v>
      </c>
      <c r="AC11">
        <f t="shared" si="8"/>
        <v>12</v>
      </c>
      <c r="AD11">
        <v>49</v>
      </c>
      <c r="AE11">
        <v>47</v>
      </c>
      <c r="AF11">
        <f t="shared" si="9"/>
        <v>2</v>
      </c>
      <c r="AH11" t="s">
        <v>7</v>
      </c>
      <c r="AI11" t="s">
        <v>601</v>
      </c>
      <c r="AJ11" s="3">
        <f t="shared" si="7"/>
        <v>56</v>
      </c>
      <c r="AK11">
        <v>38</v>
      </c>
      <c r="AL11">
        <v>14</v>
      </c>
      <c r="AM11">
        <v>14</v>
      </c>
      <c r="AN11">
        <f t="shared" si="10"/>
        <v>10</v>
      </c>
      <c r="AO11">
        <v>51</v>
      </c>
      <c r="AP11">
        <v>48</v>
      </c>
      <c r="AQ11">
        <f t="shared" si="11"/>
        <v>3</v>
      </c>
    </row>
    <row r="12" spans="1:50" x14ac:dyDescent="0.3">
      <c r="A12" t="s">
        <v>9</v>
      </c>
      <c r="B12" t="s">
        <v>533</v>
      </c>
      <c r="C12" s="3">
        <f t="shared" si="0"/>
        <v>47</v>
      </c>
      <c r="D12">
        <v>38</v>
      </c>
      <c r="E12">
        <v>13</v>
      </c>
      <c r="F12">
        <v>8</v>
      </c>
      <c r="G12">
        <f t="shared" si="2"/>
        <v>17</v>
      </c>
      <c r="H12">
        <v>49</v>
      </c>
      <c r="I12">
        <v>55</v>
      </c>
      <c r="J12">
        <f t="shared" si="3"/>
        <v>-6</v>
      </c>
      <c r="L12" t="s">
        <v>9</v>
      </c>
      <c r="M12" t="s">
        <v>557</v>
      </c>
      <c r="N12" s="3">
        <f t="shared" si="1"/>
        <v>60</v>
      </c>
      <c r="O12">
        <v>42</v>
      </c>
      <c r="P12">
        <v>17</v>
      </c>
      <c r="Q12">
        <v>9</v>
      </c>
      <c r="R12">
        <f t="shared" si="4"/>
        <v>16</v>
      </c>
      <c r="S12">
        <v>59</v>
      </c>
      <c r="T12">
        <v>58</v>
      </c>
      <c r="U12">
        <f t="shared" si="5"/>
        <v>1</v>
      </c>
      <c r="W12" t="s">
        <v>8</v>
      </c>
      <c r="X12" t="s">
        <v>581</v>
      </c>
      <c r="Y12" s="3">
        <f t="shared" si="6"/>
        <v>54</v>
      </c>
      <c r="Z12">
        <v>38</v>
      </c>
      <c r="AA12">
        <v>16</v>
      </c>
      <c r="AB12">
        <v>6</v>
      </c>
      <c r="AC12">
        <f t="shared" si="8"/>
        <v>16</v>
      </c>
      <c r="AD12">
        <v>49</v>
      </c>
      <c r="AE12">
        <v>50</v>
      </c>
      <c r="AF12">
        <f t="shared" si="9"/>
        <v>-1</v>
      </c>
      <c r="AH12" t="s">
        <v>8</v>
      </c>
      <c r="AI12" t="s">
        <v>602</v>
      </c>
      <c r="AJ12" s="3">
        <f t="shared" si="7"/>
        <v>53</v>
      </c>
      <c r="AK12">
        <v>38</v>
      </c>
      <c r="AL12">
        <v>13</v>
      </c>
      <c r="AM12">
        <v>14</v>
      </c>
      <c r="AN12">
        <f t="shared" si="10"/>
        <v>11</v>
      </c>
      <c r="AO12">
        <v>48</v>
      </c>
      <c r="AP12">
        <v>39</v>
      </c>
      <c r="AQ12">
        <f t="shared" si="11"/>
        <v>9</v>
      </c>
    </row>
    <row r="13" spans="1:50" x14ac:dyDescent="0.3">
      <c r="A13" t="s">
        <v>10</v>
      </c>
      <c r="B13" t="s">
        <v>534</v>
      </c>
      <c r="C13" s="3">
        <f t="shared" si="0"/>
        <v>47</v>
      </c>
      <c r="D13">
        <v>38</v>
      </c>
      <c r="E13">
        <v>13</v>
      </c>
      <c r="F13">
        <v>8</v>
      </c>
      <c r="G13">
        <f t="shared" si="2"/>
        <v>17</v>
      </c>
      <c r="H13">
        <v>42</v>
      </c>
      <c r="I13">
        <v>55</v>
      </c>
      <c r="J13">
        <f t="shared" si="3"/>
        <v>-13</v>
      </c>
      <c r="L13" t="s">
        <v>10</v>
      </c>
      <c r="M13" t="s">
        <v>558</v>
      </c>
      <c r="N13" s="3">
        <f t="shared" si="1"/>
        <v>56</v>
      </c>
      <c r="O13">
        <v>42</v>
      </c>
      <c r="P13">
        <v>15</v>
      </c>
      <c r="Q13">
        <v>11</v>
      </c>
      <c r="R13">
        <f t="shared" si="4"/>
        <v>16</v>
      </c>
      <c r="S13">
        <v>53</v>
      </c>
      <c r="T13">
        <v>56</v>
      </c>
      <c r="U13">
        <f t="shared" si="5"/>
        <v>-3</v>
      </c>
      <c r="W13" t="s">
        <v>9</v>
      </c>
      <c r="X13" t="s">
        <v>582</v>
      </c>
      <c r="Y13" s="3">
        <f t="shared" si="6"/>
        <v>53</v>
      </c>
      <c r="Z13">
        <v>38</v>
      </c>
      <c r="AA13">
        <v>13</v>
      </c>
      <c r="AB13">
        <v>14</v>
      </c>
      <c r="AC13">
        <f t="shared" si="8"/>
        <v>11</v>
      </c>
      <c r="AD13">
        <v>45</v>
      </c>
      <c r="AE13">
        <v>37</v>
      </c>
      <c r="AF13">
        <f t="shared" si="9"/>
        <v>8</v>
      </c>
      <c r="AH13" t="s">
        <v>9</v>
      </c>
      <c r="AI13" t="s">
        <v>603</v>
      </c>
      <c r="AJ13" s="3">
        <f t="shared" si="7"/>
        <v>52</v>
      </c>
      <c r="AK13">
        <v>38</v>
      </c>
      <c r="AL13">
        <v>12</v>
      </c>
      <c r="AM13">
        <v>16</v>
      </c>
      <c r="AN13">
        <f t="shared" si="10"/>
        <v>10</v>
      </c>
      <c r="AO13">
        <v>41</v>
      </c>
      <c r="AP13">
        <v>40</v>
      </c>
      <c r="AQ13">
        <f t="shared" si="11"/>
        <v>1</v>
      </c>
    </row>
    <row r="14" spans="1:50" x14ac:dyDescent="0.3">
      <c r="A14" t="s">
        <v>11</v>
      </c>
      <c r="B14" t="s">
        <v>535</v>
      </c>
      <c r="C14" s="3">
        <f t="shared" si="0"/>
        <v>47</v>
      </c>
      <c r="D14">
        <v>38</v>
      </c>
      <c r="E14">
        <v>12</v>
      </c>
      <c r="F14">
        <v>11</v>
      </c>
      <c r="G14">
        <f t="shared" si="2"/>
        <v>15</v>
      </c>
      <c r="H14">
        <v>38</v>
      </c>
      <c r="I14">
        <v>51</v>
      </c>
      <c r="J14">
        <f t="shared" si="3"/>
        <v>-13</v>
      </c>
      <c r="L14" t="s">
        <v>11</v>
      </c>
      <c r="M14" t="s">
        <v>559</v>
      </c>
      <c r="N14" s="3">
        <f t="shared" si="1"/>
        <v>55</v>
      </c>
      <c r="O14">
        <v>42</v>
      </c>
      <c r="P14">
        <v>14</v>
      </c>
      <c r="Q14">
        <v>13</v>
      </c>
      <c r="R14">
        <f t="shared" si="4"/>
        <v>15</v>
      </c>
      <c r="S14">
        <v>58</v>
      </c>
      <c r="T14">
        <v>54</v>
      </c>
      <c r="U14">
        <f t="shared" si="5"/>
        <v>4</v>
      </c>
      <c r="W14" t="s">
        <v>10</v>
      </c>
      <c r="X14" t="s">
        <v>583</v>
      </c>
      <c r="Y14" s="3">
        <f t="shared" si="6"/>
        <v>53</v>
      </c>
      <c r="Z14">
        <v>38</v>
      </c>
      <c r="AA14">
        <v>14</v>
      </c>
      <c r="AB14">
        <v>11</v>
      </c>
      <c r="AC14">
        <f t="shared" si="8"/>
        <v>13</v>
      </c>
      <c r="AD14">
        <v>51</v>
      </c>
      <c r="AE14">
        <v>50</v>
      </c>
      <c r="AF14">
        <f t="shared" si="9"/>
        <v>1</v>
      </c>
      <c r="AH14" t="s">
        <v>10</v>
      </c>
      <c r="AI14" t="s">
        <v>604</v>
      </c>
      <c r="AJ14" s="3">
        <f t="shared" si="7"/>
        <v>51</v>
      </c>
      <c r="AK14">
        <v>38</v>
      </c>
      <c r="AL14">
        <v>14</v>
      </c>
      <c r="AM14">
        <v>9</v>
      </c>
      <c r="AN14">
        <f t="shared" si="10"/>
        <v>15</v>
      </c>
      <c r="AO14">
        <v>43</v>
      </c>
      <c r="AP14">
        <v>44</v>
      </c>
      <c r="AQ14">
        <f t="shared" si="11"/>
        <v>-1</v>
      </c>
    </row>
    <row r="15" spans="1:50" x14ac:dyDescent="0.3">
      <c r="A15" t="s">
        <v>69</v>
      </c>
      <c r="B15" t="s">
        <v>536</v>
      </c>
      <c r="C15" s="3">
        <f t="shared" si="0"/>
        <v>46</v>
      </c>
      <c r="D15">
        <v>38</v>
      </c>
      <c r="E15">
        <v>12</v>
      </c>
      <c r="F15">
        <v>10</v>
      </c>
      <c r="G15">
        <f t="shared" si="2"/>
        <v>16</v>
      </c>
      <c r="H15">
        <v>46</v>
      </c>
      <c r="I15">
        <v>61</v>
      </c>
      <c r="J15">
        <f t="shared" si="3"/>
        <v>-15</v>
      </c>
      <c r="L15" t="s">
        <v>69</v>
      </c>
      <c r="M15" t="s">
        <v>560</v>
      </c>
      <c r="N15" s="3">
        <f t="shared" si="1"/>
        <v>55</v>
      </c>
      <c r="O15">
        <v>42</v>
      </c>
      <c r="P15">
        <v>14</v>
      </c>
      <c r="Q15">
        <v>13</v>
      </c>
      <c r="R15">
        <f t="shared" si="4"/>
        <v>15</v>
      </c>
      <c r="S15">
        <v>53</v>
      </c>
      <c r="T15">
        <v>55</v>
      </c>
      <c r="U15">
        <f t="shared" si="5"/>
        <v>-2</v>
      </c>
      <c r="W15" t="s">
        <v>11</v>
      </c>
      <c r="X15" t="s">
        <v>584</v>
      </c>
      <c r="Y15" s="3">
        <f t="shared" si="6"/>
        <v>50</v>
      </c>
      <c r="Z15">
        <v>38</v>
      </c>
      <c r="AA15">
        <v>14</v>
      </c>
      <c r="AB15">
        <v>8</v>
      </c>
      <c r="AC15">
        <f t="shared" si="8"/>
        <v>16</v>
      </c>
      <c r="AD15">
        <v>41</v>
      </c>
      <c r="AE15">
        <v>47</v>
      </c>
      <c r="AF15">
        <f t="shared" si="9"/>
        <v>-6</v>
      </c>
      <c r="AH15" t="s">
        <v>11</v>
      </c>
      <c r="AI15" t="s">
        <v>605</v>
      </c>
      <c r="AJ15" s="3">
        <f t="shared" si="7"/>
        <v>50</v>
      </c>
      <c r="AK15">
        <v>38</v>
      </c>
      <c r="AL15">
        <v>13</v>
      </c>
      <c r="AM15">
        <v>11</v>
      </c>
      <c r="AN15">
        <f t="shared" si="10"/>
        <v>14</v>
      </c>
      <c r="AO15">
        <v>43</v>
      </c>
      <c r="AP15">
        <v>44</v>
      </c>
      <c r="AQ15">
        <f t="shared" si="11"/>
        <v>-1</v>
      </c>
    </row>
    <row r="16" spans="1:50" x14ac:dyDescent="0.3">
      <c r="A16" t="s">
        <v>70</v>
      </c>
      <c r="B16" t="s">
        <v>537</v>
      </c>
      <c r="C16" s="3">
        <f t="shared" si="0"/>
        <v>45</v>
      </c>
      <c r="D16">
        <v>38</v>
      </c>
      <c r="E16">
        <v>11</v>
      </c>
      <c r="F16">
        <v>12</v>
      </c>
      <c r="G16">
        <f t="shared" si="2"/>
        <v>15</v>
      </c>
      <c r="H16">
        <v>42</v>
      </c>
      <c r="I16">
        <v>49</v>
      </c>
      <c r="J16">
        <f t="shared" si="3"/>
        <v>-7</v>
      </c>
      <c r="L16" t="s">
        <v>70</v>
      </c>
      <c r="M16" t="s">
        <v>561</v>
      </c>
      <c r="N16" s="3">
        <f t="shared" si="1"/>
        <v>55</v>
      </c>
      <c r="O16">
        <v>42</v>
      </c>
      <c r="P16">
        <v>15</v>
      </c>
      <c r="Q16">
        <v>10</v>
      </c>
      <c r="R16">
        <f t="shared" si="4"/>
        <v>17</v>
      </c>
      <c r="S16">
        <v>50</v>
      </c>
      <c r="T16">
        <v>55</v>
      </c>
      <c r="U16">
        <f t="shared" si="5"/>
        <v>-5</v>
      </c>
      <c r="W16" t="s">
        <v>69</v>
      </c>
      <c r="X16" t="s">
        <v>585</v>
      </c>
      <c r="Y16" s="3">
        <f t="shared" si="6"/>
        <v>48</v>
      </c>
      <c r="Z16">
        <v>38</v>
      </c>
      <c r="AA16">
        <v>13</v>
      </c>
      <c r="AB16">
        <v>9</v>
      </c>
      <c r="AC16">
        <f t="shared" si="8"/>
        <v>16</v>
      </c>
      <c r="AD16">
        <v>47</v>
      </c>
      <c r="AE16">
        <v>54</v>
      </c>
      <c r="AF16">
        <f t="shared" si="9"/>
        <v>-7</v>
      </c>
      <c r="AH16" t="s">
        <v>69</v>
      </c>
      <c r="AI16" t="s">
        <v>606</v>
      </c>
      <c r="AJ16" s="3">
        <f t="shared" si="7"/>
        <v>48</v>
      </c>
      <c r="AK16">
        <v>38</v>
      </c>
      <c r="AL16">
        <v>12</v>
      </c>
      <c r="AM16">
        <v>12</v>
      </c>
      <c r="AN16">
        <f t="shared" si="10"/>
        <v>14</v>
      </c>
      <c r="AO16">
        <v>31</v>
      </c>
      <c r="AP16">
        <v>39</v>
      </c>
      <c r="AQ16">
        <f t="shared" si="11"/>
        <v>-8</v>
      </c>
    </row>
    <row r="17" spans="1:43" x14ac:dyDescent="0.3">
      <c r="A17" t="s">
        <v>71</v>
      </c>
      <c r="B17" t="s">
        <v>538</v>
      </c>
      <c r="C17" s="3">
        <f t="shared" si="0"/>
        <v>44</v>
      </c>
      <c r="D17">
        <v>38</v>
      </c>
      <c r="E17">
        <v>11</v>
      </c>
      <c r="F17">
        <v>11</v>
      </c>
      <c r="G17">
        <f t="shared" si="2"/>
        <v>16</v>
      </c>
      <c r="H17">
        <v>43</v>
      </c>
      <c r="I17">
        <v>48</v>
      </c>
      <c r="J17">
        <f t="shared" si="3"/>
        <v>-5</v>
      </c>
      <c r="L17" t="s">
        <v>71</v>
      </c>
      <c r="M17" t="s">
        <v>562</v>
      </c>
      <c r="N17" s="3">
        <f t="shared" si="1"/>
        <v>55</v>
      </c>
      <c r="O17">
        <v>42</v>
      </c>
      <c r="P17">
        <v>15</v>
      </c>
      <c r="Q17">
        <v>10</v>
      </c>
      <c r="R17">
        <f t="shared" si="4"/>
        <v>17</v>
      </c>
      <c r="S17">
        <v>54</v>
      </c>
      <c r="T17">
        <v>67</v>
      </c>
      <c r="U17">
        <f t="shared" si="5"/>
        <v>-13</v>
      </c>
      <c r="W17" t="s">
        <v>70</v>
      </c>
      <c r="X17" t="s">
        <v>586</v>
      </c>
      <c r="Y17" s="3">
        <f t="shared" si="6"/>
        <v>45</v>
      </c>
      <c r="Z17">
        <v>38</v>
      </c>
      <c r="AA17">
        <v>12</v>
      </c>
      <c r="AB17">
        <v>9</v>
      </c>
      <c r="AC17">
        <f t="shared" si="8"/>
        <v>17</v>
      </c>
      <c r="AD17">
        <v>47</v>
      </c>
      <c r="AE17">
        <v>54</v>
      </c>
      <c r="AF17">
        <f t="shared" si="9"/>
        <v>-7</v>
      </c>
      <c r="AH17" t="s">
        <v>70</v>
      </c>
      <c r="AI17" t="s">
        <v>607</v>
      </c>
      <c r="AJ17" s="3">
        <f t="shared" si="7"/>
        <v>48</v>
      </c>
      <c r="AK17">
        <v>38</v>
      </c>
      <c r="AL17">
        <v>13</v>
      </c>
      <c r="AM17">
        <v>9</v>
      </c>
      <c r="AN17">
        <f t="shared" si="10"/>
        <v>16</v>
      </c>
      <c r="AO17">
        <v>44</v>
      </c>
      <c r="AP17">
        <v>53</v>
      </c>
      <c r="AQ17">
        <f t="shared" si="11"/>
        <v>-9</v>
      </c>
    </row>
    <row r="18" spans="1:43" x14ac:dyDescent="0.3">
      <c r="A18" t="s">
        <v>72</v>
      </c>
      <c r="B18" t="s">
        <v>539</v>
      </c>
      <c r="C18" s="3">
        <f t="shared" si="0"/>
        <v>40</v>
      </c>
      <c r="D18">
        <v>38</v>
      </c>
      <c r="E18">
        <v>9</v>
      </c>
      <c r="F18">
        <v>13</v>
      </c>
      <c r="G18">
        <f t="shared" si="2"/>
        <v>16</v>
      </c>
      <c r="H18">
        <v>51</v>
      </c>
      <c r="I18">
        <v>62</v>
      </c>
      <c r="J18">
        <f t="shared" si="3"/>
        <v>-11</v>
      </c>
      <c r="L18" t="s">
        <v>72</v>
      </c>
      <c r="M18" t="s">
        <v>563</v>
      </c>
      <c r="N18" s="3">
        <f t="shared" si="1"/>
        <v>54</v>
      </c>
      <c r="O18">
        <v>42</v>
      </c>
      <c r="P18">
        <v>13</v>
      </c>
      <c r="Q18">
        <v>15</v>
      </c>
      <c r="R18">
        <f t="shared" si="4"/>
        <v>14</v>
      </c>
      <c r="S18">
        <v>54</v>
      </c>
      <c r="T18">
        <v>51</v>
      </c>
      <c r="U18">
        <f t="shared" si="5"/>
        <v>3</v>
      </c>
      <c r="W18" t="s">
        <v>71</v>
      </c>
      <c r="X18" t="s">
        <v>587</v>
      </c>
      <c r="Y18" s="3">
        <f t="shared" si="6"/>
        <v>44</v>
      </c>
      <c r="Z18">
        <v>38</v>
      </c>
      <c r="AA18">
        <v>10</v>
      </c>
      <c r="AB18">
        <v>14</v>
      </c>
      <c r="AC18">
        <f t="shared" si="8"/>
        <v>14</v>
      </c>
      <c r="AD18">
        <v>42</v>
      </c>
      <c r="AE18">
        <v>49</v>
      </c>
      <c r="AF18">
        <f t="shared" si="9"/>
        <v>-7</v>
      </c>
      <c r="AH18" t="s">
        <v>71</v>
      </c>
      <c r="AI18" t="s">
        <v>608</v>
      </c>
      <c r="AJ18" s="3">
        <f t="shared" si="7"/>
        <v>47</v>
      </c>
      <c r="AK18">
        <v>38</v>
      </c>
      <c r="AL18">
        <v>12</v>
      </c>
      <c r="AM18">
        <v>11</v>
      </c>
      <c r="AN18">
        <f t="shared" si="10"/>
        <v>15</v>
      </c>
      <c r="AO18">
        <v>34</v>
      </c>
      <c r="AP18">
        <v>43</v>
      </c>
      <c r="AQ18">
        <f t="shared" si="11"/>
        <v>-9</v>
      </c>
    </row>
    <row r="19" spans="1:43" x14ac:dyDescent="0.3">
      <c r="A19" t="s">
        <v>255</v>
      </c>
      <c r="B19" t="s">
        <v>540</v>
      </c>
      <c r="C19" s="3">
        <f t="shared" si="0"/>
        <v>40</v>
      </c>
      <c r="D19">
        <v>38</v>
      </c>
      <c r="E19">
        <v>11</v>
      </c>
      <c r="F19">
        <v>7</v>
      </c>
      <c r="G19">
        <f t="shared" si="2"/>
        <v>20</v>
      </c>
      <c r="H19">
        <v>49</v>
      </c>
      <c r="I19">
        <v>64</v>
      </c>
      <c r="J19">
        <f t="shared" si="3"/>
        <v>-15</v>
      </c>
      <c r="L19" t="s">
        <v>255</v>
      </c>
      <c r="M19" t="s">
        <v>564</v>
      </c>
      <c r="N19" s="3">
        <f t="shared" si="1"/>
        <v>53</v>
      </c>
      <c r="O19">
        <v>42</v>
      </c>
      <c r="P19">
        <v>13</v>
      </c>
      <c r="Q19">
        <v>14</v>
      </c>
      <c r="R19">
        <f t="shared" si="4"/>
        <v>15</v>
      </c>
      <c r="S19">
        <v>60</v>
      </c>
      <c r="T19">
        <v>61</v>
      </c>
      <c r="U19">
        <f t="shared" si="5"/>
        <v>-1</v>
      </c>
      <c r="W19" t="s">
        <v>72</v>
      </c>
      <c r="X19" t="s">
        <v>588</v>
      </c>
      <c r="Y19" s="3">
        <f t="shared" si="6"/>
        <v>43</v>
      </c>
      <c r="Z19">
        <v>38</v>
      </c>
      <c r="AA19">
        <v>11</v>
      </c>
      <c r="AB19">
        <v>10</v>
      </c>
      <c r="AC19">
        <f t="shared" si="8"/>
        <v>17</v>
      </c>
      <c r="AD19">
        <v>47</v>
      </c>
      <c r="AE19">
        <v>53</v>
      </c>
      <c r="AF19">
        <f t="shared" si="9"/>
        <v>-6</v>
      </c>
      <c r="AH19" t="s">
        <v>72</v>
      </c>
      <c r="AI19" t="s">
        <v>609</v>
      </c>
      <c r="AJ19" s="3">
        <f t="shared" si="7"/>
        <v>45</v>
      </c>
      <c r="AK19">
        <v>38</v>
      </c>
      <c r="AL19">
        <v>11</v>
      </c>
      <c r="AM19">
        <v>12</v>
      </c>
      <c r="AN19">
        <f t="shared" si="10"/>
        <v>15</v>
      </c>
      <c r="AO19">
        <v>38</v>
      </c>
      <c r="AP19">
        <v>41</v>
      </c>
      <c r="AQ19">
        <f t="shared" si="11"/>
        <v>-3</v>
      </c>
    </row>
    <row r="20" spans="1:43" x14ac:dyDescent="0.3">
      <c r="A20" s="7" t="s">
        <v>256</v>
      </c>
      <c r="B20" t="s">
        <v>541</v>
      </c>
      <c r="C20" s="3">
        <f t="shared" si="0"/>
        <v>40</v>
      </c>
      <c r="D20">
        <v>38</v>
      </c>
      <c r="E20">
        <v>10</v>
      </c>
      <c r="F20">
        <v>10</v>
      </c>
      <c r="G20">
        <f t="shared" si="2"/>
        <v>18</v>
      </c>
      <c r="H20">
        <v>37</v>
      </c>
      <c r="I20">
        <v>55</v>
      </c>
      <c r="J20">
        <f t="shared" si="3"/>
        <v>-18</v>
      </c>
      <c r="L20" t="s">
        <v>256</v>
      </c>
      <c r="M20" t="s">
        <v>565</v>
      </c>
      <c r="N20" s="3">
        <f t="shared" si="1"/>
        <v>52</v>
      </c>
      <c r="O20">
        <v>42</v>
      </c>
      <c r="P20">
        <v>13</v>
      </c>
      <c r="Q20">
        <v>13</v>
      </c>
      <c r="R20">
        <f t="shared" si="4"/>
        <v>16</v>
      </c>
      <c r="S20">
        <v>46</v>
      </c>
      <c r="T20">
        <v>53</v>
      </c>
      <c r="U20">
        <f t="shared" si="5"/>
        <v>-7</v>
      </c>
      <c r="W20" t="s">
        <v>255</v>
      </c>
      <c r="X20" t="s">
        <v>589</v>
      </c>
      <c r="Y20" s="3">
        <f t="shared" si="6"/>
        <v>41</v>
      </c>
      <c r="Z20">
        <v>38</v>
      </c>
      <c r="AA20">
        <v>11</v>
      </c>
      <c r="AB20">
        <v>8</v>
      </c>
      <c r="AC20">
        <f t="shared" si="8"/>
        <v>19</v>
      </c>
      <c r="AD20">
        <v>53</v>
      </c>
      <c r="AE20">
        <v>65</v>
      </c>
      <c r="AF20">
        <f t="shared" si="9"/>
        <v>-12</v>
      </c>
      <c r="AH20" t="s">
        <v>255</v>
      </c>
      <c r="AI20" t="s">
        <v>610</v>
      </c>
      <c r="AJ20" s="3">
        <f t="shared" si="7"/>
        <v>40</v>
      </c>
      <c r="AK20">
        <v>38</v>
      </c>
      <c r="AL20">
        <v>10</v>
      </c>
      <c r="AM20">
        <v>10</v>
      </c>
      <c r="AN20">
        <f t="shared" si="10"/>
        <v>18</v>
      </c>
      <c r="AO20">
        <v>32</v>
      </c>
      <c r="AP20">
        <v>41</v>
      </c>
      <c r="AQ20">
        <f t="shared" si="11"/>
        <v>-9</v>
      </c>
    </row>
    <row r="21" spans="1:43" x14ac:dyDescent="0.3">
      <c r="A21" s="7" t="s">
        <v>277</v>
      </c>
      <c r="B21" t="s">
        <v>542</v>
      </c>
      <c r="C21" s="3">
        <f t="shared" si="0"/>
        <v>36</v>
      </c>
      <c r="D21">
        <v>38</v>
      </c>
      <c r="E21">
        <v>9</v>
      </c>
      <c r="F21">
        <v>9</v>
      </c>
      <c r="G21">
        <f t="shared" si="2"/>
        <v>20</v>
      </c>
      <c r="H21">
        <v>45</v>
      </c>
      <c r="I21">
        <v>61</v>
      </c>
      <c r="J21">
        <f t="shared" si="3"/>
        <v>-16</v>
      </c>
      <c r="L21" s="7" t="s">
        <v>277</v>
      </c>
      <c r="M21" t="s">
        <v>566</v>
      </c>
      <c r="N21" s="3">
        <f t="shared" si="1"/>
        <v>44</v>
      </c>
      <c r="O21">
        <v>42</v>
      </c>
      <c r="P21">
        <v>12</v>
      </c>
      <c r="Q21">
        <v>8</v>
      </c>
      <c r="R21">
        <f t="shared" si="4"/>
        <v>22</v>
      </c>
      <c r="S21">
        <v>45</v>
      </c>
      <c r="T21">
        <v>64</v>
      </c>
      <c r="U21">
        <f t="shared" si="5"/>
        <v>-19</v>
      </c>
      <c r="W21" t="s">
        <v>256</v>
      </c>
      <c r="X21" t="s">
        <v>590</v>
      </c>
      <c r="Y21" s="3">
        <f t="shared" si="6"/>
        <v>40</v>
      </c>
      <c r="Z21">
        <v>38</v>
      </c>
      <c r="AA21">
        <v>9</v>
      </c>
      <c r="AB21">
        <v>13</v>
      </c>
      <c r="AC21">
        <f t="shared" si="8"/>
        <v>16</v>
      </c>
      <c r="AD21">
        <v>39</v>
      </c>
      <c r="AE21">
        <v>55</v>
      </c>
      <c r="AF21">
        <f t="shared" si="9"/>
        <v>-16</v>
      </c>
      <c r="AH21" t="s">
        <v>256</v>
      </c>
      <c r="AI21" t="s">
        <v>611</v>
      </c>
      <c r="AJ21" s="3">
        <f t="shared" si="7"/>
        <v>37</v>
      </c>
      <c r="AK21">
        <v>38</v>
      </c>
      <c r="AL21">
        <v>9</v>
      </c>
      <c r="AM21">
        <v>10</v>
      </c>
      <c r="AN21">
        <f t="shared" si="10"/>
        <v>19</v>
      </c>
      <c r="AO21">
        <v>32</v>
      </c>
      <c r="AP21">
        <v>46</v>
      </c>
      <c r="AQ21">
        <f t="shared" si="11"/>
        <v>-14</v>
      </c>
    </row>
    <row r="22" spans="1:43" x14ac:dyDescent="0.3">
      <c r="A22" s="7" t="s">
        <v>278</v>
      </c>
      <c r="B22" t="s">
        <v>543</v>
      </c>
      <c r="C22" s="3">
        <f t="shared" si="0"/>
        <v>31</v>
      </c>
      <c r="D22">
        <v>38</v>
      </c>
      <c r="E22">
        <v>7</v>
      </c>
      <c r="F22">
        <v>10</v>
      </c>
      <c r="G22">
        <f t="shared" si="2"/>
        <v>21</v>
      </c>
      <c r="H22">
        <v>44</v>
      </c>
      <c r="I22">
        <v>65</v>
      </c>
      <c r="J22">
        <f t="shared" si="3"/>
        <v>-21</v>
      </c>
      <c r="L22" s="7" t="s">
        <v>278</v>
      </c>
      <c r="M22" t="s">
        <v>567</v>
      </c>
      <c r="N22" s="3">
        <f t="shared" si="1"/>
        <v>43</v>
      </c>
      <c r="O22">
        <v>42</v>
      </c>
      <c r="P22">
        <v>11</v>
      </c>
      <c r="Q22">
        <v>10</v>
      </c>
      <c r="R22">
        <f t="shared" si="4"/>
        <v>21</v>
      </c>
      <c r="S22">
        <v>46</v>
      </c>
      <c r="T22">
        <v>66</v>
      </c>
      <c r="U22">
        <f t="shared" si="5"/>
        <v>-20</v>
      </c>
      <c r="W22" t="s">
        <v>277</v>
      </c>
      <c r="X22" t="s">
        <v>591</v>
      </c>
      <c r="Y22" s="3">
        <f t="shared" si="6"/>
        <v>38</v>
      </c>
      <c r="Z22">
        <v>38</v>
      </c>
      <c r="AA22">
        <v>9</v>
      </c>
      <c r="AB22">
        <v>11</v>
      </c>
      <c r="AC22">
        <f t="shared" si="8"/>
        <v>18</v>
      </c>
      <c r="AD22">
        <v>44</v>
      </c>
      <c r="AE22">
        <v>55</v>
      </c>
      <c r="AF22">
        <f t="shared" si="9"/>
        <v>-11</v>
      </c>
      <c r="AH22" t="s">
        <v>277</v>
      </c>
      <c r="AI22" t="s">
        <v>612</v>
      </c>
      <c r="AJ22" s="3">
        <f t="shared" si="7"/>
        <v>37</v>
      </c>
      <c r="AK22">
        <v>38</v>
      </c>
      <c r="AL22">
        <v>9</v>
      </c>
      <c r="AM22">
        <v>10</v>
      </c>
      <c r="AN22">
        <f t="shared" si="10"/>
        <v>19</v>
      </c>
      <c r="AO22">
        <v>44</v>
      </c>
      <c r="AP22">
        <v>62</v>
      </c>
      <c r="AQ22">
        <f t="shared" si="11"/>
        <v>-18</v>
      </c>
    </row>
    <row r="23" spans="1:43" x14ac:dyDescent="0.3">
      <c r="L23" s="7" t="s">
        <v>546</v>
      </c>
      <c r="M23" t="s">
        <v>568</v>
      </c>
      <c r="N23" s="3">
        <f t="shared" si="1"/>
        <v>42</v>
      </c>
      <c r="O23">
        <v>42</v>
      </c>
      <c r="P23">
        <v>11</v>
      </c>
      <c r="Q23">
        <v>9</v>
      </c>
      <c r="R23">
        <f t="shared" si="4"/>
        <v>22</v>
      </c>
      <c r="S23">
        <v>43</v>
      </c>
      <c r="T23">
        <v>65</v>
      </c>
      <c r="U23">
        <f t="shared" si="5"/>
        <v>-22</v>
      </c>
      <c r="W23" t="s">
        <v>278</v>
      </c>
      <c r="X23" t="s">
        <v>592</v>
      </c>
      <c r="Y23" s="3">
        <f t="shared" si="6"/>
        <v>36</v>
      </c>
      <c r="Z23">
        <v>38</v>
      </c>
      <c r="AA23">
        <v>8</v>
      </c>
      <c r="AB23">
        <v>12</v>
      </c>
      <c r="AC23">
        <f t="shared" si="8"/>
        <v>18</v>
      </c>
      <c r="AD23">
        <v>29</v>
      </c>
      <c r="AE23">
        <v>47</v>
      </c>
      <c r="AF23">
        <f t="shared" si="9"/>
        <v>-18</v>
      </c>
      <c r="AH23" t="s">
        <v>278</v>
      </c>
      <c r="AI23" t="s">
        <v>613</v>
      </c>
      <c r="AJ23" s="3">
        <f t="shared" si="7"/>
        <v>36</v>
      </c>
      <c r="AK23">
        <v>38</v>
      </c>
      <c r="AL23">
        <v>9</v>
      </c>
      <c r="AM23">
        <v>9</v>
      </c>
      <c r="AN23">
        <f t="shared" si="10"/>
        <v>20</v>
      </c>
      <c r="AO23">
        <v>36</v>
      </c>
      <c r="AP23">
        <v>54</v>
      </c>
      <c r="AQ23">
        <f t="shared" si="11"/>
        <v>-18</v>
      </c>
    </row>
    <row r="24" spans="1:43" x14ac:dyDescent="0.3">
      <c r="L24" s="7" t="s">
        <v>547</v>
      </c>
      <c r="M24" t="s">
        <v>569</v>
      </c>
      <c r="N24" s="3">
        <f t="shared" si="1"/>
        <v>41</v>
      </c>
      <c r="O24">
        <v>42</v>
      </c>
      <c r="P24">
        <v>11</v>
      </c>
      <c r="Q24">
        <v>8</v>
      </c>
      <c r="R24">
        <f t="shared" si="4"/>
        <v>23</v>
      </c>
      <c r="S24">
        <v>51</v>
      </c>
      <c r="T24">
        <v>68</v>
      </c>
      <c r="U24">
        <f t="shared" si="5"/>
        <v>-17</v>
      </c>
    </row>
    <row r="25" spans="1:43" x14ac:dyDescent="0.3">
      <c r="W25" t="s">
        <v>419</v>
      </c>
    </row>
    <row r="26" spans="1:43" x14ac:dyDescent="0.3">
      <c r="L26" t="s">
        <v>593</v>
      </c>
      <c r="W26" t="s">
        <v>40</v>
      </c>
    </row>
    <row r="27" spans="1:43" x14ac:dyDescent="0.3">
      <c r="L27" t="s">
        <v>40</v>
      </c>
      <c r="W27" t="str">
        <f>AI8</f>
        <v>Algeciras</v>
      </c>
      <c r="X27" t="s">
        <v>206</v>
      </c>
      <c r="Y27" t="str">
        <f>X5</f>
        <v>Celta de Vigo B</v>
      </c>
      <c r="AA27" t="str">
        <f>X5</f>
        <v>Celta de Vigo B</v>
      </c>
      <c r="AB27" t="s">
        <v>42</v>
      </c>
      <c r="AC27" t="str">
        <f>AI8</f>
        <v>Algeciras</v>
      </c>
    </row>
    <row r="28" spans="1:43" x14ac:dyDescent="0.3">
      <c r="L28" t="str">
        <f>M8</f>
        <v>Castellón</v>
      </c>
      <c r="M28" t="s">
        <v>38</v>
      </c>
      <c r="N28" t="str">
        <f>M5</f>
        <v>Las Palmas</v>
      </c>
      <c r="P28" t="str">
        <f>M5</f>
        <v>Las Palmas</v>
      </c>
      <c r="Q28" t="s">
        <v>44</v>
      </c>
      <c r="R28" t="str">
        <f>M8</f>
        <v>Castellón</v>
      </c>
      <c r="W28" t="str">
        <f>X7</f>
        <v>Athletic Bilbao B</v>
      </c>
      <c r="X28" t="s">
        <v>38</v>
      </c>
      <c r="Y28" t="str">
        <f>AI6</f>
        <v>CE Europa</v>
      </c>
      <c r="AA28" t="str">
        <f>AI6</f>
        <v>CE Europa</v>
      </c>
      <c r="AB28" t="s">
        <v>93</v>
      </c>
      <c r="AC28" t="str">
        <f>X7</f>
        <v>Athletic Bilbao B</v>
      </c>
    </row>
    <row r="29" spans="1:43" x14ac:dyDescent="0.3">
      <c r="L29" t="str">
        <f>M7</f>
        <v>Burgos</v>
      </c>
      <c r="M29" t="s">
        <v>204</v>
      </c>
      <c r="N29" t="str">
        <f>M6</f>
        <v>Almería</v>
      </c>
      <c r="P29" t="str">
        <f>M6</f>
        <v>Almería</v>
      </c>
      <c r="Q29" t="s">
        <v>42</v>
      </c>
      <c r="R29" t="str">
        <f>M7</f>
        <v>Burgos</v>
      </c>
      <c r="W29" t="str">
        <f>X8</f>
        <v>Lugo</v>
      </c>
      <c r="X29" t="s">
        <v>205</v>
      </c>
      <c r="Y29" t="str">
        <f>AI5</f>
        <v>Sabadell</v>
      </c>
      <c r="AA29" t="str">
        <f>AI5</f>
        <v>Sabadell</v>
      </c>
      <c r="AB29" t="s">
        <v>44</v>
      </c>
      <c r="AC29" t="str">
        <f>X8</f>
        <v>Lugo</v>
      </c>
    </row>
    <row r="30" spans="1:43" x14ac:dyDescent="0.3">
      <c r="W30" t="str">
        <f>AI7</f>
        <v>Eldense</v>
      </c>
      <c r="X30" t="s">
        <v>44</v>
      </c>
      <c r="Y30" t="str">
        <f>X6</f>
        <v>Zamora</v>
      </c>
      <c r="AA30" t="str">
        <f>X6</f>
        <v>Zamora</v>
      </c>
      <c r="AB30" t="s">
        <v>41</v>
      </c>
      <c r="AC30" t="str">
        <f>AI7</f>
        <v>Eldense</v>
      </c>
    </row>
    <row r="31" spans="1:43" x14ac:dyDescent="0.3">
      <c r="L31" t="s">
        <v>46</v>
      </c>
    </row>
    <row r="32" spans="1:43" x14ac:dyDescent="0.3">
      <c r="L32" t="s">
        <v>551</v>
      </c>
      <c r="M32" t="s">
        <v>206</v>
      </c>
      <c r="N32" t="s">
        <v>550</v>
      </c>
      <c r="P32" t="s">
        <v>550</v>
      </c>
      <c r="Q32" t="s">
        <v>95</v>
      </c>
      <c r="R32" t="s">
        <v>551</v>
      </c>
      <c r="W32" t="s">
        <v>614</v>
      </c>
    </row>
    <row r="33" spans="23:29" x14ac:dyDescent="0.3">
      <c r="W33" t="s">
        <v>596</v>
      </c>
      <c r="X33" t="s">
        <v>615</v>
      </c>
      <c r="Y33" t="s">
        <v>574</v>
      </c>
      <c r="AA33" t="s">
        <v>574</v>
      </c>
      <c r="AB33" t="s">
        <v>64</v>
      </c>
      <c r="AC33" t="s">
        <v>596</v>
      </c>
    </row>
    <row r="34" spans="23:29" x14ac:dyDescent="0.3">
      <c r="W34" t="s">
        <v>597</v>
      </c>
      <c r="X34" t="s">
        <v>44</v>
      </c>
      <c r="Y34" t="s">
        <v>595</v>
      </c>
      <c r="AA34" t="s">
        <v>595</v>
      </c>
      <c r="AB34" t="s">
        <v>44</v>
      </c>
      <c r="AC34" t="s">
        <v>597</v>
      </c>
    </row>
    <row r="36" spans="23:29" x14ac:dyDescent="0.3">
      <c r="W36" t="s">
        <v>616</v>
      </c>
    </row>
    <row r="37" spans="23:29" x14ac:dyDescent="0.3">
      <c r="W37" t="s">
        <v>594</v>
      </c>
      <c r="X37" t="s">
        <v>43</v>
      </c>
      <c r="Y37" t="s">
        <v>573</v>
      </c>
      <c r="AA37" t="s">
        <v>573</v>
      </c>
      <c r="AB37" t="s">
        <v>38</v>
      </c>
      <c r="AC37" t="s">
        <v>594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C7B4B-CE0C-4335-B7C5-E786B7778FED}">
  <dimension ref="A1:Q12"/>
  <sheetViews>
    <sheetView workbookViewId="0">
      <selection activeCell="G3" sqref="G3"/>
    </sheetView>
  </sheetViews>
  <sheetFormatPr defaultRowHeight="14.4" x14ac:dyDescent="0.3"/>
  <sheetData>
    <row r="1" spans="1:17" x14ac:dyDescent="0.3">
      <c r="A1" t="s">
        <v>174</v>
      </c>
      <c r="L1" t="s">
        <v>185</v>
      </c>
      <c r="P1" t="s">
        <v>48</v>
      </c>
    </row>
    <row r="2" spans="1:17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20</v>
      </c>
      <c r="I2" t="s">
        <v>21</v>
      </c>
      <c r="J2" t="s">
        <v>19</v>
      </c>
      <c r="L2" t="s">
        <v>36</v>
      </c>
      <c r="P2" t="s">
        <v>175</v>
      </c>
      <c r="Q2">
        <v>1</v>
      </c>
    </row>
    <row r="3" spans="1:17" x14ac:dyDescent="0.3">
      <c r="A3" s="4" t="s">
        <v>0</v>
      </c>
      <c r="B3" t="s">
        <v>175</v>
      </c>
      <c r="C3" s="3">
        <v>71</v>
      </c>
      <c r="D3">
        <v>36</v>
      </c>
      <c r="E3">
        <v>22</v>
      </c>
      <c r="F3">
        <v>5</v>
      </c>
      <c r="G3">
        <f t="shared" ref="G3:G6" si="0">D3-E3-F3</f>
        <v>9</v>
      </c>
      <c r="H3">
        <v>62</v>
      </c>
      <c r="I3">
        <v>33</v>
      </c>
      <c r="J3">
        <f>H3-I3</f>
        <v>29</v>
      </c>
      <c r="L3" t="s">
        <v>184</v>
      </c>
      <c r="M3" t="s">
        <v>38</v>
      </c>
      <c r="N3" t="s">
        <v>182</v>
      </c>
      <c r="P3" t="s">
        <v>178</v>
      </c>
      <c r="Q3">
        <v>4</v>
      </c>
    </row>
    <row r="4" spans="1:17" x14ac:dyDescent="0.3">
      <c r="A4" s="1" t="s">
        <v>1</v>
      </c>
      <c r="B4" t="s">
        <v>176</v>
      </c>
      <c r="C4" s="3">
        <v>65</v>
      </c>
      <c r="D4">
        <v>36</v>
      </c>
      <c r="E4">
        <v>20</v>
      </c>
      <c r="F4">
        <v>5</v>
      </c>
      <c r="G4">
        <f t="shared" si="0"/>
        <v>11</v>
      </c>
      <c r="H4">
        <v>66</v>
      </c>
      <c r="I4">
        <v>45</v>
      </c>
      <c r="J4">
        <f t="shared" ref="J4:J12" si="1">H4-I4</f>
        <v>21</v>
      </c>
    </row>
    <row r="5" spans="1:17" x14ac:dyDescent="0.3">
      <c r="A5" s="1" t="s">
        <v>2</v>
      </c>
      <c r="B5" t="s">
        <v>180</v>
      </c>
      <c r="C5" s="3">
        <v>56</v>
      </c>
      <c r="D5">
        <v>36</v>
      </c>
      <c r="E5">
        <v>14</v>
      </c>
      <c r="F5">
        <v>14</v>
      </c>
      <c r="G5">
        <f t="shared" si="0"/>
        <v>8</v>
      </c>
      <c r="H5">
        <v>60</v>
      </c>
      <c r="I5">
        <v>47</v>
      </c>
      <c r="J5">
        <f t="shared" si="1"/>
        <v>13</v>
      </c>
      <c r="L5" t="s">
        <v>40</v>
      </c>
    </row>
    <row r="6" spans="1:17" x14ac:dyDescent="0.3">
      <c r="A6" t="s">
        <v>3</v>
      </c>
      <c r="B6" t="s">
        <v>179</v>
      </c>
      <c r="C6" s="3">
        <v>52</v>
      </c>
      <c r="D6">
        <v>36</v>
      </c>
      <c r="E6">
        <v>15</v>
      </c>
      <c r="F6">
        <v>7</v>
      </c>
      <c r="G6">
        <f t="shared" si="0"/>
        <v>14</v>
      </c>
      <c r="H6">
        <v>51</v>
      </c>
      <c r="I6">
        <v>46</v>
      </c>
      <c r="J6">
        <f t="shared" si="1"/>
        <v>5</v>
      </c>
      <c r="L6" t="s">
        <v>178</v>
      </c>
      <c r="M6" t="s">
        <v>43</v>
      </c>
      <c r="N6" t="s">
        <v>180</v>
      </c>
    </row>
    <row r="7" spans="1:17" x14ac:dyDescent="0.3">
      <c r="A7" t="s">
        <v>4</v>
      </c>
      <c r="B7" t="s">
        <v>177</v>
      </c>
      <c r="C7" s="3">
        <v>48</v>
      </c>
      <c r="D7">
        <v>36</v>
      </c>
      <c r="E7">
        <v>14</v>
      </c>
      <c r="F7">
        <v>6</v>
      </c>
      <c r="G7">
        <f>D7-E7-F7</f>
        <v>16</v>
      </c>
      <c r="H7">
        <v>52</v>
      </c>
      <c r="I7">
        <v>61</v>
      </c>
      <c r="J7">
        <f t="shared" si="1"/>
        <v>-9</v>
      </c>
      <c r="L7" t="s">
        <v>176</v>
      </c>
      <c r="M7" t="s">
        <v>43</v>
      </c>
      <c r="N7" t="s">
        <v>182</v>
      </c>
    </row>
    <row r="8" spans="1:17" x14ac:dyDescent="0.3">
      <c r="A8" t="s">
        <v>5</v>
      </c>
      <c r="B8" t="s">
        <v>182</v>
      </c>
      <c r="C8" s="3">
        <v>47</v>
      </c>
      <c r="D8">
        <v>36</v>
      </c>
      <c r="E8">
        <v>14</v>
      </c>
      <c r="F8">
        <v>5</v>
      </c>
      <c r="G8">
        <f t="shared" ref="G8:G11" si="2">D8-E8-F8</f>
        <v>17</v>
      </c>
      <c r="H8">
        <v>45</v>
      </c>
      <c r="I8">
        <v>53</v>
      </c>
      <c r="J8">
        <f t="shared" si="1"/>
        <v>-8</v>
      </c>
    </row>
    <row r="9" spans="1:17" x14ac:dyDescent="0.3">
      <c r="A9" s="1" t="s">
        <v>6</v>
      </c>
      <c r="B9" t="s">
        <v>178</v>
      </c>
      <c r="C9" s="3">
        <v>45</v>
      </c>
      <c r="D9">
        <v>36</v>
      </c>
      <c r="E9">
        <v>13</v>
      </c>
      <c r="F9">
        <v>6</v>
      </c>
      <c r="G9">
        <f t="shared" si="2"/>
        <v>17</v>
      </c>
      <c r="H9">
        <v>46</v>
      </c>
      <c r="I9">
        <v>55</v>
      </c>
      <c r="J9">
        <f t="shared" si="1"/>
        <v>-9</v>
      </c>
      <c r="L9" t="s">
        <v>46</v>
      </c>
    </row>
    <row r="10" spans="1:17" x14ac:dyDescent="0.3">
      <c r="A10" t="s">
        <v>7</v>
      </c>
      <c r="B10" t="s">
        <v>181</v>
      </c>
      <c r="C10" s="3">
        <v>44</v>
      </c>
      <c r="D10">
        <v>36</v>
      </c>
      <c r="E10">
        <v>12</v>
      </c>
      <c r="F10">
        <v>8</v>
      </c>
      <c r="G10">
        <f t="shared" si="2"/>
        <v>16</v>
      </c>
      <c r="H10">
        <v>50</v>
      </c>
      <c r="I10">
        <v>56</v>
      </c>
      <c r="J10">
        <f t="shared" si="1"/>
        <v>-6</v>
      </c>
      <c r="L10" t="s">
        <v>178</v>
      </c>
      <c r="M10" t="s">
        <v>42</v>
      </c>
      <c r="N10" t="s">
        <v>176</v>
      </c>
    </row>
    <row r="11" spans="1:17" x14ac:dyDescent="0.3">
      <c r="A11" t="s">
        <v>8</v>
      </c>
      <c r="B11" t="s">
        <v>183</v>
      </c>
      <c r="C11" s="3">
        <v>41</v>
      </c>
      <c r="D11">
        <v>36</v>
      </c>
      <c r="E11">
        <v>12</v>
      </c>
      <c r="F11">
        <v>5</v>
      </c>
      <c r="G11">
        <f t="shared" si="2"/>
        <v>19</v>
      </c>
      <c r="H11">
        <v>40</v>
      </c>
      <c r="I11">
        <v>56</v>
      </c>
      <c r="J11">
        <f t="shared" si="1"/>
        <v>-16</v>
      </c>
    </row>
    <row r="12" spans="1:17" x14ac:dyDescent="0.3">
      <c r="A12" t="s">
        <v>9</v>
      </c>
      <c r="B12" t="s">
        <v>184</v>
      </c>
      <c r="C12" s="3">
        <v>37</v>
      </c>
      <c r="D12">
        <v>36</v>
      </c>
      <c r="E12">
        <v>10</v>
      </c>
      <c r="F12">
        <v>7</v>
      </c>
      <c r="G12">
        <f t="shared" ref="G12" si="3">D12-E12-F12</f>
        <v>19</v>
      </c>
      <c r="H12">
        <v>33</v>
      </c>
      <c r="I12">
        <v>53</v>
      </c>
      <c r="J12">
        <f t="shared" si="1"/>
        <v>-20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FA5D0-E39E-47BB-BBBB-BE8CD1E579E3}">
  <dimension ref="A1:AM30"/>
  <sheetViews>
    <sheetView workbookViewId="0">
      <selection activeCell="A2" sqref="A2:J20"/>
    </sheetView>
  </sheetViews>
  <sheetFormatPr defaultRowHeight="14.4" x14ac:dyDescent="0.3"/>
  <sheetData>
    <row r="1" spans="1:39" x14ac:dyDescent="0.3">
      <c r="A1" t="s">
        <v>618</v>
      </c>
      <c r="L1" t="s">
        <v>637</v>
      </c>
      <c r="W1" t="s">
        <v>638</v>
      </c>
      <c r="AH1" t="s">
        <v>656</v>
      </c>
      <c r="AL1" t="s">
        <v>48</v>
      </c>
    </row>
    <row r="2" spans="1:39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20</v>
      </c>
      <c r="I2" t="s">
        <v>21</v>
      </c>
      <c r="J2" t="s">
        <v>19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20</v>
      </c>
      <c r="T2" t="s">
        <v>21</v>
      </c>
      <c r="U2" t="s">
        <v>19</v>
      </c>
      <c r="W2" t="s">
        <v>12</v>
      </c>
      <c r="X2" t="s">
        <v>13</v>
      </c>
      <c r="Y2" t="s">
        <v>14</v>
      </c>
      <c r="Z2" t="s">
        <v>15</v>
      </c>
      <c r="AA2" t="s">
        <v>16</v>
      </c>
      <c r="AB2" t="s">
        <v>17</v>
      </c>
      <c r="AC2" t="s">
        <v>18</v>
      </c>
      <c r="AD2" t="s">
        <v>20</v>
      </c>
      <c r="AE2" t="s">
        <v>21</v>
      </c>
      <c r="AF2" t="s">
        <v>19</v>
      </c>
      <c r="AH2" t="s">
        <v>40</v>
      </c>
      <c r="AL2" t="s">
        <v>619</v>
      </c>
      <c r="AM2">
        <v>14</v>
      </c>
    </row>
    <row r="3" spans="1:39" x14ac:dyDescent="0.3">
      <c r="A3" s="4" t="s">
        <v>0</v>
      </c>
      <c r="B3" t="s">
        <v>619</v>
      </c>
      <c r="C3" s="3">
        <f t="shared" ref="C3:C20" si="0">E3*3+F3</f>
        <v>76</v>
      </c>
      <c r="D3">
        <v>34</v>
      </c>
      <c r="E3">
        <v>24</v>
      </c>
      <c r="F3">
        <v>4</v>
      </c>
      <c r="G3">
        <f>D3-E3-F3</f>
        <v>6</v>
      </c>
      <c r="H3">
        <v>72</v>
      </c>
      <c r="I3">
        <v>30</v>
      </c>
      <c r="J3">
        <f>H3-I3</f>
        <v>42</v>
      </c>
      <c r="L3" s="1" t="s">
        <v>0</v>
      </c>
      <c r="M3" t="s">
        <v>658</v>
      </c>
      <c r="N3" s="3">
        <f t="shared" ref="N3:N20" si="1">P3*3+Q3</f>
        <v>68</v>
      </c>
      <c r="O3">
        <v>34</v>
      </c>
      <c r="P3">
        <v>20</v>
      </c>
      <c r="Q3">
        <v>8</v>
      </c>
      <c r="R3">
        <f>O3-P3-Q3</f>
        <v>6</v>
      </c>
      <c r="S3">
        <v>58</v>
      </c>
      <c r="T3">
        <v>34</v>
      </c>
      <c r="U3">
        <f>S3-T3</f>
        <v>24</v>
      </c>
      <c r="W3" s="1" t="s">
        <v>0</v>
      </c>
      <c r="X3" t="s">
        <v>639</v>
      </c>
      <c r="Y3" s="3">
        <f t="shared" ref="Y3:Y19" si="2">AA3*3+AB3</f>
        <v>64</v>
      </c>
      <c r="Z3">
        <v>32</v>
      </c>
      <c r="AA3">
        <v>19</v>
      </c>
      <c r="AB3">
        <v>7</v>
      </c>
      <c r="AC3">
        <f>Z3-AA3-AB3</f>
        <v>6</v>
      </c>
      <c r="AD3">
        <v>55</v>
      </c>
      <c r="AE3">
        <v>23</v>
      </c>
      <c r="AF3">
        <f>AD3-AE3</f>
        <v>32</v>
      </c>
      <c r="AH3" t="s">
        <v>620</v>
      </c>
      <c r="AI3" t="s">
        <v>657</v>
      </c>
      <c r="AJ3" t="s">
        <v>629</v>
      </c>
      <c r="AL3" t="s">
        <v>658</v>
      </c>
      <c r="AM3">
        <v>3</v>
      </c>
    </row>
    <row r="4" spans="1:39" x14ac:dyDescent="0.3">
      <c r="A4" s="4" t="s">
        <v>1</v>
      </c>
      <c r="B4" t="s">
        <v>620</v>
      </c>
      <c r="C4" s="3">
        <f t="shared" si="0"/>
        <v>64</v>
      </c>
      <c r="D4">
        <v>34</v>
      </c>
      <c r="E4">
        <v>20</v>
      </c>
      <c r="F4">
        <v>4</v>
      </c>
      <c r="G4">
        <f t="shared" ref="G4:G20" si="3">D4-E4-F4</f>
        <v>10</v>
      </c>
      <c r="H4">
        <v>61</v>
      </c>
      <c r="I4">
        <v>35</v>
      </c>
      <c r="J4">
        <f t="shared" ref="J4:J20" si="4">H4-I4</f>
        <v>26</v>
      </c>
      <c r="L4" s="1" t="s">
        <v>1</v>
      </c>
      <c r="M4" t="s">
        <v>660</v>
      </c>
      <c r="N4" s="3">
        <f t="shared" si="1"/>
        <v>64</v>
      </c>
      <c r="O4">
        <v>34</v>
      </c>
      <c r="P4">
        <v>19</v>
      </c>
      <c r="Q4">
        <v>7</v>
      </c>
      <c r="R4">
        <f t="shared" ref="R4:R20" si="5">O4-P4-Q4</f>
        <v>8</v>
      </c>
      <c r="S4">
        <v>61</v>
      </c>
      <c r="T4">
        <v>37</v>
      </c>
      <c r="U4">
        <f t="shared" ref="U4:U20" si="6">S4-T4</f>
        <v>24</v>
      </c>
      <c r="W4" s="1" t="s">
        <v>1</v>
      </c>
      <c r="X4" t="s">
        <v>640</v>
      </c>
      <c r="Y4" s="3">
        <f t="shared" si="2"/>
        <v>60</v>
      </c>
      <c r="Z4">
        <v>32</v>
      </c>
      <c r="AA4">
        <v>17</v>
      </c>
      <c r="AB4">
        <v>9</v>
      </c>
      <c r="AC4">
        <f t="shared" ref="AC4:AC19" si="7">Z4-AA4-AB4</f>
        <v>6</v>
      </c>
      <c r="AD4">
        <v>50</v>
      </c>
      <c r="AE4">
        <v>30</v>
      </c>
      <c r="AF4">
        <f t="shared" ref="AF4:AF19" si="8">AD4-AE4</f>
        <v>20</v>
      </c>
      <c r="AH4" t="s">
        <v>628</v>
      </c>
      <c r="AI4" t="s">
        <v>47</v>
      </c>
      <c r="AJ4" t="s">
        <v>633</v>
      </c>
      <c r="AL4" t="s">
        <v>639</v>
      </c>
      <c r="AM4">
        <v>1</v>
      </c>
    </row>
    <row r="5" spans="1:39" x14ac:dyDescent="0.3">
      <c r="A5" s="4" t="s">
        <v>2</v>
      </c>
      <c r="B5" t="s">
        <v>621</v>
      </c>
      <c r="C5" s="3">
        <f t="shared" si="0"/>
        <v>60</v>
      </c>
      <c r="D5">
        <v>34</v>
      </c>
      <c r="E5">
        <v>18</v>
      </c>
      <c r="F5">
        <v>6</v>
      </c>
      <c r="G5">
        <f t="shared" si="3"/>
        <v>10</v>
      </c>
      <c r="H5">
        <v>55</v>
      </c>
      <c r="I5">
        <v>43</v>
      </c>
      <c r="J5">
        <f t="shared" si="4"/>
        <v>12</v>
      </c>
      <c r="L5" s="2" t="s">
        <v>2</v>
      </c>
      <c r="M5" t="s">
        <v>659</v>
      </c>
      <c r="N5" s="3">
        <f t="shared" si="1"/>
        <v>60</v>
      </c>
      <c r="O5">
        <v>34</v>
      </c>
      <c r="P5">
        <v>16</v>
      </c>
      <c r="Q5">
        <v>12</v>
      </c>
      <c r="R5">
        <f t="shared" si="5"/>
        <v>6</v>
      </c>
      <c r="S5">
        <v>51</v>
      </c>
      <c r="T5">
        <v>38</v>
      </c>
      <c r="U5">
        <f t="shared" si="6"/>
        <v>13</v>
      </c>
      <c r="W5" s="2" t="s">
        <v>2</v>
      </c>
      <c r="X5" t="s">
        <v>641</v>
      </c>
      <c r="Y5" s="3">
        <f t="shared" si="2"/>
        <v>56</v>
      </c>
      <c r="Z5">
        <v>32</v>
      </c>
      <c r="AA5">
        <v>15</v>
      </c>
      <c r="AB5">
        <v>11</v>
      </c>
      <c r="AC5">
        <f t="shared" si="7"/>
        <v>6</v>
      </c>
      <c r="AD5">
        <v>49</v>
      </c>
      <c r="AE5">
        <v>30</v>
      </c>
      <c r="AF5">
        <f t="shared" si="8"/>
        <v>19</v>
      </c>
      <c r="AL5" t="s">
        <v>620</v>
      </c>
      <c r="AM5">
        <v>1</v>
      </c>
    </row>
    <row r="6" spans="1:39" x14ac:dyDescent="0.3">
      <c r="A6" s="4" t="s">
        <v>3</v>
      </c>
      <c r="B6" t="s">
        <v>622</v>
      </c>
      <c r="C6" s="3">
        <f t="shared" si="0"/>
        <v>59</v>
      </c>
      <c r="D6">
        <v>34</v>
      </c>
      <c r="E6">
        <v>18</v>
      </c>
      <c r="F6">
        <v>5</v>
      </c>
      <c r="G6">
        <f t="shared" si="3"/>
        <v>11</v>
      </c>
      <c r="H6">
        <v>62</v>
      </c>
      <c r="I6">
        <v>44</v>
      </c>
      <c r="J6">
        <f t="shared" si="4"/>
        <v>18</v>
      </c>
      <c r="L6" s="2" t="s">
        <v>3</v>
      </c>
      <c r="M6" t="s">
        <v>661</v>
      </c>
      <c r="N6" s="3">
        <f t="shared" si="1"/>
        <v>56</v>
      </c>
      <c r="O6">
        <v>34</v>
      </c>
      <c r="P6">
        <v>15</v>
      </c>
      <c r="Q6">
        <v>11</v>
      </c>
      <c r="R6">
        <f t="shared" si="5"/>
        <v>8</v>
      </c>
      <c r="S6">
        <v>48</v>
      </c>
      <c r="T6">
        <v>30</v>
      </c>
      <c r="U6">
        <f t="shared" si="6"/>
        <v>18</v>
      </c>
      <c r="W6" t="s">
        <v>3</v>
      </c>
      <c r="X6" t="s">
        <v>642</v>
      </c>
      <c r="Y6" s="3">
        <f t="shared" si="2"/>
        <v>56</v>
      </c>
      <c r="Z6">
        <v>32</v>
      </c>
      <c r="AA6">
        <v>15</v>
      </c>
      <c r="AB6">
        <v>11</v>
      </c>
      <c r="AC6">
        <f t="shared" si="7"/>
        <v>6</v>
      </c>
      <c r="AD6">
        <v>43</v>
      </c>
      <c r="AE6">
        <v>30</v>
      </c>
      <c r="AF6">
        <f t="shared" si="8"/>
        <v>13</v>
      </c>
      <c r="AH6" t="s">
        <v>46</v>
      </c>
    </row>
    <row r="7" spans="1:39" x14ac:dyDescent="0.3">
      <c r="A7" s="5" t="s">
        <v>4</v>
      </c>
      <c r="B7" t="s">
        <v>623</v>
      </c>
      <c r="C7" s="3">
        <f t="shared" si="0"/>
        <v>58</v>
      </c>
      <c r="D7">
        <v>34</v>
      </c>
      <c r="E7">
        <v>18</v>
      </c>
      <c r="F7">
        <v>4</v>
      </c>
      <c r="G7">
        <f t="shared" si="3"/>
        <v>12</v>
      </c>
      <c r="H7">
        <v>58</v>
      </c>
      <c r="I7">
        <v>45</v>
      </c>
      <c r="J7">
        <f t="shared" si="4"/>
        <v>13</v>
      </c>
      <c r="L7" s="2" t="s">
        <v>4</v>
      </c>
      <c r="M7" t="s">
        <v>662</v>
      </c>
      <c r="N7" s="3">
        <f t="shared" si="1"/>
        <v>55</v>
      </c>
      <c r="O7">
        <v>34</v>
      </c>
      <c r="P7">
        <v>15</v>
      </c>
      <c r="Q7">
        <v>10</v>
      </c>
      <c r="R7">
        <f t="shared" si="5"/>
        <v>9</v>
      </c>
      <c r="S7">
        <v>45</v>
      </c>
      <c r="T7">
        <v>36</v>
      </c>
      <c r="U7">
        <f t="shared" si="6"/>
        <v>9</v>
      </c>
      <c r="W7" t="s">
        <v>4</v>
      </c>
      <c r="X7" t="s">
        <v>643</v>
      </c>
      <c r="Y7" s="3">
        <f t="shared" si="2"/>
        <v>51</v>
      </c>
      <c r="Z7">
        <v>32</v>
      </c>
      <c r="AA7">
        <v>14</v>
      </c>
      <c r="AB7">
        <v>9</v>
      </c>
      <c r="AC7">
        <f t="shared" si="7"/>
        <v>9</v>
      </c>
      <c r="AD7">
        <v>42</v>
      </c>
      <c r="AE7">
        <v>34</v>
      </c>
      <c r="AF7">
        <f t="shared" si="8"/>
        <v>8</v>
      </c>
      <c r="AH7" t="s">
        <v>620</v>
      </c>
      <c r="AI7" t="s">
        <v>43</v>
      </c>
      <c r="AJ7" t="s">
        <v>633</v>
      </c>
    </row>
    <row r="8" spans="1:39" x14ac:dyDescent="0.3">
      <c r="A8" s="5" t="s">
        <v>5</v>
      </c>
      <c r="B8" t="s">
        <v>624</v>
      </c>
      <c r="C8" s="3">
        <f t="shared" si="0"/>
        <v>57</v>
      </c>
      <c r="D8">
        <v>34</v>
      </c>
      <c r="E8">
        <v>17</v>
      </c>
      <c r="F8">
        <v>6</v>
      </c>
      <c r="G8">
        <f t="shared" si="3"/>
        <v>11</v>
      </c>
      <c r="H8">
        <v>51</v>
      </c>
      <c r="I8">
        <v>39</v>
      </c>
      <c r="J8">
        <f t="shared" si="4"/>
        <v>12</v>
      </c>
      <c r="L8" t="s">
        <v>5</v>
      </c>
      <c r="M8" t="s">
        <v>663</v>
      </c>
      <c r="N8" s="3">
        <f t="shared" si="1"/>
        <v>51</v>
      </c>
      <c r="O8">
        <v>34</v>
      </c>
      <c r="P8">
        <v>14</v>
      </c>
      <c r="Q8">
        <v>9</v>
      </c>
      <c r="R8">
        <f t="shared" si="5"/>
        <v>11</v>
      </c>
      <c r="S8">
        <v>42</v>
      </c>
      <c r="T8">
        <v>31</v>
      </c>
      <c r="U8">
        <f t="shared" si="6"/>
        <v>11</v>
      </c>
      <c r="W8" t="s">
        <v>5</v>
      </c>
      <c r="X8" t="s">
        <v>644</v>
      </c>
      <c r="Y8" s="3">
        <f t="shared" si="2"/>
        <v>51</v>
      </c>
      <c r="Z8">
        <v>32</v>
      </c>
      <c r="AA8">
        <v>14</v>
      </c>
      <c r="AB8">
        <v>9</v>
      </c>
      <c r="AC8">
        <f t="shared" si="7"/>
        <v>9</v>
      </c>
      <c r="AD8">
        <v>44</v>
      </c>
      <c r="AE8">
        <v>45</v>
      </c>
      <c r="AF8">
        <f t="shared" si="8"/>
        <v>-1</v>
      </c>
    </row>
    <row r="9" spans="1:39" x14ac:dyDescent="0.3">
      <c r="A9" s="1" t="s">
        <v>6</v>
      </c>
      <c r="B9" t="s">
        <v>625</v>
      </c>
      <c r="C9" s="3">
        <f t="shared" si="0"/>
        <v>50</v>
      </c>
      <c r="D9">
        <v>34</v>
      </c>
      <c r="E9">
        <v>13</v>
      </c>
      <c r="F9">
        <v>11</v>
      </c>
      <c r="G9">
        <f t="shared" si="3"/>
        <v>10</v>
      </c>
      <c r="H9">
        <v>50</v>
      </c>
      <c r="I9">
        <v>48</v>
      </c>
      <c r="J9">
        <f t="shared" si="4"/>
        <v>2</v>
      </c>
      <c r="L9" t="s">
        <v>6</v>
      </c>
      <c r="M9" t="s">
        <v>664</v>
      </c>
      <c r="N9" s="3">
        <f t="shared" si="1"/>
        <v>51</v>
      </c>
      <c r="O9">
        <v>34</v>
      </c>
      <c r="P9">
        <v>14</v>
      </c>
      <c r="Q9">
        <v>9</v>
      </c>
      <c r="R9">
        <f t="shared" si="5"/>
        <v>11</v>
      </c>
      <c r="S9">
        <v>42</v>
      </c>
      <c r="T9">
        <v>37</v>
      </c>
      <c r="U9">
        <f t="shared" si="6"/>
        <v>5</v>
      </c>
      <c r="W9" t="s">
        <v>6</v>
      </c>
      <c r="X9" t="s">
        <v>645</v>
      </c>
      <c r="Y9" s="3">
        <f t="shared" si="2"/>
        <v>50</v>
      </c>
      <c r="Z9">
        <v>32</v>
      </c>
      <c r="AA9">
        <v>14</v>
      </c>
      <c r="AB9">
        <v>8</v>
      </c>
      <c r="AC9">
        <f t="shared" si="7"/>
        <v>10</v>
      </c>
      <c r="AD9">
        <v>42</v>
      </c>
      <c r="AE9">
        <v>37</v>
      </c>
      <c r="AF9">
        <f t="shared" si="8"/>
        <v>5</v>
      </c>
    </row>
    <row r="10" spans="1:39" x14ac:dyDescent="0.3">
      <c r="A10" t="s">
        <v>7</v>
      </c>
      <c r="B10" t="s">
        <v>626</v>
      </c>
      <c r="C10" s="3">
        <f t="shared" si="0"/>
        <v>50</v>
      </c>
      <c r="D10">
        <v>34</v>
      </c>
      <c r="E10">
        <v>14</v>
      </c>
      <c r="F10">
        <v>8</v>
      </c>
      <c r="G10">
        <f t="shared" si="3"/>
        <v>12</v>
      </c>
      <c r="H10">
        <v>49</v>
      </c>
      <c r="I10">
        <v>48</v>
      </c>
      <c r="J10">
        <f t="shared" si="4"/>
        <v>1</v>
      </c>
      <c r="L10" t="s">
        <v>7</v>
      </c>
      <c r="M10" t="s">
        <v>665</v>
      </c>
      <c r="N10" s="3">
        <f t="shared" si="1"/>
        <v>49</v>
      </c>
      <c r="O10">
        <v>34</v>
      </c>
      <c r="P10">
        <v>12</v>
      </c>
      <c r="Q10">
        <v>13</v>
      </c>
      <c r="R10">
        <f t="shared" si="5"/>
        <v>9</v>
      </c>
      <c r="S10">
        <v>41</v>
      </c>
      <c r="T10">
        <v>40</v>
      </c>
      <c r="U10">
        <f t="shared" si="6"/>
        <v>1</v>
      </c>
      <c r="W10" t="s">
        <v>7</v>
      </c>
      <c r="X10" t="s">
        <v>646</v>
      </c>
      <c r="Y10" s="3">
        <f t="shared" si="2"/>
        <v>46</v>
      </c>
      <c r="Z10">
        <v>32</v>
      </c>
      <c r="AA10">
        <v>13</v>
      </c>
      <c r="AB10">
        <v>7</v>
      </c>
      <c r="AC10">
        <f t="shared" si="7"/>
        <v>12</v>
      </c>
      <c r="AD10">
        <v>46</v>
      </c>
      <c r="AE10">
        <v>46</v>
      </c>
      <c r="AF10">
        <f t="shared" si="8"/>
        <v>0</v>
      </c>
    </row>
    <row r="11" spans="1:39" x14ac:dyDescent="0.3">
      <c r="A11" t="s">
        <v>8</v>
      </c>
      <c r="B11" t="s">
        <v>627</v>
      </c>
      <c r="C11" s="3">
        <f t="shared" si="0"/>
        <v>50</v>
      </c>
      <c r="D11">
        <v>34</v>
      </c>
      <c r="E11">
        <v>13</v>
      </c>
      <c r="F11">
        <v>11</v>
      </c>
      <c r="G11">
        <f t="shared" si="3"/>
        <v>10</v>
      </c>
      <c r="H11">
        <v>51</v>
      </c>
      <c r="I11">
        <v>51</v>
      </c>
      <c r="J11">
        <f t="shared" si="4"/>
        <v>0</v>
      </c>
      <c r="L11" t="s">
        <v>8</v>
      </c>
      <c r="M11" t="s">
        <v>666</v>
      </c>
      <c r="N11" s="3">
        <f t="shared" si="1"/>
        <v>46</v>
      </c>
      <c r="O11">
        <v>34</v>
      </c>
      <c r="P11">
        <v>12</v>
      </c>
      <c r="Q11">
        <v>10</v>
      </c>
      <c r="R11">
        <f t="shared" si="5"/>
        <v>12</v>
      </c>
      <c r="S11">
        <v>44</v>
      </c>
      <c r="T11">
        <v>48</v>
      </c>
      <c r="U11">
        <f t="shared" si="6"/>
        <v>-4</v>
      </c>
      <c r="W11" t="s">
        <v>8</v>
      </c>
      <c r="X11" t="s">
        <v>647</v>
      </c>
      <c r="Y11" s="3">
        <f t="shared" si="2"/>
        <v>40</v>
      </c>
      <c r="Z11">
        <v>32</v>
      </c>
      <c r="AA11">
        <v>10</v>
      </c>
      <c r="AB11">
        <v>10</v>
      </c>
      <c r="AC11">
        <f t="shared" si="7"/>
        <v>12</v>
      </c>
      <c r="AD11">
        <v>38</v>
      </c>
      <c r="AE11">
        <v>43</v>
      </c>
      <c r="AF11">
        <f t="shared" si="8"/>
        <v>-5</v>
      </c>
    </row>
    <row r="12" spans="1:39" x14ac:dyDescent="0.3">
      <c r="A12" t="s">
        <v>9</v>
      </c>
      <c r="B12" t="s">
        <v>628</v>
      </c>
      <c r="C12" s="3">
        <f t="shared" si="0"/>
        <v>49</v>
      </c>
      <c r="D12">
        <v>34</v>
      </c>
      <c r="E12">
        <v>13</v>
      </c>
      <c r="F12">
        <v>10</v>
      </c>
      <c r="G12">
        <f t="shared" si="3"/>
        <v>11</v>
      </c>
      <c r="H12">
        <v>55</v>
      </c>
      <c r="I12">
        <v>47</v>
      </c>
      <c r="J12">
        <f t="shared" si="4"/>
        <v>8</v>
      </c>
      <c r="L12" t="s">
        <v>9</v>
      </c>
      <c r="M12" t="s">
        <v>667</v>
      </c>
      <c r="N12" s="3">
        <f t="shared" si="1"/>
        <v>43</v>
      </c>
      <c r="O12">
        <v>34</v>
      </c>
      <c r="P12">
        <v>11</v>
      </c>
      <c r="Q12">
        <v>10</v>
      </c>
      <c r="R12">
        <f t="shared" si="5"/>
        <v>13</v>
      </c>
      <c r="S12">
        <v>49</v>
      </c>
      <c r="T12">
        <v>47</v>
      </c>
      <c r="U12">
        <f t="shared" si="6"/>
        <v>2</v>
      </c>
      <c r="W12" t="s">
        <v>9</v>
      </c>
      <c r="X12" t="s">
        <v>648</v>
      </c>
      <c r="Y12" s="3">
        <f t="shared" si="2"/>
        <v>37</v>
      </c>
      <c r="Z12">
        <v>32</v>
      </c>
      <c r="AA12">
        <v>9</v>
      </c>
      <c r="AB12">
        <v>10</v>
      </c>
      <c r="AC12">
        <f t="shared" si="7"/>
        <v>13</v>
      </c>
      <c r="AD12">
        <v>42</v>
      </c>
      <c r="AE12">
        <v>48</v>
      </c>
      <c r="AF12">
        <f t="shared" si="8"/>
        <v>-6</v>
      </c>
    </row>
    <row r="13" spans="1:39" x14ac:dyDescent="0.3">
      <c r="A13" t="s">
        <v>10</v>
      </c>
      <c r="B13" t="s">
        <v>629</v>
      </c>
      <c r="C13" s="3">
        <f t="shared" si="0"/>
        <v>47</v>
      </c>
      <c r="D13">
        <v>34</v>
      </c>
      <c r="E13">
        <v>13</v>
      </c>
      <c r="F13">
        <v>8</v>
      </c>
      <c r="G13">
        <f t="shared" si="3"/>
        <v>13</v>
      </c>
      <c r="H13">
        <v>46</v>
      </c>
      <c r="I13">
        <v>42</v>
      </c>
      <c r="J13">
        <f t="shared" si="4"/>
        <v>4</v>
      </c>
      <c r="L13" t="s">
        <v>10</v>
      </c>
      <c r="M13" t="s">
        <v>668</v>
      </c>
      <c r="N13" s="3">
        <f t="shared" si="1"/>
        <v>42</v>
      </c>
      <c r="O13">
        <v>34</v>
      </c>
      <c r="P13">
        <v>11</v>
      </c>
      <c r="Q13">
        <v>9</v>
      </c>
      <c r="R13">
        <f t="shared" si="5"/>
        <v>14</v>
      </c>
      <c r="S13">
        <v>37</v>
      </c>
      <c r="T13">
        <v>48</v>
      </c>
      <c r="U13">
        <f t="shared" si="6"/>
        <v>-11</v>
      </c>
      <c r="W13" t="s">
        <v>10</v>
      </c>
      <c r="X13" t="s">
        <v>649</v>
      </c>
      <c r="Y13" s="3">
        <f t="shared" si="2"/>
        <v>36</v>
      </c>
      <c r="Z13">
        <v>32</v>
      </c>
      <c r="AA13">
        <v>10</v>
      </c>
      <c r="AB13">
        <v>6</v>
      </c>
      <c r="AC13">
        <f t="shared" si="7"/>
        <v>16</v>
      </c>
      <c r="AD13">
        <v>34</v>
      </c>
      <c r="AE13">
        <v>49</v>
      </c>
      <c r="AF13">
        <f t="shared" si="8"/>
        <v>-15</v>
      </c>
    </row>
    <row r="14" spans="1:39" x14ac:dyDescent="0.3">
      <c r="A14" t="s">
        <v>11</v>
      </c>
      <c r="B14" t="s">
        <v>630</v>
      </c>
      <c r="C14" s="3">
        <f t="shared" si="0"/>
        <v>42</v>
      </c>
      <c r="D14">
        <v>34</v>
      </c>
      <c r="E14">
        <v>10</v>
      </c>
      <c r="F14">
        <v>12</v>
      </c>
      <c r="G14">
        <f t="shared" si="3"/>
        <v>12</v>
      </c>
      <c r="H14">
        <v>40</v>
      </c>
      <c r="I14">
        <v>51</v>
      </c>
      <c r="J14">
        <f t="shared" si="4"/>
        <v>-11</v>
      </c>
      <c r="L14" t="s">
        <v>11</v>
      </c>
      <c r="M14" t="s">
        <v>669</v>
      </c>
      <c r="N14" s="3">
        <f t="shared" si="1"/>
        <v>40</v>
      </c>
      <c r="O14">
        <v>34</v>
      </c>
      <c r="P14">
        <v>10</v>
      </c>
      <c r="Q14">
        <v>10</v>
      </c>
      <c r="R14">
        <f t="shared" si="5"/>
        <v>14</v>
      </c>
      <c r="S14">
        <v>41</v>
      </c>
      <c r="T14">
        <v>52</v>
      </c>
      <c r="U14">
        <f t="shared" si="6"/>
        <v>-11</v>
      </c>
      <c r="W14" t="s">
        <v>11</v>
      </c>
      <c r="X14" t="s">
        <v>650</v>
      </c>
      <c r="Y14" s="3">
        <f t="shared" si="2"/>
        <v>35</v>
      </c>
      <c r="Z14">
        <v>32</v>
      </c>
      <c r="AA14">
        <v>6</v>
      </c>
      <c r="AB14">
        <v>17</v>
      </c>
      <c r="AC14">
        <f t="shared" si="7"/>
        <v>9</v>
      </c>
      <c r="AD14">
        <v>41</v>
      </c>
      <c r="AE14">
        <v>42</v>
      </c>
      <c r="AF14">
        <f t="shared" si="8"/>
        <v>-1</v>
      </c>
    </row>
    <row r="15" spans="1:39" x14ac:dyDescent="0.3">
      <c r="A15" t="s">
        <v>69</v>
      </c>
      <c r="B15" t="s">
        <v>631</v>
      </c>
      <c r="C15" s="3">
        <f t="shared" si="0"/>
        <v>40</v>
      </c>
      <c r="D15">
        <v>34</v>
      </c>
      <c r="E15">
        <v>11</v>
      </c>
      <c r="F15">
        <v>7</v>
      </c>
      <c r="G15">
        <f t="shared" si="3"/>
        <v>16</v>
      </c>
      <c r="H15">
        <v>32</v>
      </c>
      <c r="I15">
        <v>46</v>
      </c>
      <c r="J15">
        <f t="shared" si="4"/>
        <v>-14</v>
      </c>
      <c r="L15" t="s">
        <v>69</v>
      </c>
      <c r="M15" t="s">
        <v>670</v>
      </c>
      <c r="N15" s="3">
        <f t="shared" si="1"/>
        <v>38</v>
      </c>
      <c r="O15">
        <v>34</v>
      </c>
      <c r="P15">
        <v>8</v>
      </c>
      <c r="Q15">
        <v>14</v>
      </c>
      <c r="R15">
        <f t="shared" si="5"/>
        <v>12</v>
      </c>
      <c r="S15">
        <v>35</v>
      </c>
      <c r="T15">
        <v>39</v>
      </c>
      <c r="U15">
        <f t="shared" si="6"/>
        <v>-4</v>
      </c>
      <c r="W15" t="s">
        <v>69</v>
      </c>
      <c r="X15" t="s">
        <v>651</v>
      </c>
      <c r="Y15" s="3">
        <f t="shared" si="2"/>
        <v>34</v>
      </c>
      <c r="Z15">
        <v>32</v>
      </c>
      <c r="AA15">
        <v>8</v>
      </c>
      <c r="AB15">
        <v>10</v>
      </c>
      <c r="AC15">
        <f t="shared" si="7"/>
        <v>14</v>
      </c>
      <c r="AD15">
        <v>37</v>
      </c>
      <c r="AE15">
        <v>48</v>
      </c>
      <c r="AF15">
        <f t="shared" si="8"/>
        <v>-11</v>
      </c>
    </row>
    <row r="16" spans="1:39" x14ac:dyDescent="0.3">
      <c r="A16" t="s">
        <v>70</v>
      </c>
      <c r="B16" t="s">
        <v>632</v>
      </c>
      <c r="C16" s="3">
        <f t="shared" si="0"/>
        <v>33</v>
      </c>
      <c r="D16">
        <v>34</v>
      </c>
      <c r="E16">
        <v>7</v>
      </c>
      <c r="F16">
        <v>12</v>
      </c>
      <c r="G16">
        <f t="shared" si="3"/>
        <v>15</v>
      </c>
      <c r="H16">
        <v>28</v>
      </c>
      <c r="I16">
        <v>47</v>
      </c>
      <c r="J16">
        <f t="shared" si="4"/>
        <v>-19</v>
      </c>
      <c r="L16" t="s">
        <v>70</v>
      </c>
      <c r="M16" t="s">
        <v>671</v>
      </c>
      <c r="N16" s="3">
        <f t="shared" si="1"/>
        <v>36</v>
      </c>
      <c r="O16">
        <v>34</v>
      </c>
      <c r="P16">
        <v>8</v>
      </c>
      <c r="Q16">
        <v>12</v>
      </c>
      <c r="R16">
        <f t="shared" si="5"/>
        <v>14</v>
      </c>
      <c r="S16">
        <v>35</v>
      </c>
      <c r="T16">
        <v>45</v>
      </c>
      <c r="U16">
        <f t="shared" si="6"/>
        <v>-10</v>
      </c>
      <c r="W16" t="s">
        <v>70</v>
      </c>
      <c r="X16" t="s">
        <v>652</v>
      </c>
      <c r="Y16" s="3">
        <f t="shared" si="2"/>
        <v>33</v>
      </c>
      <c r="Z16">
        <v>32</v>
      </c>
      <c r="AA16">
        <v>8</v>
      </c>
      <c r="AB16">
        <v>9</v>
      </c>
      <c r="AC16">
        <f t="shared" si="7"/>
        <v>15</v>
      </c>
      <c r="AD16">
        <v>35</v>
      </c>
      <c r="AE16">
        <v>45</v>
      </c>
      <c r="AF16">
        <f t="shared" si="8"/>
        <v>-10</v>
      </c>
    </row>
    <row r="17" spans="1:32" x14ac:dyDescent="0.3">
      <c r="A17" t="s">
        <v>71</v>
      </c>
      <c r="B17" t="s">
        <v>633</v>
      </c>
      <c r="C17" s="3">
        <f t="shared" si="0"/>
        <v>33</v>
      </c>
      <c r="D17">
        <v>34</v>
      </c>
      <c r="E17">
        <v>8</v>
      </c>
      <c r="F17">
        <v>9</v>
      </c>
      <c r="G17">
        <f t="shared" si="3"/>
        <v>17</v>
      </c>
      <c r="H17">
        <v>41</v>
      </c>
      <c r="I17">
        <v>64</v>
      </c>
      <c r="J17">
        <f t="shared" si="4"/>
        <v>-23</v>
      </c>
      <c r="L17" t="s">
        <v>71</v>
      </c>
      <c r="M17" t="s">
        <v>672</v>
      </c>
      <c r="N17" s="3">
        <f t="shared" si="1"/>
        <v>35</v>
      </c>
      <c r="O17">
        <v>34</v>
      </c>
      <c r="P17">
        <v>9</v>
      </c>
      <c r="Q17">
        <v>8</v>
      </c>
      <c r="R17">
        <f t="shared" si="5"/>
        <v>17</v>
      </c>
      <c r="S17">
        <v>37</v>
      </c>
      <c r="T17">
        <v>45</v>
      </c>
      <c r="U17">
        <f t="shared" si="6"/>
        <v>-8</v>
      </c>
      <c r="W17" t="s">
        <v>71</v>
      </c>
      <c r="X17" t="s">
        <v>653</v>
      </c>
      <c r="Y17" s="3">
        <f t="shared" si="2"/>
        <v>32</v>
      </c>
      <c r="Z17">
        <v>32</v>
      </c>
      <c r="AA17">
        <v>8</v>
      </c>
      <c r="AB17">
        <v>8</v>
      </c>
      <c r="AC17">
        <f t="shared" si="7"/>
        <v>16</v>
      </c>
      <c r="AD17">
        <v>29</v>
      </c>
      <c r="AE17">
        <v>46</v>
      </c>
      <c r="AF17">
        <f t="shared" si="8"/>
        <v>-17</v>
      </c>
    </row>
    <row r="18" spans="1:32" x14ac:dyDescent="0.3">
      <c r="A18" s="8" t="s">
        <v>72</v>
      </c>
      <c r="B18" t="s">
        <v>634</v>
      </c>
      <c r="C18" s="3">
        <f t="shared" si="0"/>
        <v>31</v>
      </c>
      <c r="D18">
        <v>34</v>
      </c>
      <c r="E18">
        <v>8</v>
      </c>
      <c r="F18">
        <v>7</v>
      </c>
      <c r="G18">
        <f t="shared" si="3"/>
        <v>19</v>
      </c>
      <c r="H18">
        <v>32</v>
      </c>
      <c r="I18">
        <v>46</v>
      </c>
      <c r="J18">
        <f t="shared" si="4"/>
        <v>-14</v>
      </c>
      <c r="L18" s="8" t="s">
        <v>72</v>
      </c>
      <c r="M18" t="s">
        <v>673</v>
      </c>
      <c r="N18" s="3">
        <f t="shared" si="1"/>
        <v>34</v>
      </c>
      <c r="O18">
        <v>34</v>
      </c>
      <c r="P18">
        <v>9</v>
      </c>
      <c r="Q18">
        <v>7</v>
      </c>
      <c r="R18">
        <f t="shared" si="5"/>
        <v>18</v>
      </c>
      <c r="S18">
        <v>27</v>
      </c>
      <c r="T18">
        <v>48</v>
      </c>
      <c r="U18">
        <f t="shared" si="6"/>
        <v>-21</v>
      </c>
      <c r="W18" t="s">
        <v>72</v>
      </c>
      <c r="X18" t="s">
        <v>654</v>
      </c>
      <c r="Y18" s="3">
        <f t="shared" si="2"/>
        <v>30</v>
      </c>
      <c r="Z18">
        <v>32</v>
      </c>
      <c r="AA18">
        <v>5</v>
      </c>
      <c r="AB18">
        <v>15</v>
      </c>
      <c r="AC18">
        <f t="shared" si="7"/>
        <v>12</v>
      </c>
      <c r="AD18">
        <v>32</v>
      </c>
      <c r="AE18">
        <v>42</v>
      </c>
      <c r="AF18">
        <f t="shared" si="8"/>
        <v>-10</v>
      </c>
    </row>
    <row r="19" spans="1:32" x14ac:dyDescent="0.3">
      <c r="A19" s="7" t="s">
        <v>255</v>
      </c>
      <c r="B19" t="s">
        <v>635</v>
      </c>
      <c r="C19" s="3">
        <f t="shared" si="0"/>
        <v>27</v>
      </c>
      <c r="D19">
        <v>34</v>
      </c>
      <c r="E19">
        <v>7</v>
      </c>
      <c r="F19">
        <v>6</v>
      </c>
      <c r="G19">
        <f t="shared" si="3"/>
        <v>21</v>
      </c>
      <c r="H19">
        <v>35</v>
      </c>
      <c r="I19">
        <v>56</v>
      </c>
      <c r="J19">
        <f t="shared" si="4"/>
        <v>-21</v>
      </c>
      <c r="L19" s="7" t="s">
        <v>255</v>
      </c>
      <c r="M19" t="s">
        <v>674</v>
      </c>
      <c r="N19" s="3">
        <f t="shared" si="1"/>
        <v>33</v>
      </c>
      <c r="O19">
        <v>34</v>
      </c>
      <c r="P19">
        <v>9</v>
      </c>
      <c r="Q19">
        <v>6</v>
      </c>
      <c r="R19">
        <f t="shared" si="5"/>
        <v>19</v>
      </c>
      <c r="S19">
        <v>40</v>
      </c>
      <c r="T19">
        <v>58</v>
      </c>
      <c r="U19">
        <f t="shared" si="6"/>
        <v>-18</v>
      </c>
      <c r="W19" t="s">
        <v>255</v>
      </c>
      <c r="X19" t="s">
        <v>655</v>
      </c>
      <c r="Y19" s="3">
        <f t="shared" si="2"/>
        <v>21</v>
      </c>
      <c r="Z19">
        <v>32</v>
      </c>
      <c r="AA19">
        <v>3</v>
      </c>
      <c r="AB19">
        <v>12</v>
      </c>
      <c r="AC19">
        <f t="shared" si="7"/>
        <v>17</v>
      </c>
      <c r="AD19">
        <v>31</v>
      </c>
      <c r="AE19">
        <v>52</v>
      </c>
      <c r="AF19">
        <f t="shared" si="8"/>
        <v>-21</v>
      </c>
    </row>
    <row r="20" spans="1:32" x14ac:dyDescent="0.3">
      <c r="A20" s="7" t="s">
        <v>256</v>
      </c>
      <c r="B20" t="s">
        <v>636</v>
      </c>
      <c r="C20" s="3">
        <f t="shared" si="0"/>
        <v>23</v>
      </c>
      <c r="D20">
        <v>34</v>
      </c>
      <c r="E20">
        <v>5</v>
      </c>
      <c r="F20">
        <v>8</v>
      </c>
      <c r="G20">
        <f t="shared" si="3"/>
        <v>21</v>
      </c>
      <c r="H20">
        <v>34</v>
      </c>
      <c r="I20">
        <v>70</v>
      </c>
      <c r="J20">
        <f t="shared" si="4"/>
        <v>-36</v>
      </c>
      <c r="L20" s="7" t="s">
        <v>256</v>
      </c>
      <c r="M20" t="s">
        <v>675</v>
      </c>
      <c r="N20" s="3">
        <f t="shared" si="1"/>
        <v>28</v>
      </c>
      <c r="O20">
        <v>34</v>
      </c>
      <c r="P20">
        <v>5</v>
      </c>
      <c r="Q20">
        <v>13</v>
      </c>
      <c r="R20">
        <f t="shared" si="5"/>
        <v>16</v>
      </c>
      <c r="S20">
        <v>25</v>
      </c>
      <c r="T20">
        <v>45</v>
      </c>
      <c r="U20">
        <f t="shared" si="6"/>
        <v>-20</v>
      </c>
    </row>
    <row r="22" spans="1:32" x14ac:dyDescent="0.3">
      <c r="A22" t="s">
        <v>299</v>
      </c>
      <c r="L22" t="s">
        <v>593</v>
      </c>
    </row>
    <row r="23" spans="1:32" x14ac:dyDescent="0.3">
      <c r="A23" t="s">
        <v>661</v>
      </c>
      <c r="B23" t="s">
        <v>93</v>
      </c>
      <c r="C23" t="str">
        <f>B18</f>
        <v>Auxerre</v>
      </c>
      <c r="E23" t="str">
        <f>B18</f>
        <v>Auxerre</v>
      </c>
      <c r="F23" t="s">
        <v>37</v>
      </c>
      <c r="G23" t="s">
        <v>661</v>
      </c>
      <c r="L23" t="s">
        <v>40</v>
      </c>
    </row>
    <row r="24" spans="1:32" x14ac:dyDescent="0.3">
      <c r="L24" t="str">
        <f>M6</f>
        <v>Reims</v>
      </c>
      <c r="M24" t="s">
        <v>44</v>
      </c>
      <c r="N24" t="str">
        <f>M7</f>
        <v>Red Star</v>
      </c>
    </row>
    <row r="26" spans="1:32" x14ac:dyDescent="0.3">
      <c r="L26" t="s">
        <v>46</v>
      </c>
    </row>
    <row r="27" spans="1:32" x14ac:dyDescent="0.3">
      <c r="L27" t="str">
        <f>M5</f>
        <v>Le Mans</v>
      </c>
      <c r="M27" t="s">
        <v>38</v>
      </c>
      <c r="N27" t="s">
        <v>661</v>
      </c>
    </row>
    <row r="29" spans="1:32" x14ac:dyDescent="0.3">
      <c r="L29" t="s">
        <v>299</v>
      </c>
    </row>
    <row r="30" spans="1:32" x14ac:dyDescent="0.3">
      <c r="L30" t="s">
        <v>641</v>
      </c>
      <c r="M30" t="s">
        <v>43</v>
      </c>
      <c r="N30" t="str">
        <f>M18</f>
        <v>Nancy</v>
      </c>
      <c r="P30" t="str">
        <f>M18</f>
        <v>Nancy</v>
      </c>
      <c r="Q30" t="s">
        <v>204</v>
      </c>
      <c r="R30" t="s">
        <v>641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E8FED-5227-4D68-9BA7-271733FFE4BF}">
  <dimension ref="A1:Q30"/>
  <sheetViews>
    <sheetView workbookViewId="0">
      <selection activeCell="A2" sqref="A2:F8"/>
    </sheetView>
  </sheetViews>
  <sheetFormatPr defaultRowHeight="14.4" x14ac:dyDescent="0.3"/>
  <sheetData>
    <row r="1" spans="1:17" x14ac:dyDescent="0.3">
      <c r="A1" t="s">
        <v>50</v>
      </c>
      <c r="L1" t="s">
        <v>63</v>
      </c>
      <c r="P1" t="s">
        <v>48</v>
      </c>
    </row>
    <row r="2" spans="1:17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20</v>
      </c>
      <c r="I2" t="s">
        <v>21</v>
      </c>
      <c r="J2" t="s">
        <v>19</v>
      </c>
      <c r="L2" t="s">
        <v>36</v>
      </c>
      <c r="P2" t="s">
        <v>51</v>
      </c>
      <c r="Q2">
        <v>2</v>
      </c>
    </row>
    <row r="3" spans="1:17" x14ac:dyDescent="0.3">
      <c r="A3" s="1" t="s">
        <v>0</v>
      </c>
      <c r="B3" t="s">
        <v>51</v>
      </c>
      <c r="C3" s="3">
        <v>36</v>
      </c>
      <c r="D3">
        <v>22</v>
      </c>
      <c r="E3">
        <v>11</v>
      </c>
      <c r="F3">
        <v>3</v>
      </c>
      <c r="G3">
        <f>D3-E3-F3</f>
        <v>8</v>
      </c>
      <c r="H3">
        <v>38</v>
      </c>
      <c r="I3">
        <v>35</v>
      </c>
      <c r="J3">
        <f>H3-I3</f>
        <v>3</v>
      </c>
      <c r="L3" t="s">
        <v>60</v>
      </c>
      <c r="M3" t="s">
        <v>41</v>
      </c>
      <c r="N3" t="s">
        <v>52</v>
      </c>
      <c r="P3" t="s">
        <v>51</v>
      </c>
      <c r="Q3">
        <v>3</v>
      </c>
    </row>
    <row r="4" spans="1:17" x14ac:dyDescent="0.3">
      <c r="A4" s="1" t="s">
        <v>1</v>
      </c>
      <c r="B4" t="s">
        <v>52</v>
      </c>
      <c r="C4" s="3">
        <v>35</v>
      </c>
      <c r="D4">
        <v>22</v>
      </c>
      <c r="E4">
        <v>9</v>
      </c>
      <c r="F4">
        <v>8</v>
      </c>
      <c r="G4">
        <f t="shared" ref="G4:G14" si="0">D4-E4-F4</f>
        <v>5</v>
      </c>
      <c r="H4">
        <v>35</v>
      </c>
      <c r="I4">
        <v>27</v>
      </c>
      <c r="J4">
        <f t="shared" ref="J4:J14" si="1">H4-I4</f>
        <v>8</v>
      </c>
      <c r="L4" t="s">
        <v>56</v>
      </c>
      <c r="M4" t="s">
        <v>64</v>
      </c>
      <c r="N4" t="s">
        <v>53</v>
      </c>
    </row>
    <row r="5" spans="1:17" x14ac:dyDescent="0.3">
      <c r="A5" s="1" t="s">
        <v>2</v>
      </c>
      <c r="B5" t="s">
        <v>53</v>
      </c>
      <c r="C5" s="3">
        <v>31</v>
      </c>
      <c r="D5">
        <v>22</v>
      </c>
      <c r="E5">
        <v>8</v>
      </c>
      <c r="F5">
        <v>7</v>
      </c>
      <c r="G5">
        <f t="shared" si="0"/>
        <v>7</v>
      </c>
      <c r="H5">
        <v>26</v>
      </c>
      <c r="I5">
        <v>26</v>
      </c>
      <c r="J5">
        <f t="shared" si="1"/>
        <v>0</v>
      </c>
      <c r="L5" t="s">
        <v>62</v>
      </c>
      <c r="M5" t="s">
        <v>42</v>
      </c>
      <c r="N5" t="s">
        <v>57</v>
      </c>
    </row>
    <row r="6" spans="1:17" x14ac:dyDescent="0.3">
      <c r="A6" s="1" t="s">
        <v>3</v>
      </c>
      <c r="B6" t="s">
        <v>54</v>
      </c>
      <c r="C6" s="3">
        <v>30</v>
      </c>
      <c r="D6">
        <v>22</v>
      </c>
      <c r="E6">
        <v>8</v>
      </c>
      <c r="F6">
        <v>6</v>
      </c>
      <c r="G6">
        <f t="shared" si="0"/>
        <v>8</v>
      </c>
      <c r="H6">
        <v>32</v>
      </c>
      <c r="I6">
        <v>31</v>
      </c>
      <c r="J6">
        <f t="shared" si="1"/>
        <v>1</v>
      </c>
      <c r="L6" t="s">
        <v>58</v>
      </c>
      <c r="M6" t="s">
        <v>37</v>
      </c>
      <c r="N6" t="s">
        <v>61</v>
      </c>
    </row>
    <row r="7" spans="1:17" x14ac:dyDescent="0.3">
      <c r="A7" s="1" t="s">
        <v>4</v>
      </c>
      <c r="B7" t="s">
        <v>55</v>
      </c>
      <c r="C7" s="3">
        <v>30</v>
      </c>
      <c r="D7">
        <v>22</v>
      </c>
      <c r="E7">
        <v>8</v>
      </c>
      <c r="F7">
        <v>6</v>
      </c>
      <c r="G7">
        <f t="shared" si="0"/>
        <v>8</v>
      </c>
      <c r="H7">
        <v>30</v>
      </c>
      <c r="I7">
        <v>30</v>
      </c>
      <c r="J7">
        <f t="shared" si="1"/>
        <v>0</v>
      </c>
    </row>
    <row r="8" spans="1:17" x14ac:dyDescent="0.3">
      <c r="A8" s="1" t="s">
        <v>5</v>
      </c>
      <c r="B8" t="s">
        <v>56</v>
      </c>
      <c r="C8" s="3">
        <v>30</v>
      </c>
      <c r="D8">
        <v>22</v>
      </c>
      <c r="E8">
        <v>9</v>
      </c>
      <c r="F8">
        <v>3</v>
      </c>
      <c r="G8">
        <f t="shared" si="0"/>
        <v>10</v>
      </c>
      <c r="H8">
        <v>27</v>
      </c>
      <c r="I8">
        <v>29</v>
      </c>
      <c r="J8">
        <f t="shared" si="1"/>
        <v>-2</v>
      </c>
      <c r="L8" t="s">
        <v>39</v>
      </c>
    </row>
    <row r="9" spans="1:17" x14ac:dyDescent="0.3">
      <c r="A9" s="2" t="s">
        <v>6</v>
      </c>
      <c r="B9" t="s">
        <v>57</v>
      </c>
      <c r="C9" s="3">
        <v>29</v>
      </c>
      <c r="D9">
        <v>22</v>
      </c>
      <c r="E9">
        <v>6</v>
      </c>
      <c r="F9">
        <v>11</v>
      </c>
      <c r="G9">
        <f t="shared" si="0"/>
        <v>5</v>
      </c>
      <c r="H9">
        <v>26</v>
      </c>
      <c r="I9">
        <v>24</v>
      </c>
      <c r="J9">
        <f t="shared" si="1"/>
        <v>2</v>
      </c>
      <c r="L9" t="s">
        <v>54</v>
      </c>
      <c r="M9" t="s">
        <v>44</v>
      </c>
      <c r="N9" t="s">
        <v>62</v>
      </c>
    </row>
    <row r="10" spans="1:17" x14ac:dyDescent="0.3">
      <c r="A10" s="2" t="s">
        <v>7</v>
      </c>
      <c r="B10" t="s">
        <v>58</v>
      </c>
      <c r="C10" s="3">
        <v>29</v>
      </c>
      <c r="D10">
        <v>22</v>
      </c>
      <c r="E10">
        <v>8</v>
      </c>
      <c r="F10">
        <v>5</v>
      </c>
      <c r="G10">
        <f t="shared" si="0"/>
        <v>9</v>
      </c>
      <c r="H10">
        <v>30</v>
      </c>
      <c r="I10">
        <v>29</v>
      </c>
      <c r="J10">
        <f t="shared" si="1"/>
        <v>1</v>
      </c>
      <c r="L10" t="s">
        <v>55</v>
      </c>
      <c r="M10" t="s">
        <v>44</v>
      </c>
      <c r="N10" t="s">
        <v>52</v>
      </c>
    </row>
    <row r="11" spans="1:17" x14ac:dyDescent="0.3">
      <c r="A11" s="2" t="s">
        <v>8</v>
      </c>
      <c r="B11" t="s">
        <v>59</v>
      </c>
      <c r="C11" s="3">
        <v>29</v>
      </c>
      <c r="D11">
        <v>22</v>
      </c>
      <c r="E11">
        <v>8</v>
      </c>
      <c r="F11">
        <v>5</v>
      </c>
      <c r="G11">
        <f t="shared" si="0"/>
        <v>9</v>
      </c>
      <c r="H11">
        <v>31</v>
      </c>
      <c r="I11">
        <v>33</v>
      </c>
      <c r="J11">
        <f t="shared" si="1"/>
        <v>-2</v>
      </c>
      <c r="L11" t="s">
        <v>51</v>
      </c>
      <c r="M11" t="s">
        <v>65</v>
      </c>
      <c r="N11" t="s">
        <v>58</v>
      </c>
    </row>
    <row r="12" spans="1:17" x14ac:dyDescent="0.3">
      <c r="A12" s="2" t="s">
        <v>9</v>
      </c>
      <c r="B12" t="s">
        <v>60</v>
      </c>
      <c r="C12" s="3">
        <v>29</v>
      </c>
      <c r="D12">
        <v>22</v>
      </c>
      <c r="E12">
        <v>8</v>
      </c>
      <c r="F12">
        <v>5</v>
      </c>
      <c r="G12">
        <f t="shared" si="0"/>
        <v>9</v>
      </c>
      <c r="H12">
        <v>31</v>
      </c>
      <c r="I12">
        <v>41</v>
      </c>
      <c r="J12">
        <f t="shared" si="1"/>
        <v>-10</v>
      </c>
      <c r="L12" t="s">
        <v>59</v>
      </c>
      <c r="M12" t="s">
        <v>43</v>
      </c>
      <c r="N12" t="s">
        <v>53</v>
      </c>
    </row>
    <row r="13" spans="1:17" x14ac:dyDescent="0.3">
      <c r="A13" s="2" t="s">
        <v>10</v>
      </c>
      <c r="B13" t="s">
        <v>61</v>
      </c>
      <c r="C13" s="3">
        <v>28</v>
      </c>
      <c r="D13">
        <v>22</v>
      </c>
      <c r="E13">
        <v>8</v>
      </c>
      <c r="F13">
        <v>4</v>
      </c>
      <c r="G13">
        <f t="shared" si="0"/>
        <v>10</v>
      </c>
      <c r="H13">
        <v>30</v>
      </c>
      <c r="I13">
        <v>31</v>
      </c>
      <c r="J13">
        <f t="shared" si="1"/>
        <v>-1</v>
      </c>
    </row>
    <row r="14" spans="1:17" x14ac:dyDescent="0.3">
      <c r="A14" s="2" t="s">
        <v>11</v>
      </c>
      <c r="B14" t="s">
        <v>62</v>
      </c>
      <c r="C14" s="3">
        <v>26</v>
      </c>
      <c r="D14">
        <v>22</v>
      </c>
      <c r="E14">
        <v>7</v>
      </c>
      <c r="F14">
        <v>5</v>
      </c>
      <c r="G14">
        <f t="shared" si="0"/>
        <v>10</v>
      </c>
      <c r="H14">
        <v>30</v>
      </c>
      <c r="I14">
        <v>30</v>
      </c>
      <c r="J14">
        <f t="shared" si="1"/>
        <v>0</v>
      </c>
      <c r="L14" t="s">
        <v>40</v>
      </c>
    </row>
    <row r="15" spans="1:17" x14ac:dyDescent="0.3">
      <c r="L15" t="s">
        <v>54</v>
      </c>
      <c r="M15" t="s">
        <v>66</v>
      </c>
      <c r="N15" t="s">
        <v>55</v>
      </c>
    </row>
    <row r="16" spans="1:17" x14ac:dyDescent="0.3">
      <c r="A16" t="s">
        <v>34</v>
      </c>
      <c r="L16" t="s">
        <v>59</v>
      </c>
      <c r="M16" t="s">
        <v>38</v>
      </c>
      <c r="N16" t="s">
        <v>51</v>
      </c>
    </row>
    <row r="17" spans="1:14" x14ac:dyDescent="0.3">
      <c r="A17" s="4" t="s">
        <v>0</v>
      </c>
      <c r="B17" t="s">
        <v>51</v>
      </c>
      <c r="C17" s="3">
        <v>50</v>
      </c>
      <c r="D17">
        <v>32</v>
      </c>
      <c r="E17">
        <v>14</v>
      </c>
      <c r="F17">
        <v>8</v>
      </c>
      <c r="G17">
        <f>D17-E17-F17</f>
        <v>10</v>
      </c>
      <c r="H17">
        <v>52</v>
      </c>
      <c r="I17">
        <v>48</v>
      </c>
      <c r="J17">
        <f>H17-I17</f>
        <v>4</v>
      </c>
    </row>
    <row r="18" spans="1:14" x14ac:dyDescent="0.3">
      <c r="A18" s="1" t="s">
        <v>1</v>
      </c>
      <c r="B18" t="s">
        <v>56</v>
      </c>
      <c r="C18" s="3">
        <v>49</v>
      </c>
      <c r="D18">
        <v>32</v>
      </c>
      <c r="E18">
        <v>15</v>
      </c>
      <c r="F18">
        <v>4</v>
      </c>
      <c r="G18">
        <f t="shared" ref="G18:G22" si="2">D18-E18-F18</f>
        <v>13</v>
      </c>
      <c r="H18">
        <v>46</v>
      </c>
      <c r="I18">
        <v>40</v>
      </c>
      <c r="J18">
        <f t="shared" ref="J18:J22" si="3">H18-I18</f>
        <v>6</v>
      </c>
      <c r="L18" t="s">
        <v>46</v>
      </c>
    </row>
    <row r="19" spans="1:14" x14ac:dyDescent="0.3">
      <c r="A19" s="1" t="s">
        <v>2</v>
      </c>
      <c r="B19" t="s">
        <v>52</v>
      </c>
      <c r="C19" s="3">
        <v>48</v>
      </c>
      <c r="D19">
        <v>32</v>
      </c>
      <c r="E19">
        <v>13</v>
      </c>
      <c r="F19">
        <v>9</v>
      </c>
      <c r="G19">
        <f t="shared" si="2"/>
        <v>10</v>
      </c>
      <c r="H19">
        <v>48</v>
      </c>
      <c r="I19">
        <v>45</v>
      </c>
      <c r="J19">
        <f t="shared" si="3"/>
        <v>3</v>
      </c>
      <c r="L19" t="s">
        <v>51</v>
      </c>
      <c r="M19" t="s">
        <v>44</v>
      </c>
      <c r="N19" t="s">
        <v>54</v>
      </c>
    </row>
    <row r="20" spans="1:14" x14ac:dyDescent="0.3">
      <c r="A20" s="1" t="s">
        <v>3</v>
      </c>
      <c r="B20" t="s">
        <v>55</v>
      </c>
      <c r="C20" s="3">
        <v>47</v>
      </c>
      <c r="D20">
        <v>32</v>
      </c>
      <c r="E20">
        <v>12</v>
      </c>
      <c r="F20">
        <v>11</v>
      </c>
      <c r="G20">
        <f t="shared" si="2"/>
        <v>9</v>
      </c>
      <c r="H20">
        <v>49</v>
      </c>
      <c r="I20">
        <v>43</v>
      </c>
      <c r="J20">
        <f t="shared" si="3"/>
        <v>6</v>
      </c>
    </row>
    <row r="21" spans="1:14" x14ac:dyDescent="0.3">
      <c r="A21" t="s">
        <v>4</v>
      </c>
      <c r="B21" t="s">
        <v>54</v>
      </c>
      <c r="C21" s="3">
        <v>39</v>
      </c>
      <c r="D21">
        <v>32</v>
      </c>
      <c r="E21">
        <v>9</v>
      </c>
      <c r="F21">
        <v>12</v>
      </c>
      <c r="G21">
        <f t="shared" si="2"/>
        <v>11</v>
      </c>
      <c r="H21">
        <v>48</v>
      </c>
      <c r="I21">
        <v>48</v>
      </c>
      <c r="J21">
        <f t="shared" si="3"/>
        <v>0</v>
      </c>
    </row>
    <row r="22" spans="1:14" x14ac:dyDescent="0.3">
      <c r="A22" t="s">
        <v>5</v>
      </c>
      <c r="B22" t="s">
        <v>53</v>
      </c>
      <c r="C22" s="3">
        <v>38</v>
      </c>
      <c r="D22">
        <v>32</v>
      </c>
      <c r="E22">
        <v>9</v>
      </c>
      <c r="F22">
        <v>11</v>
      </c>
      <c r="G22">
        <f t="shared" si="2"/>
        <v>12</v>
      </c>
      <c r="H22">
        <v>35</v>
      </c>
      <c r="I22">
        <v>44</v>
      </c>
      <c r="J22">
        <f t="shared" si="3"/>
        <v>-9</v>
      </c>
    </row>
    <row r="24" spans="1:14" x14ac:dyDescent="0.3">
      <c r="A24" t="s">
        <v>35</v>
      </c>
    </row>
    <row r="25" spans="1:14" x14ac:dyDescent="0.3">
      <c r="A25" t="s">
        <v>0</v>
      </c>
      <c r="B25" t="s">
        <v>59</v>
      </c>
      <c r="C25" s="3">
        <v>38</v>
      </c>
      <c r="D25">
        <v>27</v>
      </c>
      <c r="E25">
        <v>11</v>
      </c>
      <c r="F25">
        <v>5</v>
      </c>
      <c r="G25">
        <f>D25-E25-F25</f>
        <v>11</v>
      </c>
      <c r="H25">
        <v>37</v>
      </c>
      <c r="I25">
        <v>37</v>
      </c>
      <c r="J25">
        <f>H25-I25</f>
        <v>0</v>
      </c>
    </row>
    <row r="26" spans="1:14" x14ac:dyDescent="0.3">
      <c r="A26" t="s">
        <v>1</v>
      </c>
      <c r="B26" t="s">
        <v>58</v>
      </c>
      <c r="C26" s="3">
        <v>36</v>
      </c>
      <c r="D26">
        <v>27</v>
      </c>
      <c r="E26">
        <v>10</v>
      </c>
      <c r="F26">
        <v>6</v>
      </c>
      <c r="G26">
        <f t="shared" ref="G26:G30" si="4">D26-E26-F26</f>
        <v>11</v>
      </c>
      <c r="H26">
        <v>35</v>
      </c>
      <c r="I26">
        <v>33</v>
      </c>
      <c r="J26">
        <f t="shared" ref="J26:J30" si="5">H26-I26</f>
        <v>2</v>
      </c>
    </row>
    <row r="27" spans="1:14" x14ac:dyDescent="0.3">
      <c r="A27" t="s">
        <v>2</v>
      </c>
      <c r="B27" t="s">
        <v>60</v>
      </c>
      <c r="C27" s="3">
        <v>36</v>
      </c>
      <c r="D27">
        <v>27</v>
      </c>
      <c r="E27">
        <v>10</v>
      </c>
      <c r="F27">
        <v>6</v>
      </c>
      <c r="G27">
        <f t="shared" si="4"/>
        <v>11</v>
      </c>
      <c r="H27">
        <v>35</v>
      </c>
      <c r="I27">
        <v>47</v>
      </c>
      <c r="J27">
        <f t="shared" si="5"/>
        <v>-12</v>
      </c>
    </row>
    <row r="28" spans="1:14" x14ac:dyDescent="0.3">
      <c r="A28" t="s">
        <v>3</v>
      </c>
      <c r="B28" t="s">
        <v>57</v>
      </c>
      <c r="C28" s="3">
        <v>35</v>
      </c>
      <c r="D28">
        <v>27</v>
      </c>
      <c r="E28">
        <v>8</v>
      </c>
      <c r="F28">
        <v>11</v>
      </c>
      <c r="G28">
        <f t="shared" si="4"/>
        <v>8</v>
      </c>
      <c r="H28">
        <v>33</v>
      </c>
      <c r="I28">
        <v>30</v>
      </c>
      <c r="J28">
        <f t="shared" si="5"/>
        <v>3</v>
      </c>
    </row>
    <row r="29" spans="1:14" x14ac:dyDescent="0.3">
      <c r="A29" t="s">
        <v>4</v>
      </c>
      <c r="B29" t="s">
        <v>62</v>
      </c>
      <c r="C29" s="3">
        <v>35</v>
      </c>
      <c r="D29">
        <v>27</v>
      </c>
      <c r="E29">
        <v>10</v>
      </c>
      <c r="F29">
        <v>5</v>
      </c>
      <c r="G29">
        <f t="shared" si="4"/>
        <v>12</v>
      </c>
      <c r="H29">
        <v>35</v>
      </c>
      <c r="I29">
        <v>37</v>
      </c>
      <c r="J29">
        <f t="shared" si="5"/>
        <v>-2</v>
      </c>
    </row>
    <row r="30" spans="1:14" x14ac:dyDescent="0.3">
      <c r="A30" t="s">
        <v>5</v>
      </c>
      <c r="B30" t="s">
        <v>61</v>
      </c>
      <c r="C30" s="3">
        <v>33</v>
      </c>
      <c r="D30">
        <v>27</v>
      </c>
      <c r="E30">
        <v>9</v>
      </c>
      <c r="F30">
        <v>6</v>
      </c>
      <c r="G30">
        <f t="shared" si="4"/>
        <v>12</v>
      </c>
      <c r="H30">
        <v>32</v>
      </c>
      <c r="I30">
        <v>33</v>
      </c>
      <c r="J30">
        <f t="shared" si="5"/>
        <v>-1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78118-95FE-4C04-B63B-42E4E6CDBA20}">
  <dimension ref="A1:Q17"/>
  <sheetViews>
    <sheetView workbookViewId="0">
      <selection activeCell="A2" sqref="A2:J12"/>
    </sheetView>
  </sheetViews>
  <sheetFormatPr defaultRowHeight="14.4" x14ac:dyDescent="0.3"/>
  <sheetData>
    <row r="1" spans="1:17" x14ac:dyDescent="0.3">
      <c r="A1" t="s">
        <v>676</v>
      </c>
      <c r="L1" t="s">
        <v>687</v>
      </c>
      <c r="P1" t="s">
        <v>48</v>
      </c>
    </row>
    <row r="2" spans="1:17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20</v>
      </c>
      <c r="I2" t="s">
        <v>21</v>
      </c>
      <c r="J2" t="s">
        <v>19</v>
      </c>
      <c r="L2" t="s">
        <v>36</v>
      </c>
      <c r="P2" t="s">
        <v>677</v>
      </c>
      <c r="Q2">
        <v>1</v>
      </c>
    </row>
    <row r="3" spans="1:17" x14ac:dyDescent="0.3">
      <c r="A3" s="4" t="s">
        <v>0</v>
      </c>
      <c r="B3" t="s">
        <v>677</v>
      </c>
      <c r="C3" s="3">
        <f t="shared" ref="C3:C12" si="0">E3*3+F3</f>
        <v>68</v>
      </c>
      <c r="D3">
        <v>36</v>
      </c>
      <c r="E3">
        <v>20</v>
      </c>
      <c r="F3">
        <v>8</v>
      </c>
      <c r="G3">
        <f t="shared" ref="G3:G12" si="1">D3-E3-F3</f>
        <v>8</v>
      </c>
      <c r="H3">
        <v>49</v>
      </c>
      <c r="I3">
        <v>35</v>
      </c>
      <c r="J3">
        <f t="shared" ref="J3:J12" si="2">H3-I3</f>
        <v>14</v>
      </c>
      <c r="L3" t="s">
        <v>683</v>
      </c>
      <c r="M3" t="s">
        <v>44</v>
      </c>
      <c r="N3" t="s">
        <v>677</v>
      </c>
      <c r="P3" t="s">
        <v>678</v>
      </c>
      <c r="Q3">
        <v>3</v>
      </c>
    </row>
    <row r="4" spans="1:17" x14ac:dyDescent="0.3">
      <c r="A4" s="1" t="s">
        <v>1</v>
      </c>
      <c r="B4" t="s">
        <v>678</v>
      </c>
      <c r="C4" s="3">
        <f t="shared" si="0"/>
        <v>64</v>
      </c>
      <c r="D4">
        <v>36</v>
      </c>
      <c r="E4">
        <v>19</v>
      </c>
      <c r="F4">
        <v>7</v>
      </c>
      <c r="G4">
        <f t="shared" si="1"/>
        <v>10</v>
      </c>
      <c r="H4">
        <v>54</v>
      </c>
      <c r="I4">
        <v>42</v>
      </c>
      <c r="J4">
        <f t="shared" si="2"/>
        <v>12</v>
      </c>
      <c r="L4" t="s">
        <v>679</v>
      </c>
      <c r="M4" t="s">
        <v>44</v>
      </c>
      <c r="N4" t="s">
        <v>686</v>
      </c>
    </row>
    <row r="5" spans="1:17" x14ac:dyDescent="0.3">
      <c r="A5" s="1" t="s">
        <v>2</v>
      </c>
      <c r="B5" t="s">
        <v>680</v>
      </c>
      <c r="C5" s="3">
        <f t="shared" si="0"/>
        <v>56</v>
      </c>
      <c r="D5">
        <v>36</v>
      </c>
      <c r="E5">
        <v>17</v>
      </c>
      <c r="F5">
        <v>5</v>
      </c>
      <c r="G5">
        <f t="shared" si="1"/>
        <v>14</v>
      </c>
      <c r="H5">
        <v>54</v>
      </c>
      <c r="I5">
        <v>46</v>
      </c>
      <c r="J5">
        <f t="shared" si="2"/>
        <v>8</v>
      </c>
    </row>
    <row r="6" spans="1:17" x14ac:dyDescent="0.3">
      <c r="A6" s="1" t="s">
        <v>3</v>
      </c>
      <c r="B6" t="s">
        <v>679</v>
      </c>
      <c r="C6" s="3">
        <f t="shared" si="0"/>
        <v>52</v>
      </c>
      <c r="D6">
        <v>36</v>
      </c>
      <c r="E6">
        <v>16</v>
      </c>
      <c r="F6">
        <v>4</v>
      </c>
      <c r="G6">
        <f t="shared" si="1"/>
        <v>16</v>
      </c>
      <c r="H6">
        <v>43</v>
      </c>
      <c r="I6">
        <v>52</v>
      </c>
      <c r="J6">
        <f t="shared" si="2"/>
        <v>-9</v>
      </c>
      <c r="L6" t="s">
        <v>39</v>
      </c>
    </row>
    <row r="7" spans="1:17" x14ac:dyDescent="0.3">
      <c r="A7" t="s">
        <v>4</v>
      </c>
      <c r="B7" t="s">
        <v>685</v>
      </c>
      <c r="C7" s="3">
        <f t="shared" si="0"/>
        <v>48</v>
      </c>
      <c r="D7">
        <v>36</v>
      </c>
      <c r="E7">
        <v>14</v>
      </c>
      <c r="F7">
        <v>6</v>
      </c>
      <c r="G7">
        <f t="shared" si="1"/>
        <v>16</v>
      </c>
      <c r="H7">
        <v>48</v>
      </c>
      <c r="I7">
        <v>48</v>
      </c>
      <c r="J7">
        <f t="shared" si="2"/>
        <v>0</v>
      </c>
      <c r="L7" t="s">
        <v>680</v>
      </c>
      <c r="M7" t="s">
        <v>42</v>
      </c>
      <c r="N7" t="s">
        <v>679</v>
      </c>
    </row>
    <row r="8" spans="1:17" x14ac:dyDescent="0.3">
      <c r="A8" t="s">
        <v>5</v>
      </c>
      <c r="B8" t="s">
        <v>681</v>
      </c>
      <c r="C8" s="3">
        <f t="shared" si="0"/>
        <v>47</v>
      </c>
      <c r="D8">
        <v>36</v>
      </c>
      <c r="E8">
        <v>12</v>
      </c>
      <c r="F8">
        <v>11</v>
      </c>
      <c r="G8">
        <f t="shared" si="1"/>
        <v>13</v>
      </c>
      <c r="H8">
        <v>49</v>
      </c>
      <c r="I8">
        <v>47</v>
      </c>
      <c r="J8">
        <f t="shared" si="2"/>
        <v>2</v>
      </c>
      <c r="L8" t="s">
        <v>678</v>
      </c>
      <c r="M8" t="s">
        <v>43</v>
      </c>
      <c r="N8" t="s">
        <v>683</v>
      </c>
    </row>
    <row r="9" spans="1:17" x14ac:dyDescent="0.3">
      <c r="A9" t="s">
        <v>6</v>
      </c>
      <c r="B9" t="s">
        <v>682</v>
      </c>
      <c r="C9" s="3">
        <f t="shared" si="0"/>
        <v>45</v>
      </c>
      <c r="D9">
        <v>36</v>
      </c>
      <c r="E9">
        <v>13</v>
      </c>
      <c r="F9">
        <v>6</v>
      </c>
      <c r="G9">
        <f t="shared" si="1"/>
        <v>17</v>
      </c>
      <c r="H9">
        <v>41</v>
      </c>
      <c r="I9">
        <v>50</v>
      </c>
      <c r="J9">
        <f t="shared" si="2"/>
        <v>-9</v>
      </c>
      <c r="L9" t="s">
        <v>682</v>
      </c>
      <c r="M9" t="s">
        <v>38</v>
      </c>
      <c r="N9" t="s">
        <v>681</v>
      </c>
    </row>
    <row r="10" spans="1:17" x14ac:dyDescent="0.3">
      <c r="A10" t="s">
        <v>7</v>
      </c>
      <c r="B10" t="s">
        <v>686</v>
      </c>
      <c r="C10" s="3">
        <f t="shared" si="0"/>
        <v>43</v>
      </c>
      <c r="D10">
        <v>36</v>
      </c>
      <c r="E10">
        <v>12</v>
      </c>
      <c r="F10">
        <v>7</v>
      </c>
      <c r="G10">
        <f t="shared" si="1"/>
        <v>17</v>
      </c>
      <c r="H10">
        <v>62</v>
      </c>
      <c r="I10">
        <v>57</v>
      </c>
      <c r="J10">
        <f t="shared" si="2"/>
        <v>5</v>
      </c>
      <c r="L10" t="s">
        <v>684</v>
      </c>
      <c r="M10" t="s">
        <v>41</v>
      </c>
      <c r="N10" t="s">
        <v>685</v>
      </c>
    </row>
    <row r="11" spans="1:17" x14ac:dyDescent="0.3">
      <c r="A11" t="s">
        <v>8</v>
      </c>
      <c r="B11" t="s">
        <v>684</v>
      </c>
      <c r="C11" s="3">
        <f t="shared" si="0"/>
        <v>42</v>
      </c>
      <c r="D11">
        <v>36</v>
      </c>
      <c r="E11">
        <v>12</v>
      </c>
      <c r="F11">
        <v>6</v>
      </c>
      <c r="G11">
        <f t="shared" si="1"/>
        <v>18</v>
      </c>
      <c r="H11">
        <v>49</v>
      </c>
      <c r="I11">
        <v>61</v>
      </c>
      <c r="J11">
        <f t="shared" si="2"/>
        <v>-12</v>
      </c>
    </row>
    <row r="12" spans="1:17" x14ac:dyDescent="0.3">
      <c r="A12" t="s">
        <v>9</v>
      </c>
      <c r="B12" t="s">
        <v>683</v>
      </c>
      <c r="C12" s="3">
        <f t="shared" si="0"/>
        <v>41</v>
      </c>
      <c r="D12">
        <v>36</v>
      </c>
      <c r="E12">
        <v>11</v>
      </c>
      <c r="F12">
        <v>8</v>
      </c>
      <c r="G12">
        <f t="shared" si="1"/>
        <v>17</v>
      </c>
      <c r="H12">
        <v>45</v>
      </c>
      <c r="I12">
        <v>56</v>
      </c>
      <c r="J12">
        <f t="shared" si="2"/>
        <v>-11</v>
      </c>
      <c r="L12" t="s">
        <v>40</v>
      </c>
    </row>
    <row r="13" spans="1:17" x14ac:dyDescent="0.3">
      <c r="L13" t="s">
        <v>678</v>
      </c>
      <c r="M13" t="s">
        <v>42</v>
      </c>
      <c r="N13" t="s">
        <v>685</v>
      </c>
    </row>
    <row r="14" spans="1:17" x14ac:dyDescent="0.3">
      <c r="L14" t="s">
        <v>680</v>
      </c>
      <c r="M14" t="s">
        <v>42</v>
      </c>
      <c r="N14" t="s">
        <v>681</v>
      </c>
    </row>
    <row r="16" spans="1:17" x14ac:dyDescent="0.3">
      <c r="L16" t="s">
        <v>46</v>
      </c>
    </row>
    <row r="17" spans="12:14" x14ac:dyDescent="0.3">
      <c r="L17" t="s">
        <v>680</v>
      </c>
      <c r="M17" t="s">
        <v>41</v>
      </c>
      <c r="N17" t="s">
        <v>678</v>
      </c>
    </row>
  </sheetData>
  <sortState xmlns:xlrd2="http://schemas.microsoft.com/office/spreadsheetml/2017/richdata2" ref="B3:J12">
    <sortCondition descending="1" ref="C3:C12"/>
    <sortCondition descending="1" ref="J3:J12"/>
  </sortState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2A7D2-06F3-441C-8128-0074D514435C}">
  <dimension ref="A1:M9"/>
  <sheetViews>
    <sheetView workbookViewId="0">
      <selection activeCell="L2" sqref="L2"/>
    </sheetView>
  </sheetViews>
  <sheetFormatPr defaultRowHeight="14.4" x14ac:dyDescent="0.3"/>
  <sheetData>
    <row r="1" spans="1:13" x14ac:dyDescent="0.3">
      <c r="A1" t="s">
        <v>688</v>
      </c>
      <c r="L1" t="s">
        <v>1022</v>
      </c>
    </row>
    <row r="2" spans="1:13" x14ac:dyDescent="0.3">
      <c r="A2" t="s">
        <v>34</v>
      </c>
      <c r="L2" t="s">
        <v>689</v>
      </c>
      <c r="M2">
        <v>30</v>
      </c>
    </row>
    <row r="3" spans="1:13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20</v>
      </c>
      <c r="I3" t="s">
        <v>21</v>
      </c>
      <c r="J3" t="s">
        <v>19</v>
      </c>
    </row>
    <row r="4" spans="1:13" x14ac:dyDescent="0.3">
      <c r="A4" s="4" t="s">
        <v>0</v>
      </c>
      <c r="B4" t="s">
        <v>689</v>
      </c>
      <c r="C4" s="3">
        <f t="shared" ref="C4:C9" si="0">E4*3+F4</f>
        <v>69</v>
      </c>
      <c r="D4">
        <v>27</v>
      </c>
      <c r="E4">
        <v>22</v>
      </c>
      <c r="F4">
        <v>3</v>
      </c>
      <c r="G4">
        <f t="shared" ref="G4:G9" si="1">D4-E4-F4</f>
        <v>2</v>
      </c>
      <c r="H4">
        <v>84</v>
      </c>
      <c r="I4">
        <v>18</v>
      </c>
      <c r="J4">
        <f t="shared" ref="J4:J9" si="2">H4-I4</f>
        <v>66</v>
      </c>
    </row>
    <row r="5" spans="1:13" x14ac:dyDescent="0.3">
      <c r="A5" s="1" t="s">
        <v>1</v>
      </c>
      <c r="B5" t="s">
        <v>690</v>
      </c>
      <c r="C5" s="3">
        <f t="shared" si="0"/>
        <v>67</v>
      </c>
      <c r="D5">
        <v>27</v>
      </c>
      <c r="E5">
        <v>22</v>
      </c>
      <c r="F5">
        <v>1</v>
      </c>
      <c r="G5">
        <f t="shared" si="1"/>
        <v>4</v>
      </c>
      <c r="H5">
        <v>97</v>
      </c>
      <c r="I5">
        <v>16</v>
      </c>
      <c r="J5">
        <f t="shared" si="2"/>
        <v>81</v>
      </c>
    </row>
    <row r="6" spans="1:13" x14ac:dyDescent="0.3">
      <c r="A6" s="1" t="s">
        <v>2</v>
      </c>
      <c r="B6" t="s">
        <v>691</v>
      </c>
      <c r="C6" s="3">
        <f t="shared" si="0"/>
        <v>59</v>
      </c>
      <c r="D6">
        <v>27</v>
      </c>
      <c r="E6">
        <v>19</v>
      </c>
      <c r="F6">
        <v>2</v>
      </c>
      <c r="G6">
        <f t="shared" si="1"/>
        <v>6</v>
      </c>
      <c r="H6">
        <v>61</v>
      </c>
      <c r="I6">
        <v>21</v>
      </c>
      <c r="J6">
        <f t="shared" si="2"/>
        <v>40</v>
      </c>
    </row>
    <row r="7" spans="1:13" x14ac:dyDescent="0.3">
      <c r="A7" t="s">
        <v>3</v>
      </c>
      <c r="B7" t="s">
        <v>692</v>
      </c>
      <c r="C7" s="3">
        <f t="shared" si="0"/>
        <v>50</v>
      </c>
      <c r="D7">
        <v>27</v>
      </c>
      <c r="E7">
        <v>16</v>
      </c>
      <c r="F7">
        <v>2</v>
      </c>
      <c r="G7">
        <f t="shared" si="1"/>
        <v>9</v>
      </c>
      <c r="H7">
        <v>61</v>
      </c>
      <c r="I7">
        <v>35</v>
      </c>
      <c r="J7">
        <f t="shared" si="2"/>
        <v>26</v>
      </c>
    </row>
    <row r="8" spans="1:13" x14ac:dyDescent="0.3">
      <c r="A8" t="s">
        <v>4</v>
      </c>
      <c r="B8" t="s">
        <v>693</v>
      </c>
      <c r="C8" s="3">
        <f t="shared" si="0"/>
        <v>40</v>
      </c>
      <c r="D8">
        <v>27</v>
      </c>
      <c r="E8">
        <v>12</v>
      </c>
      <c r="F8">
        <v>4</v>
      </c>
      <c r="G8">
        <f t="shared" si="1"/>
        <v>11</v>
      </c>
      <c r="H8">
        <v>39</v>
      </c>
      <c r="I8">
        <v>39</v>
      </c>
      <c r="J8">
        <f t="shared" si="2"/>
        <v>0</v>
      </c>
    </row>
    <row r="9" spans="1:13" x14ac:dyDescent="0.3">
      <c r="A9" t="s">
        <v>5</v>
      </c>
      <c r="B9" t="s">
        <v>694</v>
      </c>
      <c r="C9" s="3">
        <f t="shared" si="0"/>
        <v>39</v>
      </c>
      <c r="D9">
        <v>27</v>
      </c>
      <c r="E9">
        <v>12</v>
      </c>
      <c r="F9">
        <v>3</v>
      </c>
      <c r="G9">
        <f t="shared" si="1"/>
        <v>12</v>
      </c>
      <c r="H9">
        <v>49</v>
      </c>
      <c r="I9">
        <v>44</v>
      </c>
      <c r="J9">
        <f t="shared" si="2"/>
        <v>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4101D-C760-4204-9A66-4004A786445C}">
  <dimension ref="A1:Q14"/>
  <sheetViews>
    <sheetView workbookViewId="0">
      <selection activeCell="D17" sqref="D17"/>
    </sheetView>
  </sheetViews>
  <sheetFormatPr defaultRowHeight="14.4" x14ac:dyDescent="0.3"/>
  <sheetData>
    <row r="1" spans="1:17" x14ac:dyDescent="0.3">
      <c r="A1" t="s">
        <v>695</v>
      </c>
      <c r="L1" t="s">
        <v>704</v>
      </c>
      <c r="P1" t="s">
        <v>48</v>
      </c>
    </row>
    <row r="2" spans="1:17" x14ac:dyDescent="0.3">
      <c r="A2" t="s">
        <v>34</v>
      </c>
      <c r="L2" t="s">
        <v>46</v>
      </c>
      <c r="P2" t="s">
        <v>696</v>
      </c>
      <c r="Q2">
        <v>14</v>
      </c>
    </row>
    <row r="3" spans="1:17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20</v>
      </c>
      <c r="I3" t="s">
        <v>21</v>
      </c>
      <c r="J3" t="s">
        <v>19</v>
      </c>
      <c r="L3" t="s">
        <v>697</v>
      </c>
      <c r="M3" t="s">
        <v>43</v>
      </c>
      <c r="N3" t="s">
        <v>701</v>
      </c>
      <c r="P3" t="s">
        <v>697</v>
      </c>
      <c r="Q3">
        <v>9</v>
      </c>
    </row>
    <row r="4" spans="1:17" x14ac:dyDescent="0.3">
      <c r="A4" s="4" t="s">
        <v>0</v>
      </c>
      <c r="B4" t="s">
        <v>696</v>
      </c>
      <c r="C4" s="3">
        <f t="shared" ref="C4:C7" si="0">E4*3+F4</f>
        <v>70</v>
      </c>
      <c r="D4">
        <v>32</v>
      </c>
      <c r="E4">
        <v>21</v>
      </c>
      <c r="F4">
        <v>7</v>
      </c>
      <c r="G4">
        <f t="shared" ref="G4:G7" si="1">D4-E4-F4</f>
        <v>4</v>
      </c>
      <c r="H4">
        <v>55</v>
      </c>
      <c r="I4">
        <v>22</v>
      </c>
      <c r="J4">
        <f t="shared" ref="J4:J7" si="2">H4-I4</f>
        <v>33</v>
      </c>
    </row>
    <row r="5" spans="1:17" x14ac:dyDescent="0.3">
      <c r="A5" s="4" t="s">
        <v>1</v>
      </c>
      <c r="B5" t="s">
        <v>697</v>
      </c>
      <c r="C5" s="3">
        <f t="shared" si="0"/>
        <v>65</v>
      </c>
      <c r="D5">
        <v>32</v>
      </c>
      <c r="E5">
        <v>19</v>
      </c>
      <c r="F5">
        <v>8</v>
      </c>
      <c r="G5">
        <f t="shared" si="1"/>
        <v>5</v>
      </c>
      <c r="H5">
        <v>55</v>
      </c>
      <c r="I5">
        <v>20</v>
      </c>
      <c r="J5">
        <f t="shared" si="2"/>
        <v>35</v>
      </c>
    </row>
    <row r="6" spans="1:17" x14ac:dyDescent="0.3">
      <c r="A6" s="5" t="s">
        <v>2</v>
      </c>
      <c r="B6" t="s">
        <v>698</v>
      </c>
      <c r="C6" s="3">
        <f t="shared" si="0"/>
        <v>64</v>
      </c>
      <c r="D6">
        <v>32</v>
      </c>
      <c r="E6">
        <v>19</v>
      </c>
      <c r="F6">
        <v>7</v>
      </c>
      <c r="G6">
        <f t="shared" si="1"/>
        <v>6</v>
      </c>
      <c r="H6">
        <v>48</v>
      </c>
      <c r="I6">
        <v>16</v>
      </c>
      <c r="J6">
        <f t="shared" si="2"/>
        <v>32</v>
      </c>
    </row>
    <row r="7" spans="1:17" x14ac:dyDescent="0.3">
      <c r="A7" s="5" t="s">
        <v>3</v>
      </c>
      <c r="B7" t="s">
        <v>699</v>
      </c>
      <c r="C7" s="3">
        <f t="shared" si="0"/>
        <v>59</v>
      </c>
      <c r="D7">
        <v>32</v>
      </c>
      <c r="E7">
        <v>17</v>
      </c>
      <c r="F7">
        <v>8</v>
      </c>
      <c r="G7">
        <f t="shared" si="1"/>
        <v>7</v>
      </c>
      <c r="H7">
        <v>51</v>
      </c>
      <c r="I7">
        <v>32</v>
      </c>
      <c r="J7">
        <f t="shared" si="2"/>
        <v>19</v>
      </c>
    </row>
    <row r="9" spans="1:17" x14ac:dyDescent="0.3">
      <c r="A9" t="s">
        <v>400</v>
      </c>
    </row>
    <row r="10" spans="1:17" x14ac:dyDescent="0.3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 t="s">
        <v>18</v>
      </c>
      <c r="H10" t="s">
        <v>20</v>
      </c>
      <c r="I10" t="s">
        <v>21</v>
      </c>
      <c r="J10" t="s">
        <v>19</v>
      </c>
    </row>
    <row r="11" spans="1:17" x14ac:dyDescent="0.3">
      <c r="A11" s="1" t="s">
        <v>0</v>
      </c>
      <c r="B11" t="s">
        <v>700</v>
      </c>
      <c r="C11" s="3">
        <v>29</v>
      </c>
      <c r="D11">
        <v>32</v>
      </c>
      <c r="E11">
        <v>14</v>
      </c>
      <c r="F11">
        <v>8</v>
      </c>
      <c r="G11">
        <f>D11-E11-F11</f>
        <v>10</v>
      </c>
      <c r="H11">
        <v>59</v>
      </c>
      <c r="I11">
        <v>44</v>
      </c>
      <c r="J11">
        <f>H11-I11</f>
        <v>15</v>
      </c>
    </row>
    <row r="12" spans="1:17" x14ac:dyDescent="0.3">
      <c r="A12" s="1" t="s">
        <v>1</v>
      </c>
      <c r="B12" t="s">
        <v>703</v>
      </c>
      <c r="C12" s="3">
        <v>27</v>
      </c>
      <c r="D12">
        <v>32</v>
      </c>
      <c r="E12">
        <v>9</v>
      </c>
      <c r="F12">
        <v>15</v>
      </c>
      <c r="G12">
        <f>D12-E12-F12</f>
        <v>8</v>
      </c>
      <c r="H12">
        <v>28</v>
      </c>
      <c r="I12">
        <v>31</v>
      </c>
      <c r="J12">
        <f>H12-I12</f>
        <v>-3</v>
      </c>
    </row>
    <row r="13" spans="1:17" x14ac:dyDescent="0.3">
      <c r="A13" t="s">
        <v>2</v>
      </c>
      <c r="B13" t="s">
        <v>702</v>
      </c>
      <c r="C13" s="3">
        <v>23</v>
      </c>
      <c r="D13">
        <v>32</v>
      </c>
      <c r="E13">
        <v>10</v>
      </c>
      <c r="F13">
        <v>8</v>
      </c>
      <c r="G13">
        <f>D13-E13-F13</f>
        <v>14</v>
      </c>
      <c r="H13">
        <v>35</v>
      </c>
      <c r="I13">
        <v>47</v>
      </c>
      <c r="J13">
        <f>H13-I13</f>
        <v>-12</v>
      </c>
    </row>
    <row r="14" spans="1:17" x14ac:dyDescent="0.3">
      <c r="A14" t="s">
        <v>3</v>
      </c>
      <c r="B14" t="s">
        <v>701</v>
      </c>
      <c r="C14" s="3">
        <v>20</v>
      </c>
      <c r="D14">
        <v>32</v>
      </c>
      <c r="E14">
        <v>11</v>
      </c>
      <c r="F14">
        <v>3</v>
      </c>
      <c r="G14">
        <f>D14-E14-F14</f>
        <v>18</v>
      </c>
      <c r="H14">
        <v>37</v>
      </c>
      <c r="I14">
        <v>53</v>
      </c>
      <c r="J14">
        <f>H14-I14</f>
        <v>-16</v>
      </c>
    </row>
  </sheetData>
  <sortState xmlns:xlrd2="http://schemas.microsoft.com/office/spreadsheetml/2017/richdata2" ref="B11:J14">
    <sortCondition descending="1" ref="C11:C14"/>
  </sortState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D329C-B08D-4BDA-B57B-4B5C1172F64A}">
  <dimension ref="A1:AB35"/>
  <sheetViews>
    <sheetView topLeftCell="A10" workbookViewId="0">
      <selection activeCell="N19" sqref="N19"/>
    </sheetView>
  </sheetViews>
  <sheetFormatPr defaultRowHeight="14.4" x14ac:dyDescent="0.3"/>
  <sheetData>
    <row r="1" spans="1:28" x14ac:dyDescent="0.3">
      <c r="A1" t="s">
        <v>705</v>
      </c>
      <c r="L1" t="s">
        <v>724</v>
      </c>
      <c r="W1" t="s">
        <v>725</v>
      </c>
      <c r="AA1" t="s">
        <v>48</v>
      </c>
    </row>
    <row r="2" spans="1:28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20</v>
      </c>
      <c r="I2" t="s">
        <v>21</v>
      </c>
      <c r="J2" t="s">
        <v>19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20</v>
      </c>
      <c r="T2" t="s">
        <v>21</v>
      </c>
      <c r="U2" t="s">
        <v>19</v>
      </c>
      <c r="W2" t="s">
        <v>46</v>
      </c>
      <c r="AA2" t="s">
        <v>706</v>
      </c>
      <c r="AB2">
        <v>27</v>
      </c>
    </row>
    <row r="3" spans="1:28" x14ac:dyDescent="0.3">
      <c r="A3" s="4" t="s">
        <v>0</v>
      </c>
      <c r="B3" t="s">
        <v>706</v>
      </c>
      <c r="C3" s="3">
        <f t="shared" ref="C3:C20" si="0">E3*3+F3</f>
        <v>77</v>
      </c>
      <c r="D3">
        <v>34</v>
      </c>
      <c r="E3">
        <v>24</v>
      </c>
      <c r="F3">
        <v>5</v>
      </c>
      <c r="G3">
        <f>D3-E3-F3</f>
        <v>5</v>
      </c>
      <c r="H3">
        <v>87</v>
      </c>
      <c r="I3">
        <v>45</v>
      </c>
      <c r="J3">
        <f>H3-I3</f>
        <v>42</v>
      </c>
      <c r="L3" s="1" t="s">
        <v>0</v>
      </c>
      <c r="M3" t="s">
        <v>726</v>
      </c>
      <c r="N3" s="3">
        <f t="shared" ref="N3:N22" si="1">P3*3+Q3</f>
        <v>88</v>
      </c>
      <c r="O3">
        <v>34</v>
      </c>
      <c r="P3">
        <v>28</v>
      </c>
      <c r="Q3">
        <v>4</v>
      </c>
      <c r="R3">
        <f>O3-P3-Q3</f>
        <v>2</v>
      </c>
      <c r="S3">
        <v>84</v>
      </c>
      <c r="T3">
        <v>38</v>
      </c>
      <c r="U3">
        <f>S3-T3</f>
        <v>46</v>
      </c>
      <c r="W3" t="s">
        <v>711</v>
      </c>
      <c r="X3" t="s">
        <v>38</v>
      </c>
      <c r="Y3" t="s">
        <v>707</v>
      </c>
      <c r="AA3" t="s">
        <v>726</v>
      </c>
      <c r="AB3">
        <v>4</v>
      </c>
    </row>
    <row r="4" spans="1:28" x14ac:dyDescent="0.3">
      <c r="A4" s="4" t="s">
        <v>1</v>
      </c>
      <c r="B4" t="s">
        <v>707</v>
      </c>
      <c r="C4" s="3">
        <f t="shared" si="0"/>
        <v>61</v>
      </c>
      <c r="D4">
        <v>34</v>
      </c>
      <c r="E4">
        <v>17</v>
      </c>
      <c r="F4">
        <v>10</v>
      </c>
      <c r="G4">
        <f t="shared" ref="G4:G20" si="2">D4-E4-F4</f>
        <v>7</v>
      </c>
      <c r="H4">
        <v>83</v>
      </c>
      <c r="I4">
        <v>55</v>
      </c>
      <c r="J4">
        <f t="shared" ref="J4:J20" si="3">H4-I4</f>
        <v>28</v>
      </c>
      <c r="L4" s="1" t="s">
        <v>1</v>
      </c>
      <c r="M4" t="s">
        <v>727</v>
      </c>
      <c r="N4" s="3">
        <f t="shared" si="1"/>
        <v>80</v>
      </c>
      <c r="O4">
        <v>34</v>
      </c>
      <c r="P4">
        <v>24</v>
      </c>
      <c r="Q4">
        <v>8</v>
      </c>
      <c r="R4">
        <f t="shared" ref="R4:R22" si="4">O4-P4-Q4</f>
        <v>2</v>
      </c>
      <c r="S4">
        <v>76</v>
      </c>
      <c r="T4">
        <v>48</v>
      </c>
      <c r="U4">
        <f t="shared" ref="U4:U22" si="5">S4-T4</f>
        <v>28</v>
      </c>
      <c r="AA4" t="s">
        <v>707</v>
      </c>
      <c r="AB4">
        <v>1</v>
      </c>
    </row>
    <row r="5" spans="1:28" x14ac:dyDescent="0.3">
      <c r="A5" s="4" t="s">
        <v>2</v>
      </c>
      <c r="B5" t="s">
        <v>708</v>
      </c>
      <c r="C5" s="3">
        <f t="shared" si="0"/>
        <v>57</v>
      </c>
      <c r="D5">
        <v>34</v>
      </c>
      <c r="E5">
        <v>14</v>
      </c>
      <c r="F5">
        <v>15</v>
      </c>
      <c r="G5">
        <f t="shared" si="2"/>
        <v>5</v>
      </c>
      <c r="H5">
        <v>62</v>
      </c>
      <c r="I5">
        <v>42</v>
      </c>
      <c r="J5">
        <f t="shared" si="3"/>
        <v>20</v>
      </c>
      <c r="L5" s="2" t="s">
        <v>2</v>
      </c>
      <c r="M5" t="s">
        <v>728</v>
      </c>
      <c r="N5" s="3">
        <f t="shared" si="1"/>
        <v>64</v>
      </c>
      <c r="O5">
        <v>34</v>
      </c>
      <c r="P5">
        <v>20</v>
      </c>
      <c r="Q5">
        <v>4</v>
      </c>
      <c r="R5">
        <f t="shared" si="4"/>
        <v>10</v>
      </c>
      <c r="S5">
        <v>79</v>
      </c>
      <c r="T5">
        <v>61</v>
      </c>
      <c r="U5">
        <f t="shared" si="5"/>
        <v>18</v>
      </c>
    </row>
    <row r="6" spans="1:28" x14ac:dyDescent="0.3">
      <c r="A6" s="5" t="s">
        <v>3</v>
      </c>
      <c r="B6" t="s">
        <v>709</v>
      </c>
      <c r="C6" s="3">
        <f t="shared" si="0"/>
        <v>57</v>
      </c>
      <c r="D6">
        <v>34</v>
      </c>
      <c r="E6">
        <v>15</v>
      </c>
      <c r="F6">
        <v>12</v>
      </c>
      <c r="G6">
        <f t="shared" si="2"/>
        <v>7</v>
      </c>
      <c r="H6">
        <v>56</v>
      </c>
      <c r="I6">
        <v>37</v>
      </c>
      <c r="J6">
        <f t="shared" si="3"/>
        <v>19</v>
      </c>
      <c r="L6" s="2" t="s">
        <v>3</v>
      </c>
      <c r="M6" t="s">
        <v>729</v>
      </c>
      <c r="N6" s="3">
        <f t="shared" si="1"/>
        <v>62</v>
      </c>
      <c r="O6">
        <v>34</v>
      </c>
      <c r="P6">
        <v>18</v>
      </c>
      <c r="Q6">
        <v>8</v>
      </c>
      <c r="R6">
        <f t="shared" si="4"/>
        <v>8</v>
      </c>
      <c r="S6">
        <v>72</v>
      </c>
      <c r="T6">
        <v>60</v>
      </c>
      <c r="U6">
        <f t="shared" si="5"/>
        <v>12</v>
      </c>
    </row>
    <row r="7" spans="1:28" x14ac:dyDescent="0.3">
      <c r="A7" s="5" t="s">
        <v>4</v>
      </c>
      <c r="B7" t="s">
        <v>710</v>
      </c>
      <c r="C7" s="3">
        <f t="shared" si="0"/>
        <v>56</v>
      </c>
      <c r="D7">
        <v>34</v>
      </c>
      <c r="E7">
        <v>16</v>
      </c>
      <c r="F7">
        <v>8</v>
      </c>
      <c r="G7">
        <f t="shared" si="2"/>
        <v>10</v>
      </c>
      <c r="H7">
        <v>63</v>
      </c>
      <c r="I7">
        <v>48</v>
      </c>
      <c r="J7">
        <f t="shared" si="3"/>
        <v>15</v>
      </c>
      <c r="L7" s="2" t="s">
        <v>4</v>
      </c>
      <c r="M7" t="s">
        <v>730</v>
      </c>
      <c r="N7" s="3">
        <f t="shared" si="1"/>
        <v>62</v>
      </c>
      <c r="O7">
        <v>34</v>
      </c>
      <c r="P7">
        <v>18</v>
      </c>
      <c r="Q7">
        <v>8</v>
      </c>
      <c r="R7">
        <f t="shared" si="4"/>
        <v>8</v>
      </c>
      <c r="S7">
        <v>58</v>
      </c>
      <c r="T7">
        <v>47</v>
      </c>
      <c r="U7">
        <f t="shared" si="5"/>
        <v>11</v>
      </c>
    </row>
    <row r="8" spans="1:28" x14ac:dyDescent="0.3">
      <c r="A8" s="2" t="s">
        <v>5</v>
      </c>
      <c r="B8" t="s">
        <v>711</v>
      </c>
      <c r="C8" s="3">
        <f t="shared" si="0"/>
        <v>55</v>
      </c>
      <c r="D8">
        <v>34</v>
      </c>
      <c r="E8">
        <v>16</v>
      </c>
      <c r="F8">
        <v>7</v>
      </c>
      <c r="G8">
        <f t="shared" si="2"/>
        <v>11</v>
      </c>
      <c r="H8">
        <v>57</v>
      </c>
      <c r="I8">
        <v>51</v>
      </c>
      <c r="J8">
        <f t="shared" si="3"/>
        <v>6</v>
      </c>
      <c r="L8" s="2" t="s">
        <v>5</v>
      </c>
      <c r="M8" t="s">
        <v>731</v>
      </c>
      <c r="N8" s="3">
        <f t="shared" si="1"/>
        <v>57</v>
      </c>
      <c r="O8">
        <v>34</v>
      </c>
      <c r="P8">
        <v>16</v>
      </c>
      <c r="Q8">
        <v>9</v>
      </c>
      <c r="R8">
        <f t="shared" si="4"/>
        <v>9</v>
      </c>
      <c r="S8">
        <v>66</v>
      </c>
      <c r="T8">
        <v>56</v>
      </c>
      <c r="U8">
        <f t="shared" si="5"/>
        <v>10</v>
      </c>
    </row>
    <row r="9" spans="1:28" x14ac:dyDescent="0.3">
      <c r="A9" s="2" t="s">
        <v>6</v>
      </c>
      <c r="B9" t="s">
        <v>712</v>
      </c>
      <c r="C9" s="3">
        <f t="shared" si="0"/>
        <v>52</v>
      </c>
      <c r="D9">
        <v>34</v>
      </c>
      <c r="E9">
        <v>15</v>
      </c>
      <c r="F9">
        <v>7</v>
      </c>
      <c r="G9">
        <f t="shared" si="2"/>
        <v>12</v>
      </c>
      <c r="H9">
        <v>49</v>
      </c>
      <c r="I9">
        <v>39</v>
      </c>
      <c r="J9">
        <f t="shared" si="3"/>
        <v>10</v>
      </c>
      <c r="L9" s="2" t="s">
        <v>6</v>
      </c>
      <c r="M9" t="s">
        <v>732</v>
      </c>
      <c r="N9" s="3">
        <f t="shared" si="1"/>
        <v>56</v>
      </c>
      <c r="O9">
        <v>34</v>
      </c>
      <c r="P9">
        <v>16</v>
      </c>
      <c r="Q9">
        <v>8</v>
      </c>
      <c r="R9">
        <f t="shared" si="4"/>
        <v>10</v>
      </c>
      <c r="S9">
        <v>66</v>
      </c>
      <c r="T9">
        <v>63</v>
      </c>
      <c r="U9">
        <f t="shared" si="5"/>
        <v>3</v>
      </c>
    </row>
    <row r="10" spans="1:28" x14ac:dyDescent="0.3">
      <c r="A10" s="2" t="s">
        <v>7</v>
      </c>
      <c r="B10" t="s">
        <v>713</v>
      </c>
      <c r="C10" s="3">
        <f t="shared" si="0"/>
        <v>50</v>
      </c>
      <c r="D10">
        <v>34</v>
      </c>
      <c r="E10">
        <v>14</v>
      </c>
      <c r="F10">
        <v>8</v>
      </c>
      <c r="G10">
        <f t="shared" si="2"/>
        <v>12</v>
      </c>
      <c r="H10">
        <v>62</v>
      </c>
      <c r="I10">
        <v>56</v>
      </c>
      <c r="J10">
        <f t="shared" si="3"/>
        <v>6</v>
      </c>
      <c r="L10" t="s">
        <v>7</v>
      </c>
      <c r="M10" t="s">
        <v>733</v>
      </c>
      <c r="N10" s="3">
        <f t="shared" si="1"/>
        <v>56</v>
      </c>
      <c r="O10">
        <v>34</v>
      </c>
      <c r="P10">
        <v>17</v>
      </c>
      <c r="Q10">
        <v>5</v>
      </c>
      <c r="R10">
        <f t="shared" si="4"/>
        <v>12</v>
      </c>
      <c r="S10">
        <v>67</v>
      </c>
      <c r="T10">
        <v>65</v>
      </c>
      <c r="U10">
        <f t="shared" si="5"/>
        <v>2</v>
      </c>
    </row>
    <row r="11" spans="1:28" x14ac:dyDescent="0.3">
      <c r="A11" s="2" t="s">
        <v>8</v>
      </c>
      <c r="B11" t="s">
        <v>714</v>
      </c>
      <c r="C11" s="3">
        <f t="shared" si="0"/>
        <v>48</v>
      </c>
      <c r="D11">
        <v>34</v>
      </c>
      <c r="E11">
        <v>14</v>
      </c>
      <c r="F11">
        <v>6</v>
      </c>
      <c r="G11">
        <f t="shared" si="2"/>
        <v>14</v>
      </c>
      <c r="H11">
        <v>40</v>
      </c>
      <c r="I11">
        <v>56</v>
      </c>
      <c r="J11">
        <f t="shared" si="3"/>
        <v>-16</v>
      </c>
      <c r="L11" s="2" t="s">
        <v>8</v>
      </c>
      <c r="M11" t="s">
        <v>734</v>
      </c>
      <c r="N11" s="3">
        <f t="shared" si="1"/>
        <v>54</v>
      </c>
      <c r="O11">
        <v>34</v>
      </c>
      <c r="P11">
        <v>14</v>
      </c>
      <c r="Q11">
        <v>12</v>
      </c>
      <c r="R11">
        <f t="shared" si="4"/>
        <v>8</v>
      </c>
      <c r="S11">
        <v>57</v>
      </c>
      <c r="T11">
        <v>55</v>
      </c>
      <c r="U11">
        <f t="shared" si="5"/>
        <v>2</v>
      </c>
    </row>
    <row r="12" spans="1:28" x14ac:dyDescent="0.3">
      <c r="A12" t="s">
        <v>9</v>
      </c>
      <c r="B12" t="s">
        <v>715</v>
      </c>
      <c r="C12" s="3">
        <f t="shared" si="0"/>
        <v>46</v>
      </c>
      <c r="D12">
        <v>34</v>
      </c>
      <c r="E12">
        <v>12</v>
      </c>
      <c r="F12">
        <v>10</v>
      </c>
      <c r="G12">
        <f t="shared" si="2"/>
        <v>12</v>
      </c>
      <c r="H12">
        <v>51</v>
      </c>
      <c r="I12">
        <v>42</v>
      </c>
      <c r="J12">
        <f t="shared" si="3"/>
        <v>9</v>
      </c>
      <c r="L12" t="s">
        <v>9</v>
      </c>
      <c r="M12" t="s">
        <v>735</v>
      </c>
      <c r="N12" s="3">
        <f t="shared" si="1"/>
        <v>51</v>
      </c>
      <c r="O12">
        <v>34</v>
      </c>
      <c r="P12">
        <v>14</v>
      </c>
      <c r="Q12">
        <v>9</v>
      </c>
      <c r="R12">
        <f t="shared" si="4"/>
        <v>11</v>
      </c>
      <c r="S12">
        <v>61</v>
      </c>
      <c r="T12">
        <v>60</v>
      </c>
      <c r="U12">
        <f t="shared" si="5"/>
        <v>1</v>
      </c>
    </row>
    <row r="13" spans="1:28" x14ac:dyDescent="0.3">
      <c r="A13" t="s">
        <v>10</v>
      </c>
      <c r="B13" t="s">
        <v>716</v>
      </c>
      <c r="C13" s="3">
        <f t="shared" si="0"/>
        <v>44</v>
      </c>
      <c r="D13">
        <v>34</v>
      </c>
      <c r="E13">
        <v>11</v>
      </c>
      <c r="F13">
        <v>11</v>
      </c>
      <c r="G13">
        <f t="shared" si="2"/>
        <v>12</v>
      </c>
      <c r="H13">
        <v>50</v>
      </c>
      <c r="I13">
        <v>63</v>
      </c>
      <c r="J13">
        <f t="shared" si="3"/>
        <v>-13</v>
      </c>
      <c r="L13" t="s">
        <v>10</v>
      </c>
      <c r="M13" t="s">
        <v>736</v>
      </c>
      <c r="N13" s="3">
        <f t="shared" si="1"/>
        <v>50</v>
      </c>
      <c r="O13">
        <v>34</v>
      </c>
      <c r="P13">
        <v>15</v>
      </c>
      <c r="Q13">
        <v>5</v>
      </c>
      <c r="R13">
        <f t="shared" si="4"/>
        <v>14</v>
      </c>
      <c r="S13">
        <v>51</v>
      </c>
      <c r="T13">
        <v>54</v>
      </c>
      <c r="U13">
        <f t="shared" si="5"/>
        <v>-3</v>
      </c>
    </row>
    <row r="14" spans="1:28" x14ac:dyDescent="0.3">
      <c r="A14" t="s">
        <v>11</v>
      </c>
      <c r="B14" t="s">
        <v>717</v>
      </c>
      <c r="C14" s="3">
        <f t="shared" si="0"/>
        <v>42</v>
      </c>
      <c r="D14">
        <v>34</v>
      </c>
      <c r="E14">
        <v>10</v>
      </c>
      <c r="F14">
        <v>12</v>
      </c>
      <c r="G14">
        <f t="shared" si="2"/>
        <v>12</v>
      </c>
      <c r="H14">
        <v>60</v>
      </c>
      <c r="I14">
        <v>52</v>
      </c>
      <c r="J14">
        <f t="shared" si="3"/>
        <v>8</v>
      </c>
      <c r="L14" t="s">
        <v>11</v>
      </c>
      <c r="M14" t="s">
        <v>737</v>
      </c>
      <c r="N14" s="3">
        <f t="shared" si="1"/>
        <v>48</v>
      </c>
      <c r="O14">
        <v>34</v>
      </c>
      <c r="P14">
        <v>14</v>
      </c>
      <c r="Q14">
        <v>6</v>
      </c>
      <c r="R14">
        <f t="shared" si="4"/>
        <v>14</v>
      </c>
      <c r="S14">
        <v>52</v>
      </c>
      <c r="T14">
        <v>63</v>
      </c>
      <c r="U14">
        <f t="shared" si="5"/>
        <v>-11</v>
      </c>
    </row>
    <row r="15" spans="1:28" x14ac:dyDescent="0.3">
      <c r="A15" t="s">
        <v>69</v>
      </c>
      <c r="B15" t="s">
        <v>718</v>
      </c>
      <c r="C15" s="3">
        <f t="shared" si="0"/>
        <v>41</v>
      </c>
      <c r="D15">
        <v>34</v>
      </c>
      <c r="E15">
        <v>12</v>
      </c>
      <c r="F15">
        <v>5</v>
      </c>
      <c r="G15">
        <f t="shared" si="2"/>
        <v>17</v>
      </c>
      <c r="H15">
        <v>47</v>
      </c>
      <c r="I15">
        <v>63</v>
      </c>
      <c r="J15">
        <f t="shared" si="3"/>
        <v>-16</v>
      </c>
      <c r="L15" t="s">
        <v>69</v>
      </c>
      <c r="M15" t="s">
        <v>738</v>
      </c>
      <c r="N15" s="3">
        <f t="shared" si="1"/>
        <v>43</v>
      </c>
      <c r="O15">
        <v>34</v>
      </c>
      <c r="P15">
        <v>13</v>
      </c>
      <c r="Q15">
        <v>4</v>
      </c>
      <c r="R15">
        <f t="shared" si="4"/>
        <v>17</v>
      </c>
      <c r="S15">
        <v>65</v>
      </c>
      <c r="T15">
        <v>74</v>
      </c>
      <c r="U15">
        <f t="shared" si="5"/>
        <v>-9</v>
      </c>
    </row>
    <row r="16" spans="1:28" x14ac:dyDescent="0.3">
      <c r="A16" t="s">
        <v>70</v>
      </c>
      <c r="B16" t="s">
        <v>719</v>
      </c>
      <c r="C16" s="3">
        <f t="shared" si="0"/>
        <v>35</v>
      </c>
      <c r="D16">
        <v>34</v>
      </c>
      <c r="E16">
        <v>8</v>
      </c>
      <c r="F16">
        <v>11</v>
      </c>
      <c r="G16">
        <f t="shared" si="2"/>
        <v>15</v>
      </c>
      <c r="H16">
        <v>45</v>
      </c>
      <c r="I16">
        <v>53</v>
      </c>
      <c r="J16">
        <f t="shared" si="3"/>
        <v>-8</v>
      </c>
      <c r="L16" t="s">
        <v>70</v>
      </c>
      <c r="M16" t="s">
        <v>739</v>
      </c>
      <c r="N16" s="3">
        <f t="shared" si="1"/>
        <v>43</v>
      </c>
      <c r="O16">
        <v>34</v>
      </c>
      <c r="P16">
        <v>11</v>
      </c>
      <c r="Q16">
        <v>10</v>
      </c>
      <c r="R16">
        <f t="shared" si="4"/>
        <v>13</v>
      </c>
      <c r="S16">
        <v>48</v>
      </c>
      <c r="T16">
        <v>59</v>
      </c>
      <c r="U16">
        <f t="shared" si="5"/>
        <v>-11</v>
      </c>
    </row>
    <row r="17" spans="1:21" x14ac:dyDescent="0.3">
      <c r="A17" t="s">
        <v>71</v>
      </c>
      <c r="B17" t="s">
        <v>720</v>
      </c>
      <c r="C17" s="3">
        <f t="shared" si="0"/>
        <v>33</v>
      </c>
      <c r="D17">
        <v>34</v>
      </c>
      <c r="E17">
        <v>8</v>
      </c>
      <c r="F17">
        <v>9</v>
      </c>
      <c r="G17">
        <f t="shared" si="2"/>
        <v>17</v>
      </c>
      <c r="H17">
        <v>35</v>
      </c>
      <c r="I17">
        <v>57</v>
      </c>
      <c r="J17">
        <f t="shared" si="3"/>
        <v>-22</v>
      </c>
      <c r="L17" t="s">
        <v>71</v>
      </c>
      <c r="M17" t="s">
        <v>740</v>
      </c>
      <c r="N17" s="3">
        <f t="shared" si="1"/>
        <v>42</v>
      </c>
      <c r="O17">
        <v>34</v>
      </c>
      <c r="P17">
        <v>11</v>
      </c>
      <c r="Q17">
        <v>9</v>
      </c>
      <c r="R17">
        <f t="shared" si="4"/>
        <v>14</v>
      </c>
      <c r="S17">
        <v>58</v>
      </c>
      <c r="T17">
        <v>71</v>
      </c>
      <c r="U17">
        <f t="shared" si="5"/>
        <v>-13</v>
      </c>
    </row>
    <row r="18" spans="1:21" x14ac:dyDescent="0.3">
      <c r="A18" s="8" t="s">
        <v>72</v>
      </c>
      <c r="B18" t="s">
        <v>721</v>
      </c>
      <c r="C18" s="3">
        <f t="shared" si="0"/>
        <v>31</v>
      </c>
      <c r="D18">
        <v>34</v>
      </c>
      <c r="E18">
        <v>7</v>
      </c>
      <c r="F18">
        <v>10</v>
      </c>
      <c r="G18">
        <f t="shared" si="2"/>
        <v>17</v>
      </c>
      <c r="H18">
        <v>36</v>
      </c>
      <c r="I18">
        <v>57</v>
      </c>
      <c r="J18">
        <f t="shared" si="3"/>
        <v>-21</v>
      </c>
      <c r="L18" t="s">
        <v>72</v>
      </c>
      <c r="M18" t="s">
        <v>741</v>
      </c>
      <c r="N18" s="3">
        <f t="shared" si="1"/>
        <v>42</v>
      </c>
      <c r="O18">
        <v>34</v>
      </c>
      <c r="P18">
        <v>10</v>
      </c>
      <c r="Q18">
        <v>12</v>
      </c>
      <c r="R18">
        <f t="shared" si="4"/>
        <v>12</v>
      </c>
      <c r="S18">
        <v>50</v>
      </c>
      <c r="T18">
        <v>76</v>
      </c>
      <c r="U18">
        <f t="shared" si="5"/>
        <v>-26</v>
      </c>
    </row>
    <row r="19" spans="1:21" x14ac:dyDescent="0.3">
      <c r="A19" s="7" t="s">
        <v>255</v>
      </c>
      <c r="B19" t="s">
        <v>722</v>
      </c>
      <c r="C19" s="3">
        <f t="shared" si="0"/>
        <v>29</v>
      </c>
      <c r="D19">
        <v>34</v>
      </c>
      <c r="E19">
        <v>7</v>
      </c>
      <c r="F19">
        <v>8</v>
      </c>
      <c r="G19">
        <f t="shared" si="2"/>
        <v>19</v>
      </c>
      <c r="H19">
        <v>35</v>
      </c>
      <c r="I19">
        <v>60</v>
      </c>
      <c r="J19">
        <f t="shared" si="3"/>
        <v>-25</v>
      </c>
      <c r="L19" t="s">
        <v>255</v>
      </c>
      <c r="M19" t="s">
        <v>742</v>
      </c>
      <c r="N19" s="3">
        <f>P19*3+Q19-12</f>
        <v>40</v>
      </c>
      <c r="O19">
        <v>34</v>
      </c>
      <c r="P19">
        <v>13</v>
      </c>
      <c r="Q19">
        <v>13</v>
      </c>
      <c r="R19">
        <f t="shared" si="4"/>
        <v>8</v>
      </c>
      <c r="S19">
        <v>62</v>
      </c>
      <c r="T19">
        <v>62</v>
      </c>
      <c r="U19">
        <f t="shared" si="5"/>
        <v>0</v>
      </c>
    </row>
    <row r="20" spans="1:21" x14ac:dyDescent="0.3">
      <c r="A20" s="7" t="s">
        <v>256</v>
      </c>
      <c r="B20" t="s">
        <v>723</v>
      </c>
      <c r="C20" s="3">
        <f t="shared" si="0"/>
        <v>24</v>
      </c>
      <c r="D20">
        <v>34</v>
      </c>
      <c r="E20">
        <v>6</v>
      </c>
      <c r="F20">
        <v>6</v>
      </c>
      <c r="G20">
        <f t="shared" si="2"/>
        <v>22</v>
      </c>
      <c r="H20">
        <v>39</v>
      </c>
      <c r="I20">
        <v>81</v>
      </c>
      <c r="J20">
        <f t="shared" si="3"/>
        <v>-42</v>
      </c>
      <c r="L20" t="s">
        <v>256</v>
      </c>
      <c r="M20" t="s">
        <v>743</v>
      </c>
      <c r="N20" s="3">
        <f t="shared" si="1"/>
        <v>40</v>
      </c>
      <c r="O20">
        <v>34</v>
      </c>
      <c r="P20">
        <v>11</v>
      </c>
      <c r="Q20">
        <v>7</v>
      </c>
      <c r="R20">
        <f t="shared" si="4"/>
        <v>16</v>
      </c>
      <c r="S20">
        <v>43</v>
      </c>
      <c r="T20">
        <v>65</v>
      </c>
      <c r="U20">
        <f t="shared" si="5"/>
        <v>-22</v>
      </c>
    </row>
    <row r="21" spans="1:21" x14ac:dyDescent="0.3">
      <c r="L21" t="s">
        <v>277</v>
      </c>
      <c r="M21" t="s">
        <v>744</v>
      </c>
      <c r="N21" s="3">
        <f t="shared" si="1"/>
        <v>36</v>
      </c>
      <c r="O21">
        <v>34</v>
      </c>
      <c r="P21">
        <v>9</v>
      </c>
      <c r="Q21">
        <v>9</v>
      </c>
      <c r="R21">
        <f t="shared" si="4"/>
        <v>16</v>
      </c>
      <c r="S21">
        <v>55</v>
      </c>
      <c r="T21">
        <v>72</v>
      </c>
      <c r="U21">
        <f t="shared" si="5"/>
        <v>-17</v>
      </c>
    </row>
    <row r="22" spans="1:21" x14ac:dyDescent="0.3">
      <c r="A22" t="s">
        <v>350</v>
      </c>
      <c r="L22" t="s">
        <v>278</v>
      </c>
      <c r="M22" t="s">
        <v>745</v>
      </c>
      <c r="N22" s="3">
        <f t="shared" si="1"/>
        <v>33</v>
      </c>
      <c r="O22">
        <v>34</v>
      </c>
      <c r="P22">
        <v>7</v>
      </c>
      <c r="Q22">
        <v>12</v>
      </c>
      <c r="R22">
        <f t="shared" si="4"/>
        <v>15</v>
      </c>
      <c r="S22">
        <v>49</v>
      </c>
      <c r="T22">
        <v>70</v>
      </c>
      <c r="U22">
        <f t="shared" si="5"/>
        <v>-21</v>
      </c>
    </row>
    <row r="23" spans="1:21" x14ac:dyDescent="0.3">
      <c r="A23" t="str">
        <f>B8</f>
        <v>AZ</v>
      </c>
      <c r="B23" t="s">
        <v>41</v>
      </c>
      <c r="C23" t="str">
        <f>B11</f>
        <v>Sparta Rotterdam</v>
      </c>
    </row>
    <row r="24" spans="1:21" x14ac:dyDescent="0.3">
      <c r="A24" t="str">
        <f>B9</f>
        <v>Groningen</v>
      </c>
      <c r="B24" t="s">
        <v>38</v>
      </c>
      <c r="C24" t="str">
        <f>B10</f>
        <v>Heerenveen</v>
      </c>
      <c r="L24" t="s">
        <v>593</v>
      </c>
    </row>
    <row r="25" spans="1:21" x14ac:dyDescent="0.3">
      <c r="L25" t="str">
        <f>M11</f>
        <v>Roda JC</v>
      </c>
      <c r="M25" t="s">
        <v>42</v>
      </c>
      <c r="N25" t="str">
        <f>M5</f>
        <v>Almere City</v>
      </c>
      <c r="P25" t="str">
        <f>M5</f>
        <v>Almere City</v>
      </c>
      <c r="Q25" t="s">
        <v>41</v>
      </c>
      <c r="R25" t="str">
        <f>M11</f>
        <v>Roda JC</v>
      </c>
    </row>
    <row r="26" spans="1:21" x14ac:dyDescent="0.3">
      <c r="A26" t="s">
        <v>46</v>
      </c>
      <c r="L26" t="str">
        <f>M9</f>
        <v>Den Bosch</v>
      </c>
      <c r="M26" t="s">
        <v>205</v>
      </c>
      <c r="N26" t="str">
        <f>M6</f>
        <v>De Graafschap</v>
      </c>
      <c r="P26" t="str">
        <f>M6</f>
        <v>De Graafschap</v>
      </c>
      <c r="Q26" t="s">
        <v>38</v>
      </c>
      <c r="R26" t="str">
        <f>M9</f>
        <v>Den Bosch</v>
      </c>
    </row>
    <row r="27" spans="1:21" x14ac:dyDescent="0.3">
      <c r="A27" t="s">
        <v>713</v>
      </c>
      <c r="B27" t="s">
        <v>66</v>
      </c>
      <c r="C27" t="s">
        <v>714</v>
      </c>
      <c r="L27" t="str">
        <f>M8</f>
        <v>Waalwijk</v>
      </c>
      <c r="M27" t="s">
        <v>42</v>
      </c>
      <c r="N27" t="str">
        <f>M7</f>
        <v>Willem II</v>
      </c>
      <c r="P27" t="str">
        <f>M7</f>
        <v>Willem II</v>
      </c>
      <c r="Q27" t="s">
        <v>43</v>
      </c>
      <c r="R27" t="str">
        <f>M8</f>
        <v>Waalwijk</v>
      </c>
    </row>
    <row r="29" spans="1:21" x14ac:dyDescent="0.3">
      <c r="A29" t="s">
        <v>299</v>
      </c>
    </row>
    <row r="30" spans="1:21" x14ac:dyDescent="0.3">
      <c r="A30" t="s">
        <v>40</v>
      </c>
    </row>
    <row r="31" spans="1:21" x14ac:dyDescent="0.3">
      <c r="A31" t="s">
        <v>730</v>
      </c>
      <c r="B31" t="s">
        <v>42</v>
      </c>
      <c r="C31" t="str">
        <f>B18</f>
        <v>NAC Breda</v>
      </c>
      <c r="E31" t="str">
        <f>B18</f>
        <v>NAC Breda</v>
      </c>
      <c r="F31" t="s">
        <v>746</v>
      </c>
      <c r="G31" t="s">
        <v>730</v>
      </c>
    </row>
    <row r="32" spans="1:21" x14ac:dyDescent="0.3">
      <c r="A32" t="s">
        <v>734</v>
      </c>
      <c r="B32" t="s">
        <v>205</v>
      </c>
      <c r="C32" t="s">
        <v>732</v>
      </c>
      <c r="E32" t="s">
        <v>732</v>
      </c>
      <c r="F32" t="s">
        <v>43</v>
      </c>
      <c r="G32" t="s">
        <v>734</v>
      </c>
    </row>
    <row r="34" spans="1:7" x14ac:dyDescent="0.3">
      <c r="A34" t="s">
        <v>46</v>
      </c>
    </row>
    <row r="35" spans="1:7" x14ac:dyDescent="0.3">
      <c r="A35" t="s">
        <v>732</v>
      </c>
      <c r="B35" t="s">
        <v>42</v>
      </c>
      <c r="C35" t="s">
        <v>730</v>
      </c>
      <c r="E35" t="s">
        <v>730</v>
      </c>
      <c r="F35" t="s">
        <v>37</v>
      </c>
      <c r="G35" t="s">
        <v>732</v>
      </c>
    </row>
  </sheetData>
  <pageMargins left="0.7" right="0.7" top="0.75" bottom="0.75" header="0.3" footer="0.3"/>
  <ignoredErrors>
    <ignoredError sqref="N19" formula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C0E83-69B5-4FF7-9E9C-A57D175F4E45}">
  <dimension ref="A1:Q14"/>
  <sheetViews>
    <sheetView workbookViewId="0">
      <selection activeCell="Q3" sqref="Q3"/>
    </sheetView>
  </sheetViews>
  <sheetFormatPr defaultRowHeight="14.4" x14ac:dyDescent="0.3"/>
  <sheetData>
    <row r="1" spans="1:17" x14ac:dyDescent="0.3">
      <c r="A1" t="s">
        <v>747</v>
      </c>
      <c r="L1" t="s">
        <v>760</v>
      </c>
      <c r="P1" t="s">
        <v>48</v>
      </c>
    </row>
    <row r="2" spans="1:17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20</v>
      </c>
      <c r="I2" t="s">
        <v>21</v>
      </c>
      <c r="J2" t="s">
        <v>19</v>
      </c>
      <c r="L2" t="s">
        <v>40</v>
      </c>
      <c r="P2" t="s">
        <v>748</v>
      </c>
      <c r="Q2">
        <v>37</v>
      </c>
    </row>
    <row r="3" spans="1:17" x14ac:dyDescent="0.3">
      <c r="A3" s="4" t="s">
        <v>0</v>
      </c>
      <c r="B3" t="s">
        <v>748</v>
      </c>
      <c r="C3" s="3">
        <f t="shared" ref="C3:C12" si="0">E3*3+F3</f>
        <v>65</v>
      </c>
      <c r="D3">
        <v>33</v>
      </c>
      <c r="E3">
        <v>20</v>
      </c>
      <c r="F3">
        <v>5</v>
      </c>
      <c r="G3">
        <f t="shared" ref="G3:G12" si="1">D3-E3-F3</f>
        <v>8</v>
      </c>
      <c r="H3">
        <v>60</v>
      </c>
      <c r="I3">
        <v>35</v>
      </c>
      <c r="J3">
        <f t="shared" ref="J3:J12" si="2">H3-I3</f>
        <v>25</v>
      </c>
      <c r="L3" t="s">
        <v>748</v>
      </c>
      <c r="M3" t="s">
        <v>43</v>
      </c>
      <c r="N3" t="s">
        <v>749</v>
      </c>
      <c r="P3" t="s">
        <v>750</v>
      </c>
      <c r="Q3">
        <v>2</v>
      </c>
    </row>
    <row r="4" spans="1:17" x14ac:dyDescent="0.3">
      <c r="A4" s="1" t="s">
        <v>1</v>
      </c>
      <c r="B4" t="s">
        <v>749</v>
      </c>
      <c r="C4" s="3">
        <f t="shared" si="0"/>
        <v>63</v>
      </c>
      <c r="D4">
        <v>33</v>
      </c>
      <c r="E4">
        <v>18</v>
      </c>
      <c r="F4">
        <v>9</v>
      </c>
      <c r="G4">
        <f t="shared" si="1"/>
        <v>6</v>
      </c>
      <c r="H4">
        <v>62</v>
      </c>
      <c r="I4">
        <v>35</v>
      </c>
      <c r="J4">
        <f t="shared" si="2"/>
        <v>27</v>
      </c>
    </row>
    <row r="5" spans="1:17" x14ac:dyDescent="0.3">
      <c r="A5" s="5" t="s">
        <v>2</v>
      </c>
      <c r="B5" t="s">
        <v>750</v>
      </c>
      <c r="C5" s="3">
        <f t="shared" si="0"/>
        <v>54</v>
      </c>
      <c r="D5">
        <v>33</v>
      </c>
      <c r="E5">
        <v>15</v>
      </c>
      <c r="F5">
        <v>9</v>
      </c>
      <c r="G5">
        <f t="shared" si="1"/>
        <v>9</v>
      </c>
      <c r="H5">
        <v>48</v>
      </c>
      <c r="I5">
        <v>36</v>
      </c>
      <c r="J5">
        <f t="shared" si="2"/>
        <v>12</v>
      </c>
      <c r="L5" t="s">
        <v>46</v>
      </c>
    </row>
    <row r="6" spans="1:17" x14ac:dyDescent="0.3">
      <c r="A6" s="1" t="s">
        <v>3</v>
      </c>
      <c r="B6" t="s">
        <v>751</v>
      </c>
      <c r="C6" s="3">
        <f t="shared" si="0"/>
        <v>51</v>
      </c>
      <c r="D6">
        <v>33</v>
      </c>
      <c r="E6">
        <v>14</v>
      </c>
      <c r="F6">
        <v>9</v>
      </c>
      <c r="G6">
        <f t="shared" si="1"/>
        <v>10</v>
      </c>
      <c r="H6">
        <v>44</v>
      </c>
      <c r="I6">
        <v>41</v>
      </c>
      <c r="J6">
        <f t="shared" si="2"/>
        <v>3</v>
      </c>
      <c r="L6" t="s">
        <v>748</v>
      </c>
      <c r="M6" t="s">
        <v>38</v>
      </c>
      <c r="N6" t="s">
        <v>750</v>
      </c>
    </row>
    <row r="7" spans="1:17" x14ac:dyDescent="0.3">
      <c r="A7" t="s">
        <v>4</v>
      </c>
      <c r="B7" t="s">
        <v>752</v>
      </c>
      <c r="C7" s="3">
        <f t="shared" si="0"/>
        <v>48</v>
      </c>
      <c r="D7">
        <v>33</v>
      </c>
      <c r="E7">
        <v>13</v>
      </c>
      <c r="F7">
        <v>9</v>
      </c>
      <c r="G7">
        <f t="shared" si="1"/>
        <v>11</v>
      </c>
      <c r="H7">
        <v>58</v>
      </c>
      <c r="I7">
        <v>48</v>
      </c>
      <c r="J7">
        <f t="shared" si="2"/>
        <v>10</v>
      </c>
    </row>
    <row r="8" spans="1:17" x14ac:dyDescent="0.3">
      <c r="A8" t="s">
        <v>5</v>
      </c>
      <c r="B8" t="s">
        <v>753</v>
      </c>
      <c r="C8" s="3">
        <f t="shared" si="0"/>
        <v>48</v>
      </c>
      <c r="D8">
        <v>33</v>
      </c>
      <c r="E8">
        <v>14</v>
      </c>
      <c r="F8">
        <v>6</v>
      </c>
      <c r="G8">
        <f t="shared" si="1"/>
        <v>13</v>
      </c>
      <c r="H8">
        <v>42</v>
      </c>
      <c r="I8">
        <v>39</v>
      </c>
      <c r="J8">
        <f t="shared" si="2"/>
        <v>3</v>
      </c>
    </row>
    <row r="9" spans="1:17" x14ac:dyDescent="0.3">
      <c r="A9" t="s">
        <v>6</v>
      </c>
      <c r="B9" t="s">
        <v>754</v>
      </c>
      <c r="C9" s="3">
        <f t="shared" si="0"/>
        <v>48</v>
      </c>
      <c r="D9">
        <v>33</v>
      </c>
      <c r="E9">
        <v>14</v>
      </c>
      <c r="F9">
        <v>6</v>
      </c>
      <c r="G9">
        <f t="shared" si="1"/>
        <v>13</v>
      </c>
      <c r="H9">
        <v>40</v>
      </c>
      <c r="I9">
        <v>47</v>
      </c>
      <c r="J9">
        <f t="shared" si="2"/>
        <v>-7</v>
      </c>
    </row>
    <row r="10" spans="1:17" x14ac:dyDescent="0.3">
      <c r="A10" t="s">
        <v>7</v>
      </c>
      <c r="B10" t="s">
        <v>755</v>
      </c>
      <c r="C10" s="3">
        <f t="shared" si="0"/>
        <v>40</v>
      </c>
      <c r="D10">
        <v>33</v>
      </c>
      <c r="E10">
        <v>11</v>
      </c>
      <c r="F10">
        <v>7</v>
      </c>
      <c r="G10">
        <f t="shared" si="1"/>
        <v>15</v>
      </c>
      <c r="H10">
        <v>44</v>
      </c>
      <c r="I10">
        <v>51</v>
      </c>
      <c r="J10">
        <f t="shared" si="2"/>
        <v>-7</v>
      </c>
    </row>
    <row r="11" spans="1:17" x14ac:dyDescent="0.3">
      <c r="A11" t="s">
        <v>8</v>
      </c>
      <c r="B11" t="s">
        <v>756</v>
      </c>
      <c r="C11" s="3">
        <f t="shared" si="0"/>
        <v>39</v>
      </c>
      <c r="D11">
        <v>33</v>
      </c>
      <c r="E11">
        <v>10</v>
      </c>
      <c r="F11">
        <v>9</v>
      </c>
      <c r="G11">
        <f t="shared" si="1"/>
        <v>14</v>
      </c>
      <c r="H11">
        <v>60</v>
      </c>
      <c r="I11">
        <v>67</v>
      </c>
      <c r="J11">
        <f t="shared" si="2"/>
        <v>-7</v>
      </c>
    </row>
    <row r="12" spans="1:17" x14ac:dyDescent="0.3">
      <c r="A12" t="s">
        <v>9</v>
      </c>
      <c r="B12" t="s">
        <v>757</v>
      </c>
      <c r="C12" s="3">
        <f t="shared" si="0"/>
        <v>38</v>
      </c>
      <c r="D12">
        <v>33</v>
      </c>
      <c r="E12">
        <v>10</v>
      </c>
      <c r="F12">
        <v>8</v>
      </c>
      <c r="G12">
        <f t="shared" si="1"/>
        <v>15</v>
      </c>
      <c r="H12">
        <v>47</v>
      </c>
      <c r="I12">
        <v>57</v>
      </c>
      <c r="J12">
        <f t="shared" si="2"/>
        <v>-10</v>
      </c>
    </row>
    <row r="13" spans="1:17" x14ac:dyDescent="0.3">
      <c r="A13" t="s">
        <v>10</v>
      </c>
      <c r="B13" t="s">
        <v>758</v>
      </c>
      <c r="C13" s="3">
        <f t="shared" ref="C13:C14" si="3">E13*3+F13</f>
        <v>30</v>
      </c>
      <c r="D13">
        <v>33</v>
      </c>
      <c r="E13">
        <v>6</v>
      </c>
      <c r="F13">
        <v>12</v>
      </c>
      <c r="G13">
        <f t="shared" ref="G13:G14" si="4">D13-E13-F13</f>
        <v>15</v>
      </c>
      <c r="H13">
        <v>39</v>
      </c>
      <c r="I13">
        <v>54</v>
      </c>
      <c r="J13">
        <f t="shared" ref="J13:J14" si="5">H13-I13</f>
        <v>-15</v>
      </c>
    </row>
    <row r="14" spans="1:17" x14ac:dyDescent="0.3">
      <c r="A14" t="s">
        <v>11</v>
      </c>
      <c r="B14" t="s">
        <v>759</v>
      </c>
      <c r="C14" s="3">
        <f t="shared" si="3"/>
        <v>24</v>
      </c>
      <c r="D14">
        <v>33</v>
      </c>
      <c r="E14">
        <v>7</v>
      </c>
      <c r="F14">
        <v>3</v>
      </c>
      <c r="G14">
        <f t="shared" si="4"/>
        <v>23</v>
      </c>
      <c r="H14">
        <v>34</v>
      </c>
      <c r="I14">
        <v>68</v>
      </c>
      <c r="J14">
        <f t="shared" si="5"/>
        <v>-34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D540A-E959-452C-A4E8-2C8815936C34}">
  <dimension ref="A1:Q17"/>
  <sheetViews>
    <sheetView workbookViewId="0">
      <selection activeCell="A3" sqref="A3:A12"/>
    </sheetView>
  </sheetViews>
  <sheetFormatPr defaultRowHeight="14.4" x14ac:dyDescent="0.3"/>
  <sheetData>
    <row r="1" spans="1:17" x14ac:dyDescent="0.3">
      <c r="A1" t="s">
        <v>124</v>
      </c>
      <c r="L1" t="s">
        <v>134</v>
      </c>
      <c r="P1" t="s">
        <v>48</v>
      </c>
    </row>
    <row r="2" spans="1:17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20</v>
      </c>
      <c r="I2" t="s">
        <v>21</v>
      </c>
      <c r="J2" t="s">
        <v>19</v>
      </c>
      <c r="L2" t="s">
        <v>36</v>
      </c>
      <c r="P2" t="s">
        <v>130</v>
      </c>
      <c r="Q2">
        <v>1</v>
      </c>
    </row>
    <row r="3" spans="1:17" x14ac:dyDescent="0.3">
      <c r="A3" s="4" t="s">
        <v>0</v>
      </c>
      <c r="B3" t="s">
        <v>130</v>
      </c>
      <c r="C3" s="3">
        <v>45</v>
      </c>
      <c r="D3">
        <v>27</v>
      </c>
      <c r="E3">
        <v>13</v>
      </c>
      <c r="F3">
        <v>6</v>
      </c>
      <c r="G3">
        <f>D3-E3-F3</f>
        <v>8</v>
      </c>
      <c r="H3">
        <v>43</v>
      </c>
      <c r="I3">
        <v>35</v>
      </c>
      <c r="J3">
        <f>H3-I3</f>
        <v>8</v>
      </c>
      <c r="L3" t="s">
        <v>128</v>
      </c>
      <c r="M3" t="s">
        <v>135</v>
      </c>
      <c r="N3" t="s">
        <v>126</v>
      </c>
      <c r="P3" t="s">
        <v>131</v>
      </c>
      <c r="Q3">
        <v>4</v>
      </c>
    </row>
    <row r="4" spans="1:17" x14ac:dyDescent="0.3">
      <c r="A4" s="1" t="s">
        <v>1</v>
      </c>
      <c r="B4" t="s">
        <v>127</v>
      </c>
      <c r="C4" s="3">
        <v>41</v>
      </c>
      <c r="D4">
        <v>27</v>
      </c>
      <c r="E4">
        <v>11</v>
      </c>
      <c r="F4">
        <v>8</v>
      </c>
      <c r="G4">
        <f t="shared" ref="G4:G12" si="0">D4-E4-F4</f>
        <v>8</v>
      </c>
      <c r="H4">
        <v>42</v>
      </c>
      <c r="I4">
        <v>37</v>
      </c>
      <c r="J4">
        <f t="shared" ref="J4:J12" si="1">H4-I4</f>
        <v>5</v>
      </c>
      <c r="L4" t="s">
        <v>125</v>
      </c>
      <c r="M4" t="s">
        <v>122</v>
      </c>
      <c r="N4" t="s">
        <v>130</v>
      </c>
    </row>
    <row r="5" spans="1:17" x14ac:dyDescent="0.3">
      <c r="A5" s="1" t="s">
        <v>2</v>
      </c>
      <c r="B5" t="s">
        <v>128</v>
      </c>
      <c r="C5" s="3">
        <v>40</v>
      </c>
      <c r="D5">
        <v>27</v>
      </c>
      <c r="E5">
        <v>11</v>
      </c>
      <c r="F5">
        <v>7</v>
      </c>
      <c r="G5">
        <f t="shared" si="0"/>
        <v>9</v>
      </c>
      <c r="H5">
        <v>44</v>
      </c>
      <c r="I5">
        <v>38</v>
      </c>
      <c r="J5">
        <f t="shared" si="1"/>
        <v>6</v>
      </c>
    </row>
    <row r="6" spans="1:17" x14ac:dyDescent="0.3">
      <c r="A6" t="s">
        <v>3</v>
      </c>
      <c r="B6" t="s">
        <v>125</v>
      </c>
      <c r="C6" s="3">
        <v>38</v>
      </c>
      <c r="D6">
        <v>27</v>
      </c>
      <c r="E6">
        <v>10</v>
      </c>
      <c r="F6">
        <v>8</v>
      </c>
      <c r="G6">
        <f t="shared" si="0"/>
        <v>9</v>
      </c>
      <c r="H6">
        <v>42</v>
      </c>
      <c r="I6">
        <v>41</v>
      </c>
      <c r="J6">
        <f t="shared" si="1"/>
        <v>1</v>
      </c>
      <c r="L6" t="s">
        <v>39</v>
      </c>
    </row>
    <row r="7" spans="1:17" x14ac:dyDescent="0.3">
      <c r="A7" t="s">
        <v>4</v>
      </c>
      <c r="B7" t="s">
        <v>126</v>
      </c>
      <c r="C7" s="3">
        <v>37</v>
      </c>
      <c r="D7">
        <v>27</v>
      </c>
      <c r="E7">
        <v>10</v>
      </c>
      <c r="F7">
        <v>7</v>
      </c>
      <c r="G7">
        <f t="shared" si="0"/>
        <v>10</v>
      </c>
      <c r="H7">
        <v>59</v>
      </c>
      <c r="I7">
        <v>49</v>
      </c>
      <c r="J7">
        <f t="shared" si="1"/>
        <v>10</v>
      </c>
      <c r="L7" t="s">
        <v>129</v>
      </c>
      <c r="M7" t="s">
        <v>42</v>
      </c>
      <c r="N7" t="s">
        <v>125</v>
      </c>
    </row>
    <row r="8" spans="1:17" x14ac:dyDescent="0.3">
      <c r="A8" t="s">
        <v>5</v>
      </c>
      <c r="B8" t="s">
        <v>129</v>
      </c>
      <c r="C8" s="3">
        <v>36</v>
      </c>
      <c r="D8">
        <v>27</v>
      </c>
      <c r="E8">
        <v>9</v>
      </c>
      <c r="F8">
        <v>9</v>
      </c>
      <c r="G8">
        <f t="shared" si="0"/>
        <v>9</v>
      </c>
      <c r="H8">
        <v>31</v>
      </c>
      <c r="I8">
        <v>36</v>
      </c>
      <c r="J8">
        <f t="shared" si="1"/>
        <v>-5</v>
      </c>
      <c r="L8" t="s">
        <v>23</v>
      </c>
      <c r="M8" t="s">
        <v>41</v>
      </c>
      <c r="N8" t="s">
        <v>127</v>
      </c>
    </row>
    <row r="9" spans="1:17" x14ac:dyDescent="0.3">
      <c r="A9" t="s">
        <v>6</v>
      </c>
      <c r="B9" t="s">
        <v>23</v>
      </c>
      <c r="C9" s="3">
        <v>34</v>
      </c>
      <c r="D9">
        <v>27</v>
      </c>
      <c r="E9">
        <v>8</v>
      </c>
      <c r="F9">
        <v>10</v>
      </c>
      <c r="G9">
        <f t="shared" si="0"/>
        <v>9</v>
      </c>
      <c r="H9">
        <v>42</v>
      </c>
      <c r="I9">
        <v>44</v>
      </c>
      <c r="J9">
        <f t="shared" si="1"/>
        <v>-2</v>
      </c>
      <c r="L9" t="s">
        <v>133</v>
      </c>
      <c r="M9" t="s">
        <v>136</v>
      </c>
      <c r="N9" t="s">
        <v>128</v>
      </c>
    </row>
    <row r="10" spans="1:17" x14ac:dyDescent="0.3">
      <c r="A10" t="s">
        <v>7</v>
      </c>
      <c r="B10" t="s">
        <v>132</v>
      </c>
      <c r="C10" s="3">
        <v>34</v>
      </c>
      <c r="D10">
        <v>27</v>
      </c>
      <c r="E10">
        <v>10</v>
      </c>
      <c r="F10">
        <v>4</v>
      </c>
      <c r="G10">
        <f t="shared" si="0"/>
        <v>13</v>
      </c>
      <c r="H10">
        <v>32</v>
      </c>
      <c r="I10">
        <v>42</v>
      </c>
      <c r="J10">
        <f t="shared" si="1"/>
        <v>-10</v>
      </c>
      <c r="L10" t="s">
        <v>131</v>
      </c>
      <c r="M10" t="s">
        <v>42</v>
      </c>
      <c r="N10" t="s">
        <v>132</v>
      </c>
    </row>
    <row r="11" spans="1:17" x14ac:dyDescent="0.3">
      <c r="A11" t="s">
        <v>8</v>
      </c>
      <c r="B11" t="s">
        <v>133</v>
      </c>
      <c r="C11" s="3">
        <v>32</v>
      </c>
      <c r="D11">
        <v>27</v>
      </c>
      <c r="E11">
        <v>8</v>
      </c>
      <c r="F11">
        <v>8</v>
      </c>
      <c r="G11">
        <f t="shared" si="0"/>
        <v>11</v>
      </c>
      <c r="H11">
        <v>30</v>
      </c>
      <c r="I11">
        <v>35</v>
      </c>
      <c r="J11">
        <f t="shared" si="1"/>
        <v>-5</v>
      </c>
    </row>
    <row r="12" spans="1:17" x14ac:dyDescent="0.3">
      <c r="A12" s="5" t="s">
        <v>9</v>
      </c>
      <c r="B12" t="s">
        <v>131</v>
      </c>
      <c r="C12" s="3">
        <v>30</v>
      </c>
      <c r="D12">
        <v>27</v>
      </c>
      <c r="E12">
        <v>7</v>
      </c>
      <c r="F12">
        <v>9</v>
      </c>
      <c r="G12">
        <f t="shared" si="0"/>
        <v>11</v>
      </c>
      <c r="H12">
        <v>39</v>
      </c>
      <c r="I12">
        <v>43</v>
      </c>
      <c r="J12">
        <f t="shared" si="1"/>
        <v>-4</v>
      </c>
      <c r="L12" t="s">
        <v>40</v>
      </c>
    </row>
    <row r="13" spans="1:17" x14ac:dyDescent="0.3">
      <c r="L13" t="s">
        <v>129</v>
      </c>
      <c r="M13" t="s">
        <v>43</v>
      </c>
      <c r="N13" t="s">
        <v>127</v>
      </c>
    </row>
    <row r="14" spans="1:17" x14ac:dyDescent="0.3">
      <c r="L14" t="s">
        <v>131</v>
      </c>
      <c r="M14" t="s">
        <v>43</v>
      </c>
      <c r="N14" t="s">
        <v>128</v>
      </c>
    </row>
    <row r="16" spans="1:17" x14ac:dyDescent="0.3">
      <c r="L16" t="s">
        <v>46</v>
      </c>
    </row>
    <row r="17" spans="12:14" x14ac:dyDescent="0.3">
      <c r="L17" t="s">
        <v>129</v>
      </c>
      <c r="M17" t="s">
        <v>64</v>
      </c>
      <c r="N17" t="s">
        <v>131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93896-F0E8-4473-A752-0B9D22C292FB}">
  <dimension ref="A1:AX34"/>
  <sheetViews>
    <sheetView tabSelected="1" workbookViewId="0">
      <selection activeCell="A10" sqref="A10"/>
    </sheetView>
  </sheetViews>
  <sheetFormatPr defaultRowHeight="14.4" x14ac:dyDescent="0.3"/>
  <sheetData>
    <row r="1" spans="1:50" x14ac:dyDescent="0.3">
      <c r="A1" t="s">
        <v>761</v>
      </c>
      <c r="L1" t="s">
        <v>782</v>
      </c>
      <c r="W1" t="s">
        <v>810</v>
      </c>
      <c r="AH1" t="s">
        <v>835</v>
      </c>
      <c r="AS1" t="s">
        <v>860</v>
      </c>
      <c r="AW1" t="s">
        <v>48</v>
      </c>
    </row>
    <row r="2" spans="1:50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20</v>
      </c>
      <c r="I2" t="s">
        <v>21</v>
      </c>
      <c r="J2" t="s">
        <v>19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20</v>
      </c>
      <c r="T2" t="s">
        <v>21</v>
      </c>
      <c r="U2" t="s">
        <v>19</v>
      </c>
      <c r="W2" t="s">
        <v>12</v>
      </c>
      <c r="X2" t="s">
        <v>13</v>
      </c>
      <c r="Y2" t="s">
        <v>14</v>
      </c>
      <c r="Z2" t="s">
        <v>15</v>
      </c>
      <c r="AA2" t="s">
        <v>16</v>
      </c>
      <c r="AB2" t="s">
        <v>17</v>
      </c>
      <c r="AC2" t="s">
        <v>18</v>
      </c>
      <c r="AD2" t="s">
        <v>20</v>
      </c>
      <c r="AE2" t="s">
        <v>21</v>
      </c>
      <c r="AF2" t="s">
        <v>19</v>
      </c>
      <c r="AH2" t="s">
        <v>12</v>
      </c>
      <c r="AI2" t="s">
        <v>13</v>
      </c>
      <c r="AJ2" t="s">
        <v>14</v>
      </c>
      <c r="AK2" t="s">
        <v>15</v>
      </c>
      <c r="AL2" t="s">
        <v>16</v>
      </c>
      <c r="AM2" t="s">
        <v>17</v>
      </c>
      <c r="AN2" t="s">
        <v>18</v>
      </c>
      <c r="AO2" t="s">
        <v>20</v>
      </c>
      <c r="AP2" t="s">
        <v>21</v>
      </c>
      <c r="AQ2" t="s">
        <v>19</v>
      </c>
      <c r="AS2" t="s">
        <v>40</v>
      </c>
      <c r="AW2" t="s">
        <v>762</v>
      </c>
      <c r="AX2">
        <v>14</v>
      </c>
    </row>
    <row r="3" spans="1:50" x14ac:dyDescent="0.3">
      <c r="A3" s="4" t="s">
        <v>0</v>
      </c>
      <c r="B3" t="s">
        <v>762</v>
      </c>
      <c r="C3" s="3">
        <f t="shared" ref="C3:C22" si="0">E3*3+F3</f>
        <v>83</v>
      </c>
      <c r="D3">
        <v>38</v>
      </c>
      <c r="E3">
        <v>25</v>
      </c>
      <c r="F3">
        <v>8</v>
      </c>
      <c r="G3">
        <f>D3-E3-F3</f>
        <v>5</v>
      </c>
      <c r="H3">
        <v>72</v>
      </c>
      <c r="I3">
        <v>29</v>
      </c>
      <c r="J3">
        <f>H3-I3</f>
        <v>43</v>
      </c>
      <c r="L3" s="1" t="s">
        <v>0</v>
      </c>
      <c r="M3" t="s">
        <v>785</v>
      </c>
      <c r="N3" s="3">
        <f t="shared" ref="N3:N25" si="1">P3*3+Q3</f>
        <v>95</v>
      </c>
      <c r="O3">
        <v>46</v>
      </c>
      <c r="P3">
        <v>28</v>
      </c>
      <c r="Q3">
        <v>11</v>
      </c>
      <c r="R3">
        <f>O3-P3-Q3</f>
        <v>7</v>
      </c>
      <c r="S3">
        <v>94</v>
      </c>
      <c r="T3">
        <v>48</v>
      </c>
      <c r="U3">
        <f>S3-T3</f>
        <v>46</v>
      </c>
      <c r="W3" s="1" t="s">
        <v>0</v>
      </c>
      <c r="X3" t="s">
        <v>811</v>
      </c>
      <c r="Y3" s="3">
        <f t="shared" ref="Y3:Y22" si="2">AA3*3+AB3</f>
        <v>95</v>
      </c>
      <c r="Z3">
        <v>46</v>
      </c>
      <c r="AA3">
        <v>28</v>
      </c>
      <c r="AB3">
        <v>11</v>
      </c>
      <c r="AC3">
        <f>Z3-AA3-AB3</f>
        <v>7</v>
      </c>
      <c r="AD3">
        <v>83</v>
      </c>
      <c r="AE3">
        <v>43</v>
      </c>
      <c r="AF3">
        <f>AD3-AE3</f>
        <v>40</v>
      </c>
      <c r="AH3" s="1" t="s">
        <v>0</v>
      </c>
      <c r="AI3" t="s">
        <v>836</v>
      </c>
      <c r="AJ3" s="3">
        <f t="shared" ref="AJ3:AJ22" si="3">AL3*3+AM3</f>
        <v>88</v>
      </c>
      <c r="AK3">
        <v>46</v>
      </c>
      <c r="AL3">
        <v>24</v>
      </c>
      <c r="AM3">
        <v>16</v>
      </c>
      <c r="AN3">
        <f>AK3-AL3-AM3</f>
        <v>6</v>
      </c>
      <c r="AO3">
        <v>73</v>
      </c>
      <c r="AP3">
        <v>44</v>
      </c>
      <c r="AQ3">
        <f>AO3-AP3</f>
        <v>29</v>
      </c>
      <c r="AS3" t="s">
        <v>766</v>
      </c>
      <c r="AT3" t="s">
        <v>37</v>
      </c>
      <c r="AU3" t="s">
        <v>776</v>
      </c>
      <c r="AW3" t="s">
        <v>785</v>
      </c>
      <c r="AX3">
        <v>2</v>
      </c>
    </row>
    <row r="4" spans="1:50" x14ac:dyDescent="0.3">
      <c r="A4" s="4" t="s">
        <v>1</v>
      </c>
      <c r="B4" t="s">
        <v>763</v>
      </c>
      <c r="C4" s="3">
        <f t="shared" si="0"/>
        <v>76</v>
      </c>
      <c r="D4">
        <v>38</v>
      </c>
      <c r="E4">
        <v>22</v>
      </c>
      <c r="F4">
        <v>10</v>
      </c>
      <c r="G4">
        <f t="shared" ref="G4:G22" si="4">D4-E4-F4</f>
        <v>6</v>
      </c>
      <c r="H4">
        <v>78</v>
      </c>
      <c r="I4">
        <v>39</v>
      </c>
      <c r="J4">
        <f t="shared" ref="J4:J22" si="5">H4-I4</f>
        <v>39</v>
      </c>
      <c r="L4" s="1" t="s">
        <v>1</v>
      </c>
      <c r="M4" t="s">
        <v>786</v>
      </c>
      <c r="N4" s="3">
        <f t="shared" si="1"/>
        <v>83</v>
      </c>
      <c r="O4">
        <v>46</v>
      </c>
      <c r="P4">
        <v>23</v>
      </c>
      <c r="Q4">
        <v>14</v>
      </c>
      <c r="R4">
        <f t="shared" ref="R4:R26" si="6">O4-P4-Q4</f>
        <v>9</v>
      </c>
      <c r="S4">
        <v>83</v>
      </c>
      <c r="T4">
        <v>52</v>
      </c>
      <c r="U4">
        <f t="shared" ref="U4:U26" si="7">S4-T4</f>
        <v>31</v>
      </c>
      <c r="W4" s="1" t="s">
        <v>1</v>
      </c>
      <c r="X4" t="s">
        <v>812</v>
      </c>
      <c r="Y4" s="3">
        <f t="shared" si="2"/>
        <v>85</v>
      </c>
      <c r="Z4">
        <v>46</v>
      </c>
      <c r="AA4">
        <v>25</v>
      </c>
      <c r="AB4">
        <v>10</v>
      </c>
      <c r="AC4">
        <f t="shared" ref="AC4:AC26" si="8">Z4-AA4-AB4</f>
        <v>11</v>
      </c>
      <c r="AD4">
        <v>86</v>
      </c>
      <c r="AE4">
        <v>54</v>
      </c>
      <c r="AF4">
        <f t="shared" ref="AF4:AF26" si="9">AD4-AE4</f>
        <v>32</v>
      </c>
      <c r="AH4" s="1" t="s">
        <v>1</v>
      </c>
      <c r="AI4" t="s">
        <v>837</v>
      </c>
      <c r="AJ4" s="3">
        <f t="shared" si="3"/>
        <v>83</v>
      </c>
      <c r="AK4">
        <v>46</v>
      </c>
      <c r="AL4">
        <v>23</v>
      </c>
      <c r="AM4">
        <v>14</v>
      </c>
      <c r="AN4">
        <f t="shared" ref="AN4:AN26" si="10">AK4-AL4-AM4</f>
        <v>9</v>
      </c>
      <c r="AO4">
        <v>83</v>
      </c>
      <c r="AP4">
        <v>48</v>
      </c>
      <c r="AQ4">
        <f t="shared" ref="AQ4:AQ26" si="11">AO4-AP4</f>
        <v>35</v>
      </c>
      <c r="AS4" t="s">
        <v>763</v>
      </c>
      <c r="AT4" t="s">
        <v>42</v>
      </c>
      <c r="AU4" t="s">
        <v>790</v>
      </c>
      <c r="AW4" t="s">
        <v>811</v>
      </c>
      <c r="AX4">
        <v>4</v>
      </c>
    </row>
    <row r="5" spans="1:50" x14ac:dyDescent="0.3">
      <c r="A5" s="4" t="s">
        <v>2</v>
      </c>
      <c r="B5" t="s">
        <v>764</v>
      </c>
      <c r="C5" s="3">
        <f t="shared" si="0"/>
        <v>68</v>
      </c>
      <c r="D5">
        <v>38</v>
      </c>
      <c r="E5">
        <v>19</v>
      </c>
      <c r="F5">
        <v>11</v>
      </c>
      <c r="G5">
        <f t="shared" si="4"/>
        <v>8</v>
      </c>
      <c r="H5">
        <v>68</v>
      </c>
      <c r="I5">
        <v>49</v>
      </c>
      <c r="J5">
        <f t="shared" si="5"/>
        <v>19</v>
      </c>
      <c r="L5" s="2" t="s">
        <v>2</v>
      </c>
      <c r="M5" t="s">
        <v>787</v>
      </c>
      <c r="N5" s="3">
        <f t="shared" si="1"/>
        <v>80</v>
      </c>
      <c r="O5">
        <v>46</v>
      </c>
      <c r="P5">
        <v>22</v>
      </c>
      <c r="Q5">
        <v>14</v>
      </c>
      <c r="R5">
        <f t="shared" si="6"/>
        <v>10</v>
      </c>
      <c r="S5">
        <v>70</v>
      </c>
      <c r="T5">
        <v>49</v>
      </c>
      <c r="U5">
        <f t="shared" si="7"/>
        <v>21</v>
      </c>
      <c r="W5" s="2" t="s">
        <v>2</v>
      </c>
      <c r="X5" t="s">
        <v>813</v>
      </c>
      <c r="Y5" s="3">
        <f t="shared" si="2"/>
        <v>82</v>
      </c>
      <c r="Z5">
        <v>46</v>
      </c>
      <c r="AA5">
        <v>22</v>
      </c>
      <c r="AB5">
        <v>16</v>
      </c>
      <c r="AC5">
        <f t="shared" si="8"/>
        <v>8</v>
      </c>
      <c r="AD5">
        <v>69</v>
      </c>
      <c r="AE5">
        <v>46</v>
      </c>
      <c r="AF5">
        <f t="shared" si="9"/>
        <v>23</v>
      </c>
      <c r="AH5" s="1" t="s">
        <v>2</v>
      </c>
      <c r="AI5" t="s">
        <v>838</v>
      </c>
      <c r="AJ5" s="3">
        <f t="shared" si="3"/>
        <v>82</v>
      </c>
      <c r="AK5">
        <v>46</v>
      </c>
      <c r="AL5">
        <v>22</v>
      </c>
      <c r="AM5">
        <v>16</v>
      </c>
      <c r="AN5">
        <f t="shared" si="10"/>
        <v>8</v>
      </c>
      <c r="AO5">
        <v>69</v>
      </c>
      <c r="AP5">
        <v>38</v>
      </c>
      <c r="AQ5">
        <f t="shared" si="11"/>
        <v>31</v>
      </c>
      <c r="AW5" t="s">
        <v>836</v>
      </c>
      <c r="AX5">
        <v>1</v>
      </c>
    </row>
    <row r="6" spans="1:50" x14ac:dyDescent="0.3">
      <c r="A6" s="4" t="s">
        <v>3</v>
      </c>
      <c r="B6" t="s">
        <v>765</v>
      </c>
      <c r="C6" s="3">
        <f t="shared" si="0"/>
        <v>65</v>
      </c>
      <c r="D6">
        <v>38</v>
      </c>
      <c r="E6">
        <v>19</v>
      </c>
      <c r="F6">
        <v>8</v>
      </c>
      <c r="G6">
        <f t="shared" si="4"/>
        <v>11</v>
      </c>
      <c r="H6">
        <v>50</v>
      </c>
      <c r="I6">
        <v>40</v>
      </c>
      <c r="J6">
        <f t="shared" si="5"/>
        <v>10</v>
      </c>
      <c r="L6" s="2" t="s">
        <v>3</v>
      </c>
      <c r="M6" t="s">
        <v>788</v>
      </c>
      <c r="N6" s="3">
        <f t="shared" si="1"/>
        <v>78</v>
      </c>
      <c r="O6">
        <v>46</v>
      </c>
      <c r="P6">
        <v>21</v>
      </c>
      <c r="Q6">
        <v>15</v>
      </c>
      <c r="R6">
        <f t="shared" si="6"/>
        <v>10</v>
      </c>
      <c r="S6">
        <v>74</v>
      </c>
      <c r="T6">
        <v>58</v>
      </c>
      <c r="U6">
        <f t="shared" si="7"/>
        <v>16</v>
      </c>
      <c r="W6" s="2" t="s">
        <v>3</v>
      </c>
      <c r="X6" t="s">
        <v>814</v>
      </c>
      <c r="Y6" s="3">
        <f t="shared" si="2"/>
        <v>77</v>
      </c>
      <c r="Z6">
        <v>46</v>
      </c>
      <c r="AA6">
        <v>23</v>
      </c>
      <c r="AB6">
        <v>8</v>
      </c>
      <c r="AC6">
        <f t="shared" si="8"/>
        <v>15</v>
      </c>
      <c r="AD6">
        <v>57</v>
      </c>
      <c r="AE6">
        <v>52</v>
      </c>
      <c r="AF6">
        <f t="shared" si="9"/>
        <v>5</v>
      </c>
      <c r="AH6" s="2" t="s">
        <v>3</v>
      </c>
      <c r="AI6" t="s">
        <v>839</v>
      </c>
      <c r="AJ6" s="3">
        <f t="shared" si="3"/>
        <v>81</v>
      </c>
      <c r="AK6">
        <v>46</v>
      </c>
      <c r="AL6">
        <v>24</v>
      </c>
      <c r="AM6">
        <v>9</v>
      </c>
      <c r="AN6">
        <f t="shared" si="10"/>
        <v>13</v>
      </c>
      <c r="AO6">
        <v>74</v>
      </c>
      <c r="AP6">
        <v>56</v>
      </c>
      <c r="AQ6">
        <f t="shared" si="11"/>
        <v>18</v>
      </c>
      <c r="AS6" t="s">
        <v>46</v>
      </c>
      <c r="AW6" t="s">
        <v>763</v>
      </c>
      <c r="AX6">
        <v>8</v>
      </c>
    </row>
    <row r="7" spans="1:50" x14ac:dyDescent="0.3">
      <c r="A7" s="4" t="s">
        <v>4</v>
      </c>
      <c r="B7" t="s">
        <v>766</v>
      </c>
      <c r="C7" s="3">
        <f t="shared" si="0"/>
        <v>62</v>
      </c>
      <c r="D7">
        <v>38</v>
      </c>
      <c r="E7">
        <v>17</v>
      </c>
      <c r="F7">
        <v>11</v>
      </c>
      <c r="G7">
        <f t="shared" si="4"/>
        <v>10</v>
      </c>
      <c r="H7">
        <v>68</v>
      </c>
      <c r="I7">
        <v>44</v>
      </c>
      <c r="J7">
        <f t="shared" si="5"/>
        <v>24</v>
      </c>
      <c r="L7" s="2" t="s">
        <v>4</v>
      </c>
      <c r="M7" t="s">
        <v>789</v>
      </c>
      <c r="N7" s="3">
        <f t="shared" si="1"/>
        <v>77</v>
      </c>
      <c r="O7">
        <v>46</v>
      </c>
      <c r="P7">
        <v>22</v>
      </c>
      <c r="Q7">
        <v>11</v>
      </c>
      <c r="R7">
        <f t="shared" si="6"/>
        <v>13</v>
      </c>
      <c r="S7">
        <v>61</v>
      </c>
      <c r="T7">
        <v>52</v>
      </c>
      <c r="U7">
        <f t="shared" si="7"/>
        <v>9</v>
      </c>
      <c r="W7" s="2" t="s">
        <v>4</v>
      </c>
      <c r="X7" t="s">
        <v>815</v>
      </c>
      <c r="Y7" s="3">
        <f t="shared" si="2"/>
        <v>73</v>
      </c>
      <c r="Z7">
        <v>46</v>
      </c>
      <c r="AA7">
        <v>22</v>
      </c>
      <c r="AB7">
        <v>7</v>
      </c>
      <c r="AC7">
        <f t="shared" si="8"/>
        <v>17</v>
      </c>
      <c r="AD7">
        <v>71</v>
      </c>
      <c r="AE7">
        <v>57</v>
      </c>
      <c r="AF7">
        <f t="shared" si="9"/>
        <v>14</v>
      </c>
      <c r="AH7" s="2" t="s">
        <v>4</v>
      </c>
      <c r="AI7" t="s">
        <v>840</v>
      </c>
      <c r="AJ7" s="3">
        <f t="shared" si="3"/>
        <v>80</v>
      </c>
      <c r="AK7">
        <v>46</v>
      </c>
      <c r="AL7">
        <v>24</v>
      </c>
      <c r="AM7">
        <v>8</v>
      </c>
      <c r="AN7">
        <f t="shared" si="10"/>
        <v>14</v>
      </c>
      <c r="AO7">
        <v>78</v>
      </c>
      <c r="AP7">
        <v>53</v>
      </c>
      <c r="AQ7">
        <f t="shared" si="11"/>
        <v>25</v>
      </c>
      <c r="AS7" t="s">
        <v>763</v>
      </c>
      <c r="AT7" t="s">
        <v>43</v>
      </c>
      <c r="AU7" t="s">
        <v>766</v>
      </c>
    </row>
    <row r="8" spans="1:50" x14ac:dyDescent="0.3">
      <c r="A8" s="5" t="s">
        <v>5</v>
      </c>
      <c r="B8" t="s">
        <v>767</v>
      </c>
      <c r="C8" s="3">
        <f t="shared" si="0"/>
        <v>59</v>
      </c>
      <c r="D8">
        <v>38</v>
      </c>
      <c r="E8">
        <v>17</v>
      </c>
      <c r="F8">
        <v>8</v>
      </c>
      <c r="G8">
        <f t="shared" si="4"/>
        <v>13</v>
      </c>
      <c r="H8">
        <v>50</v>
      </c>
      <c r="I8">
        <v>50</v>
      </c>
      <c r="J8">
        <f t="shared" si="5"/>
        <v>0</v>
      </c>
      <c r="L8" s="2" t="s">
        <v>5</v>
      </c>
      <c r="M8" t="s">
        <v>790</v>
      </c>
      <c r="N8" s="3">
        <f t="shared" si="1"/>
        <v>76</v>
      </c>
      <c r="O8">
        <v>46</v>
      </c>
      <c r="P8">
        <v>21</v>
      </c>
      <c r="Q8">
        <v>13</v>
      </c>
      <c r="R8">
        <f t="shared" si="6"/>
        <v>12</v>
      </c>
      <c r="S8">
        <v>79</v>
      </c>
      <c r="T8">
        <v>62</v>
      </c>
      <c r="U8">
        <f t="shared" si="7"/>
        <v>17</v>
      </c>
      <c r="W8" s="2" t="s">
        <v>5</v>
      </c>
      <c r="X8" t="s">
        <v>816</v>
      </c>
      <c r="Y8" s="3">
        <f t="shared" si="2"/>
        <v>73</v>
      </c>
      <c r="Z8">
        <v>46</v>
      </c>
      <c r="AA8">
        <v>21</v>
      </c>
      <c r="AB8">
        <v>10</v>
      </c>
      <c r="AC8">
        <f t="shared" si="8"/>
        <v>15</v>
      </c>
      <c r="AD8">
        <v>68</v>
      </c>
      <c r="AE8">
        <v>61</v>
      </c>
      <c r="AF8">
        <f t="shared" si="9"/>
        <v>7</v>
      </c>
      <c r="AH8" s="2" t="s">
        <v>5</v>
      </c>
      <c r="AI8" t="s">
        <v>841</v>
      </c>
      <c r="AJ8" s="3">
        <f t="shared" si="3"/>
        <v>77</v>
      </c>
      <c r="AK8">
        <v>46</v>
      </c>
      <c r="AL8">
        <v>20</v>
      </c>
      <c r="AM8">
        <v>17</v>
      </c>
      <c r="AN8">
        <f t="shared" si="10"/>
        <v>9</v>
      </c>
      <c r="AO8">
        <v>70</v>
      </c>
      <c r="AP8">
        <v>57</v>
      </c>
      <c r="AQ8">
        <f t="shared" si="11"/>
        <v>13</v>
      </c>
    </row>
    <row r="9" spans="1:50" x14ac:dyDescent="0.3">
      <c r="A9" s="5" t="s">
        <v>6</v>
      </c>
      <c r="B9" t="s">
        <v>768</v>
      </c>
      <c r="C9" s="3">
        <f t="shared" si="0"/>
        <v>57</v>
      </c>
      <c r="D9">
        <v>38</v>
      </c>
      <c r="E9">
        <v>17</v>
      </c>
      <c r="F9">
        <v>6</v>
      </c>
      <c r="G9">
        <f t="shared" si="4"/>
        <v>15</v>
      </c>
      <c r="H9">
        <v>55</v>
      </c>
      <c r="I9">
        <v>53</v>
      </c>
      <c r="J9">
        <f t="shared" si="5"/>
        <v>2</v>
      </c>
      <c r="L9" t="s">
        <v>6</v>
      </c>
      <c r="M9" t="s">
        <v>791</v>
      </c>
      <c r="N9" s="3">
        <f t="shared" si="1"/>
        <v>76</v>
      </c>
      <c r="O9">
        <v>46</v>
      </c>
      <c r="P9">
        <v>22</v>
      </c>
      <c r="Q9">
        <v>10</v>
      </c>
      <c r="R9">
        <f t="shared" si="6"/>
        <v>14</v>
      </c>
      <c r="S9">
        <v>71</v>
      </c>
      <c r="T9">
        <v>63</v>
      </c>
      <c r="U9">
        <f t="shared" si="7"/>
        <v>8</v>
      </c>
      <c r="W9" t="s">
        <v>6</v>
      </c>
      <c r="X9" t="s">
        <v>817</v>
      </c>
      <c r="Y9" s="3">
        <f t="shared" si="2"/>
        <v>69</v>
      </c>
      <c r="Z9">
        <v>46</v>
      </c>
      <c r="AA9">
        <v>19</v>
      </c>
      <c r="AB9">
        <v>12</v>
      </c>
      <c r="AC9">
        <f t="shared" si="8"/>
        <v>15</v>
      </c>
      <c r="AD9">
        <v>69</v>
      </c>
      <c r="AE9">
        <v>51</v>
      </c>
      <c r="AF9">
        <f t="shared" si="9"/>
        <v>18</v>
      </c>
      <c r="AH9" s="2" t="s">
        <v>6</v>
      </c>
      <c r="AI9" t="s">
        <v>842</v>
      </c>
      <c r="AJ9" s="3">
        <f t="shared" si="3"/>
        <v>77</v>
      </c>
      <c r="AK9">
        <v>46</v>
      </c>
      <c r="AL9">
        <v>24</v>
      </c>
      <c r="AM9">
        <v>5</v>
      </c>
      <c r="AN9">
        <f t="shared" si="10"/>
        <v>17</v>
      </c>
      <c r="AO9">
        <v>62</v>
      </c>
      <c r="AP9">
        <v>60</v>
      </c>
      <c r="AQ9">
        <f t="shared" si="11"/>
        <v>2</v>
      </c>
    </row>
    <row r="10" spans="1:50" x14ac:dyDescent="0.3">
      <c r="A10" s="1" t="s">
        <v>7</v>
      </c>
      <c r="B10" t="s">
        <v>769</v>
      </c>
      <c r="C10" s="3">
        <f t="shared" si="0"/>
        <v>56</v>
      </c>
      <c r="D10">
        <v>38</v>
      </c>
      <c r="E10">
        <v>16</v>
      </c>
      <c r="F10">
        <v>8</v>
      </c>
      <c r="G10">
        <f t="shared" si="4"/>
        <v>14</v>
      </c>
      <c r="H10">
        <v>56</v>
      </c>
      <c r="I10">
        <v>51</v>
      </c>
      <c r="J10">
        <f t="shared" si="5"/>
        <v>5</v>
      </c>
      <c r="L10" t="s">
        <v>7</v>
      </c>
      <c r="M10" t="s">
        <v>792</v>
      </c>
      <c r="N10" s="3">
        <f t="shared" si="1"/>
        <v>71</v>
      </c>
      <c r="O10">
        <v>46</v>
      </c>
      <c r="P10">
        <v>20</v>
      </c>
      <c r="Q10">
        <v>11</v>
      </c>
      <c r="R10">
        <f t="shared" si="6"/>
        <v>15</v>
      </c>
      <c r="S10">
        <v>68</v>
      </c>
      <c r="T10">
        <v>56</v>
      </c>
      <c r="U10">
        <f t="shared" si="7"/>
        <v>12</v>
      </c>
      <c r="W10" t="s">
        <v>7</v>
      </c>
      <c r="X10" t="s">
        <v>818</v>
      </c>
      <c r="Y10" s="3">
        <f t="shared" si="2"/>
        <v>68</v>
      </c>
      <c r="Z10">
        <v>46</v>
      </c>
      <c r="AA10">
        <v>19</v>
      </c>
      <c r="AB10">
        <v>11</v>
      </c>
      <c r="AC10">
        <f t="shared" si="8"/>
        <v>16</v>
      </c>
      <c r="AD10">
        <v>46</v>
      </c>
      <c r="AE10">
        <v>47</v>
      </c>
      <c r="AF10">
        <f t="shared" si="9"/>
        <v>-1</v>
      </c>
      <c r="AH10" t="s">
        <v>7</v>
      </c>
      <c r="AI10" t="s">
        <v>843</v>
      </c>
      <c r="AJ10" s="3">
        <f t="shared" si="3"/>
        <v>72</v>
      </c>
      <c r="AK10">
        <v>46</v>
      </c>
      <c r="AL10">
        <v>20</v>
      </c>
      <c r="AM10">
        <v>12</v>
      </c>
      <c r="AN10">
        <f t="shared" si="10"/>
        <v>14</v>
      </c>
      <c r="AO10">
        <v>70</v>
      </c>
      <c r="AP10">
        <v>54</v>
      </c>
      <c r="AQ10">
        <f t="shared" si="11"/>
        <v>16</v>
      </c>
    </row>
    <row r="11" spans="1:50" x14ac:dyDescent="0.3">
      <c r="A11" t="s">
        <v>8</v>
      </c>
      <c r="B11" t="s">
        <v>770</v>
      </c>
      <c r="C11" s="3">
        <f t="shared" si="0"/>
        <v>55</v>
      </c>
      <c r="D11">
        <v>38</v>
      </c>
      <c r="E11">
        <v>16</v>
      </c>
      <c r="F11">
        <v>7</v>
      </c>
      <c r="G11">
        <f t="shared" si="4"/>
        <v>15</v>
      </c>
      <c r="H11">
        <v>59</v>
      </c>
      <c r="I11">
        <v>57</v>
      </c>
      <c r="J11">
        <f t="shared" si="5"/>
        <v>2</v>
      </c>
      <c r="L11" t="s">
        <v>8</v>
      </c>
      <c r="M11" t="s">
        <v>793</v>
      </c>
      <c r="N11" s="3">
        <f t="shared" si="1"/>
        <v>66</v>
      </c>
      <c r="O11">
        <v>46</v>
      </c>
      <c r="P11">
        <v>19</v>
      </c>
      <c r="Q11">
        <v>9</v>
      </c>
      <c r="R11">
        <f t="shared" si="6"/>
        <v>18</v>
      </c>
      <c r="S11">
        <v>59</v>
      </c>
      <c r="T11">
        <v>56</v>
      </c>
      <c r="U11">
        <f t="shared" si="7"/>
        <v>3</v>
      </c>
      <c r="W11" t="s">
        <v>8</v>
      </c>
      <c r="X11" t="s">
        <v>819</v>
      </c>
      <c r="Y11" s="3">
        <f t="shared" si="2"/>
        <v>67</v>
      </c>
      <c r="Z11">
        <v>46</v>
      </c>
      <c r="AA11">
        <v>19</v>
      </c>
      <c r="AB11">
        <v>10</v>
      </c>
      <c r="AC11">
        <f t="shared" si="8"/>
        <v>17</v>
      </c>
      <c r="AD11">
        <v>68</v>
      </c>
      <c r="AE11">
        <v>60</v>
      </c>
      <c r="AF11">
        <f t="shared" si="9"/>
        <v>8</v>
      </c>
      <c r="AH11" t="s">
        <v>8</v>
      </c>
      <c r="AI11" t="s">
        <v>844</v>
      </c>
      <c r="AJ11" s="3">
        <f t="shared" si="3"/>
        <v>70</v>
      </c>
      <c r="AK11">
        <v>46</v>
      </c>
      <c r="AL11">
        <v>20</v>
      </c>
      <c r="AM11">
        <v>10</v>
      </c>
      <c r="AN11">
        <f t="shared" si="10"/>
        <v>16</v>
      </c>
      <c r="AO11">
        <v>67</v>
      </c>
      <c r="AP11">
        <v>57</v>
      </c>
      <c r="AQ11">
        <f t="shared" si="11"/>
        <v>10</v>
      </c>
    </row>
    <row r="12" spans="1:50" x14ac:dyDescent="0.3">
      <c r="A12" t="s">
        <v>9</v>
      </c>
      <c r="B12" t="s">
        <v>771</v>
      </c>
      <c r="C12" s="3">
        <f t="shared" si="0"/>
        <v>55</v>
      </c>
      <c r="D12">
        <v>38</v>
      </c>
      <c r="E12">
        <v>15</v>
      </c>
      <c r="F12">
        <v>10</v>
      </c>
      <c r="G12">
        <f t="shared" si="4"/>
        <v>13</v>
      </c>
      <c r="H12">
        <v>50</v>
      </c>
      <c r="I12">
        <v>48</v>
      </c>
      <c r="J12">
        <f t="shared" si="5"/>
        <v>2</v>
      </c>
      <c r="L12" t="s">
        <v>9</v>
      </c>
      <c r="M12" t="s">
        <v>794</v>
      </c>
      <c r="N12" s="3">
        <f t="shared" si="1"/>
        <v>63</v>
      </c>
      <c r="O12">
        <v>46</v>
      </c>
      <c r="P12">
        <v>18</v>
      </c>
      <c r="Q12">
        <v>9</v>
      </c>
      <c r="R12">
        <f t="shared" si="6"/>
        <v>19</v>
      </c>
      <c r="S12">
        <v>62</v>
      </c>
      <c r="T12">
        <v>55</v>
      </c>
      <c r="U12">
        <f t="shared" si="7"/>
        <v>7</v>
      </c>
      <c r="W12" t="s">
        <v>9</v>
      </c>
      <c r="X12" t="s">
        <v>820</v>
      </c>
      <c r="Y12" s="3">
        <f t="shared" si="2"/>
        <v>65</v>
      </c>
      <c r="Z12">
        <v>46</v>
      </c>
      <c r="AA12">
        <v>17</v>
      </c>
      <c r="AB12">
        <v>14</v>
      </c>
      <c r="AC12">
        <f t="shared" si="8"/>
        <v>15</v>
      </c>
      <c r="AD12">
        <v>69</v>
      </c>
      <c r="AE12">
        <v>65</v>
      </c>
      <c r="AF12">
        <f t="shared" si="9"/>
        <v>4</v>
      </c>
      <c r="AH12" t="s">
        <v>9</v>
      </c>
      <c r="AI12" t="s">
        <v>845</v>
      </c>
      <c r="AJ12" s="3">
        <f t="shared" si="3"/>
        <v>69</v>
      </c>
      <c r="AK12">
        <v>46</v>
      </c>
      <c r="AL12">
        <v>18</v>
      </c>
      <c r="AM12">
        <v>15</v>
      </c>
      <c r="AN12">
        <f t="shared" si="10"/>
        <v>13</v>
      </c>
      <c r="AO12">
        <v>63</v>
      </c>
      <c r="AP12">
        <v>52</v>
      </c>
      <c r="AQ12">
        <f t="shared" si="11"/>
        <v>11</v>
      </c>
    </row>
    <row r="13" spans="1:50" x14ac:dyDescent="0.3">
      <c r="A13" t="s">
        <v>10</v>
      </c>
      <c r="B13" t="s">
        <v>772</v>
      </c>
      <c r="C13" s="3">
        <f t="shared" si="0"/>
        <v>53</v>
      </c>
      <c r="D13">
        <v>38</v>
      </c>
      <c r="E13">
        <v>14</v>
      </c>
      <c r="F13">
        <v>11</v>
      </c>
      <c r="G13">
        <f t="shared" si="4"/>
        <v>13</v>
      </c>
      <c r="H13">
        <v>43</v>
      </c>
      <c r="I13">
        <v>42</v>
      </c>
      <c r="J13">
        <f t="shared" si="5"/>
        <v>1</v>
      </c>
      <c r="L13" t="s">
        <v>10</v>
      </c>
      <c r="M13" t="s">
        <v>795</v>
      </c>
      <c r="N13" s="3">
        <f t="shared" si="1"/>
        <v>63</v>
      </c>
      <c r="O13">
        <v>46</v>
      </c>
      <c r="P13">
        <v>16</v>
      </c>
      <c r="Q13">
        <v>15</v>
      </c>
      <c r="R13">
        <f t="shared" si="6"/>
        <v>15</v>
      </c>
      <c r="S13">
        <v>59</v>
      </c>
      <c r="T13">
        <v>56</v>
      </c>
      <c r="U13">
        <f t="shared" si="7"/>
        <v>3</v>
      </c>
      <c r="W13" t="s">
        <v>10</v>
      </c>
      <c r="X13" t="s">
        <v>821</v>
      </c>
      <c r="Y13" s="3">
        <f t="shared" si="2"/>
        <v>64</v>
      </c>
      <c r="Z13">
        <v>46</v>
      </c>
      <c r="AA13">
        <v>19</v>
      </c>
      <c r="AB13">
        <v>7</v>
      </c>
      <c r="AC13">
        <f t="shared" si="8"/>
        <v>20</v>
      </c>
      <c r="AD13">
        <v>68</v>
      </c>
      <c r="AE13">
        <v>58</v>
      </c>
      <c r="AF13">
        <f t="shared" si="9"/>
        <v>10</v>
      </c>
      <c r="AH13" t="s">
        <v>10</v>
      </c>
      <c r="AI13" t="s">
        <v>846</v>
      </c>
      <c r="AJ13" s="3">
        <f t="shared" si="3"/>
        <v>69</v>
      </c>
      <c r="AK13">
        <v>46</v>
      </c>
      <c r="AL13">
        <v>19</v>
      </c>
      <c r="AM13">
        <v>12</v>
      </c>
      <c r="AN13">
        <f t="shared" si="10"/>
        <v>15</v>
      </c>
      <c r="AO13">
        <v>58</v>
      </c>
      <c r="AP13">
        <v>52</v>
      </c>
      <c r="AQ13">
        <f t="shared" si="11"/>
        <v>6</v>
      </c>
    </row>
    <row r="14" spans="1:50" x14ac:dyDescent="0.3">
      <c r="A14" t="s">
        <v>11</v>
      </c>
      <c r="B14" t="s">
        <v>773</v>
      </c>
      <c r="C14" s="3">
        <f t="shared" si="0"/>
        <v>51</v>
      </c>
      <c r="D14">
        <v>38</v>
      </c>
      <c r="E14">
        <v>13</v>
      </c>
      <c r="F14">
        <v>12</v>
      </c>
      <c r="G14">
        <f t="shared" si="4"/>
        <v>13</v>
      </c>
      <c r="H14">
        <v>41</v>
      </c>
      <c r="I14">
        <v>49</v>
      </c>
      <c r="J14">
        <f t="shared" si="5"/>
        <v>-8</v>
      </c>
      <c r="L14" t="s">
        <v>11</v>
      </c>
      <c r="M14" t="s">
        <v>796</v>
      </c>
      <c r="N14" s="3">
        <f t="shared" si="1"/>
        <v>62</v>
      </c>
      <c r="O14">
        <v>46</v>
      </c>
      <c r="P14">
        <v>17</v>
      </c>
      <c r="Q14">
        <v>11</v>
      </c>
      <c r="R14">
        <f t="shared" si="6"/>
        <v>18</v>
      </c>
      <c r="S14">
        <v>64</v>
      </c>
      <c r="T14">
        <v>72</v>
      </c>
      <c r="U14">
        <f t="shared" si="7"/>
        <v>-8</v>
      </c>
      <c r="W14" t="s">
        <v>11</v>
      </c>
      <c r="X14" t="s">
        <v>822</v>
      </c>
      <c r="Y14" s="3">
        <f t="shared" si="2"/>
        <v>64</v>
      </c>
      <c r="Z14">
        <v>46</v>
      </c>
      <c r="AA14">
        <v>17</v>
      </c>
      <c r="AB14">
        <v>13</v>
      </c>
      <c r="AC14">
        <f t="shared" si="8"/>
        <v>16</v>
      </c>
      <c r="AD14">
        <v>63</v>
      </c>
      <c r="AE14">
        <v>60</v>
      </c>
      <c r="AF14">
        <f t="shared" si="9"/>
        <v>3</v>
      </c>
      <c r="AH14" t="s">
        <v>11</v>
      </c>
      <c r="AI14" t="s">
        <v>847</v>
      </c>
      <c r="AJ14" s="3">
        <f t="shared" si="3"/>
        <v>68</v>
      </c>
      <c r="AK14">
        <v>46</v>
      </c>
      <c r="AL14">
        <v>17</v>
      </c>
      <c r="AM14">
        <v>17</v>
      </c>
      <c r="AN14">
        <f t="shared" si="10"/>
        <v>12</v>
      </c>
      <c r="AO14">
        <v>57</v>
      </c>
      <c r="AP14">
        <v>43</v>
      </c>
      <c r="AQ14">
        <f t="shared" si="11"/>
        <v>14</v>
      </c>
    </row>
    <row r="15" spans="1:50" x14ac:dyDescent="0.3">
      <c r="A15" t="s">
        <v>69</v>
      </c>
      <c r="B15" t="s">
        <v>774</v>
      </c>
      <c r="C15" s="3">
        <f t="shared" si="0"/>
        <v>50</v>
      </c>
      <c r="D15">
        <v>38</v>
      </c>
      <c r="E15">
        <v>11</v>
      </c>
      <c r="F15">
        <v>17</v>
      </c>
      <c r="G15">
        <f t="shared" si="4"/>
        <v>10</v>
      </c>
      <c r="H15">
        <v>54</v>
      </c>
      <c r="I15">
        <v>57</v>
      </c>
      <c r="J15">
        <f t="shared" si="5"/>
        <v>-3</v>
      </c>
      <c r="L15" t="s">
        <v>69</v>
      </c>
      <c r="M15" t="s">
        <v>797</v>
      </c>
      <c r="N15" s="3">
        <f t="shared" si="1"/>
        <v>61</v>
      </c>
      <c r="O15">
        <v>46</v>
      </c>
      <c r="P15">
        <v>17</v>
      </c>
      <c r="Q15">
        <v>10</v>
      </c>
      <c r="R15">
        <f t="shared" si="6"/>
        <v>19</v>
      </c>
      <c r="S15">
        <v>52</v>
      </c>
      <c r="T15">
        <v>50</v>
      </c>
      <c r="U15">
        <f t="shared" si="7"/>
        <v>2</v>
      </c>
      <c r="W15" t="s">
        <v>69</v>
      </c>
      <c r="X15" t="s">
        <v>823</v>
      </c>
      <c r="Y15" s="3">
        <f t="shared" si="2"/>
        <v>61</v>
      </c>
      <c r="Z15">
        <v>46</v>
      </c>
      <c r="AA15">
        <v>15</v>
      </c>
      <c r="AB15">
        <v>16</v>
      </c>
      <c r="AC15">
        <f t="shared" si="8"/>
        <v>15</v>
      </c>
      <c r="AD15">
        <v>56</v>
      </c>
      <c r="AE15">
        <v>50</v>
      </c>
      <c r="AF15">
        <f t="shared" si="9"/>
        <v>6</v>
      </c>
      <c r="AH15" t="s">
        <v>69</v>
      </c>
      <c r="AI15" t="s">
        <v>848</v>
      </c>
      <c r="AJ15" s="3">
        <f t="shared" si="3"/>
        <v>64</v>
      </c>
      <c r="AK15">
        <v>46</v>
      </c>
      <c r="AL15">
        <v>17</v>
      </c>
      <c r="AM15">
        <v>13</v>
      </c>
      <c r="AN15">
        <f t="shared" si="10"/>
        <v>16</v>
      </c>
      <c r="AO15">
        <v>61</v>
      </c>
      <c r="AP15">
        <v>54</v>
      </c>
      <c r="AQ15">
        <f t="shared" si="11"/>
        <v>7</v>
      </c>
    </row>
    <row r="16" spans="1:50" x14ac:dyDescent="0.3">
      <c r="A16" t="s">
        <v>70</v>
      </c>
      <c r="B16" t="s">
        <v>775</v>
      </c>
      <c r="C16" s="3">
        <f t="shared" si="0"/>
        <v>48</v>
      </c>
      <c r="D16">
        <v>38</v>
      </c>
      <c r="E16">
        <v>14</v>
      </c>
      <c r="F16">
        <v>6</v>
      </c>
      <c r="G16">
        <f t="shared" si="4"/>
        <v>18</v>
      </c>
      <c r="H16">
        <v>49</v>
      </c>
      <c r="I16">
        <v>53</v>
      </c>
      <c r="J16">
        <f t="shared" si="5"/>
        <v>-4</v>
      </c>
      <c r="L16" t="s">
        <v>70</v>
      </c>
      <c r="M16" t="s">
        <v>798</v>
      </c>
      <c r="N16" s="3">
        <f t="shared" si="1"/>
        <v>61</v>
      </c>
      <c r="O16">
        <v>46</v>
      </c>
      <c r="P16">
        <v>15</v>
      </c>
      <c r="Q16">
        <v>16</v>
      </c>
      <c r="R16">
        <f t="shared" si="6"/>
        <v>15</v>
      </c>
      <c r="S16">
        <v>56</v>
      </c>
      <c r="T16">
        <v>60</v>
      </c>
      <c r="U16">
        <f t="shared" si="7"/>
        <v>-4</v>
      </c>
      <c r="W16" t="s">
        <v>70</v>
      </c>
      <c r="X16" t="s">
        <v>824</v>
      </c>
      <c r="Y16" s="3">
        <f t="shared" si="2"/>
        <v>60</v>
      </c>
      <c r="Z16">
        <v>46</v>
      </c>
      <c r="AA16">
        <v>15</v>
      </c>
      <c r="AB16">
        <v>15</v>
      </c>
      <c r="AC16">
        <f t="shared" si="8"/>
        <v>16</v>
      </c>
      <c r="AD16">
        <v>68</v>
      </c>
      <c r="AE16">
        <v>74</v>
      </c>
      <c r="AF16">
        <f t="shared" si="9"/>
        <v>-6</v>
      </c>
      <c r="AH16" t="s">
        <v>70</v>
      </c>
      <c r="AI16" t="s">
        <v>849</v>
      </c>
      <c r="AJ16" s="3">
        <f t="shared" si="3"/>
        <v>59</v>
      </c>
      <c r="AK16">
        <v>46</v>
      </c>
      <c r="AL16">
        <v>15</v>
      </c>
      <c r="AM16">
        <v>14</v>
      </c>
      <c r="AN16">
        <f t="shared" si="10"/>
        <v>17</v>
      </c>
      <c r="AO16">
        <v>56</v>
      </c>
      <c r="AP16">
        <v>58</v>
      </c>
      <c r="AQ16">
        <f t="shared" si="11"/>
        <v>-2</v>
      </c>
    </row>
    <row r="17" spans="1:43" x14ac:dyDescent="0.3">
      <c r="A17" t="s">
        <v>71</v>
      </c>
      <c r="B17" t="s">
        <v>776</v>
      </c>
      <c r="C17" s="3">
        <f t="shared" si="0"/>
        <v>42</v>
      </c>
      <c r="D17">
        <v>38</v>
      </c>
      <c r="E17">
        <v>10</v>
      </c>
      <c r="F17">
        <v>12</v>
      </c>
      <c r="G17">
        <f t="shared" si="4"/>
        <v>16</v>
      </c>
      <c r="H17">
        <v>46</v>
      </c>
      <c r="I17">
        <v>60</v>
      </c>
      <c r="J17">
        <f t="shared" si="5"/>
        <v>-14</v>
      </c>
      <c r="L17" t="s">
        <v>71</v>
      </c>
      <c r="M17" t="s">
        <v>799</v>
      </c>
      <c r="N17" s="3">
        <f t="shared" si="1"/>
        <v>60</v>
      </c>
      <c r="O17">
        <v>46</v>
      </c>
      <c r="P17">
        <v>18</v>
      </c>
      <c r="Q17">
        <v>6</v>
      </c>
      <c r="R17">
        <f t="shared" si="6"/>
        <v>22</v>
      </c>
      <c r="S17">
        <v>67</v>
      </c>
      <c r="T17">
        <v>65</v>
      </c>
      <c r="U17">
        <f t="shared" si="7"/>
        <v>2</v>
      </c>
      <c r="W17" t="s">
        <v>71</v>
      </c>
      <c r="X17" t="s">
        <v>825</v>
      </c>
      <c r="Y17" s="3">
        <f t="shared" si="2"/>
        <v>60</v>
      </c>
      <c r="Z17">
        <v>46</v>
      </c>
      <c r="AA17">
        <v>17</v>
      </c>
      <c r="AB17">
        <v>9</v>
      </c>
      <c r="AC17">
        <f t="shared" si="8"/>
        <v>20</v>
      </c>
      <c r="AD17">
        <v>51</v>
      </c>
      <c r="AE17">
        <v>69</v>
      </c>
      <c r="AF17">
        <f t="shared" si="9"/>
        <v>-18</v>
      </c>
      <c r="AH17" t="s">
        <v>71</v>
      </c>
      <c r="AI17" t="s">
        <v>850</v>
      </c>
      <c r="AJ17" s="3">
        <f t="shared" si="3"/>
        <v>59</v>
      </c>
      <c r="AK17">
        <v>46</v>
      </c>
      <c r="AL17">
        <v>18</v>
      </c>
      <c r="AM17">
        <v>5</v>
      </c>
      <c r="AN17">
        <f t="shared" si="10"/>
        <v>23</v>
      </c>
      <c r="AO17">
        <v>54</v>
      </c>
      <c r="AP17">
        <v>67</v>
      </c>
      <c r="AQ17">
        <f t="shared" si="11"/>
        <v>-13</v>
      </c>
    </row>
    <row r="18" spans="1:43" x14ac:dyDescent="0.3">
      <c r="A18" t="s">
        <v>72</v>
      </c>
      <c r="B18" t="s">
        <v>777</v>
      </c>
      <c r="C18" s="3">
        <f t="shared" si="0"/>
        <v>40</v>
      </c>
      <c r="D18">
        <v>38</v>
      </c>
      <c r="E18">
        <v>10</v>
      </c>
      <c r="F18">
        <v>10</v>
      </c>
      <c r="G18">
        <f t="shared" si="4"/>
        <v>18</v>
      </c>
      <c r="H18">
        <v>37</v>
      </c>
      <c r="I18">
        <v>52</v>
      </c>
      <c r="J18">
        <f t="shared" si="5"/>
        <v>-15</v>
      </c>
      <c r="L18" t="s">
        <v>72</v>
      </c>
      <c r="M18" t="s">
        <v>800</v>
      </c>
      <c r="N18" s="3">
        <f t="shared" si="1"/>
        <v>60</v>
      </c>
      <c r="O18">
        <v>46</v>
      </c>
      <c r="P18">
        <v>17</v>
      </c>
      <c r="Q18">
        <v>9</v>
      </c>
      <c r="R18">
        <f t="shared" si="6"/>
        <v>20</v>
      </c>
      <c r="S18">
        <v>56</v>
      </c>
      <c r="T18">
        <v>63</v>
      </c>
      <c r="U18">
        <f t="shared" si="7"/>
        <v>-7</v>
      </c>
      <c r="W18" t="s">
        <v>72</v>
      </c>
      <c r="X18" t="s">
        <v>826</v>
      </c>
      <c r="Y18" s="3">
        <f t="shared" si="2"/>
        <v>58</v>
      </c>
      <c r="Z18">
        <v>46</v>
      </c>
      <c r="AA18">
        <v>16</v>
      </c>
      <c r="AB18">
        <v>10</v>
      </c>
      <c r="AC18">
        <f t="shared" si="8"/>
        <v>20</v>
      </c>
      <c r="AD18">
        <v>63</v>
      </c>
      <c r="AE18">
        <v>70</v>
      </c>
      <c r="AF18">
        <f t="shared" si="9"/>
        <v>-7</v>
      </c>
      <c r="AH18" t="s">
        <v>72</v>
      </c>
      <c r="AI18" t="s">
        <v>851</v>
      </c>
      <c r="AJ18" s="3">
        <f t="shared" si="3"/>
        <v>56</v>
      </c>
      <c r="AK18">
        <v>46</v>
      </c>
      <c r="AL18">
        <v>15</v>
      </c>
      <c r="AM18">
        <v>11</v>
      </c>
      <c r="AN18">
        <f t="shared" si="10"/>
        <v>20</v>
      </c>
      <c r="AO18">
        <v>48</v>
      </c>
      <c r="AP18">
        <v>55</v>
      </c>
      <c r="AQ18">
        <f t="shared" si="11"/>
        <v>-7</v>
      </c>
    </row>
    <row r="19" spans="1:43" x14ac:dyDescent="0.3">
      <c r="A19" t="s">
        <v>255</v>
      </c>
      <c r="B19" t="s">
        <v>778</v>
      </c>
      <c r="C19" s="3">
        <f t="shared" si="0"/>
        <v>38</v>
      </c>
      <c r="D19">
        <v>38</v>
      </c>
      <c r="E19">
        <v>9</v>
      </c>
      <c r="F19">
        <v>11</v>
      </c>
      <c r="G19">
        <f t="shared" si="4"/>
        <v>18</v>
      </c>
      <c r="H19">
        <v>49</v>
      </c>
      <c r="I19">
        <v>61</v>
      </c>
      <c r="J19">
        <f t="shared" si="5"/>
        <v>-12</v>
      </c>
      <c r="L19" t="s">
        <v>255</v>
      </c>
      <c r="M19" t="s">
        <v>801</v>
      </c>
      <c r="N19" s="3">
        <f t="shared" si="1"/>
        <v>58</v>
      </c>
      <c r="O19">
        <v>46</v>
      </c>
      <c r="P19">
        <v>15</v>
      </c>
      <c r="Q19">
        <v>13</v>
      </c>
      <c r="R19">
        <f t="shared" si="6"/>
        <v>18</v>
      </c>
      <c r="S19">
        <v>53</v>
      </c>
      <c r="T19">
        <v>58</v>
      </c>
      <c r="U19">
        <f t="shared" si="7"/>
        <v>-5</v>
      </c>
      <c r="W19" t="s">
        <v>255</v>
      </c>
      <c r="X19" t="s">
        <v>827</v>
      </c>
      <c r="Y19" s="3">
        <f t="shared" si="2"/>
        <v>57</v>
      </c>
      <c r="Z19">
        <v>46</v>
      </c>
      <c r="AA19">
        <v>16</v>
      </c>
      <c r="AB19">
        <v>9</v>
      </c>
      <c r="AC19">
        <f t="shared" si="8"/>
        <v>21</v>
      </c>
      <c r="AD19">
        <v>56</v>
      </c>
      <c r="AE19">
        <v>67</v>
      </c>
      <c r="AF19">
        <f t="shared" si="9"/>
        <v>-11</v>
      </c>
      <c r="AH19" t="s">
        <v>255</v>
      </c>
      <c r="AI19" t="s">
        <v>852</v>
      </c>
      <c r="AJ19" s="3">
        <f t="shared" si="3"/>
        <v>54</v>
      </c>
      <c r="AK19">
        <v>46</v>
      </c>
      <c r="AL19">
        <v>13</v>
      </c>
      <c r="AM19">
        <v>15</v>
      </c>
      <c r="AN19">
        <f t="shared" si="10"/>
        <v>18</v>
      </c>
      <c r="AO19">
        <v>52</v>
      </c>
      <c r="AP19">
        <v>66</v>
      </c>
      <c r="AQ19">
        <f t="shared" si="11"/>
        <v>-14</v>
      </c>
    </row>
    <row r="20" spans="1:43" x14ac:dyDescent="0.3">
      <c r="A20" s="7" t="s">
        <v>256</v>
      </c>
      <c r="B20" t="s">
        <v>779</v>
      </c>
      <c r="C20" s="3">
        <f t="shared" si="0"/>
        <v>35</v>
      </c>
      <c r="D20">
        <v>38</v>
      </c>
      <c r="E20">
        <v>9</v>
      </c>
      <c r="F20">
        <v>8</v>
      </c>
      <c r="G20">
        <f t="shared" si="4"/>
        <v>21</v>
      </c>
      <c r="H20">
        <v>43</v>
      </c>
      <c r="I20">
        <v>72</v>
      </c>
      <c r="J20">
        <f t="shared" si="5"/>
        <v>-29</v>
      </c>
      <c r="L20" t="s">
        <v>256</v>
      </c>
      <c r="M20" t="s">
        <v>802</v>
      </c>
      <c r="N20" s="3">
        <f t="shared" si="1"/>
        <v>55</v>
      </c>
      <c r="O20">
        <v>46</v>
      </c>
      <c r="P20">
        <v>14</v>
      </c>
      <c r="Q20">
        <v>13</v>
      </c>
      <c r="R20">
        <f t="shared" si="6"/>
        <v>19</v>
      </c>
      <c r="S20">
        <v>45</v>
      </c>
      <c r="T20">
        <v>56</v>
      </c>
      <c r="U20">
        <f t="shared" si="7"/>
        <v>-11</v>
      </c>
      <c r="W20" t="s">
        <v>256</v>
      </c>
      <c r="X20" t="s">
        <v>828</v>
      </c>
      <c r="Y20" s="3">
        <f t="shared" si="2"/>
        <v>55</v>
      </c>
      <c r="Z20">
        <v>46</v>
      </c>
      <c r="AA20">
        <v>14</v>
      </c>
      <c r="AB20">
        <v>13</v>
      </c>
      <c r="AC20">
        <f t="shared" si="8"/>
        <v>19</v>
      </c>
      <c r="AD20">
        <v>53</v>
      </c>
      <c r="AE20">
        <v>63</v>
      </c>
      <c r="AF20">
        <f t="shared" si="9"/>
        <v>-10</v>
      </c>
      <c r="AH20" t="s">
        <v>256</v>
      </c>
      <c r="AI20" t="s">
        <v>853</v>
      </c>
      <c r="AJ20" s="3">
        <f t="shared" si="3"/>
        <v>50</v>
      </c>
      <c r="AK20">
        <v>46</v>
      </c>
      <c r="AL20">
        <v>13</v>
      </c>
      <c r="AM20">
        <v>11</v>
      </c>
      <c r="AN20">
        <f t="shared" si="10"/>
        <v>22</v>
      </c>
      <c r="AO20">
        <v>52</v>
      </c>
      <c r="AP20">
        <v>78</v>
      </c>
      <c r="AQ20">
        <f t="shared" si="11"/>
        <v>-26</v>
      </c>
    </row>
    <row r="21" spans="1:43" x14ac:dyDescent="0.3">
      <c r="A21" s="7" t="s">
        <v>277</v>
      </c>
      <c r="B21" t="s">
        <v>780</v>
      </c>
      <c r="C21" s="3">
        <f t="shared" si="0"/>
        <v>25</v>
      </c>
      <c r="D21">
        <v>38</v>
      </c>
      <c r="E21">
        <v>5</v>
      </c>
      <c r="F21">
        <v>10</v>
      </c>
      <c r="G21">
        <f t="shared" si="4"/>
        <v>23</v>
      </c>
      <c r="H21">
        <v>40</v>
      </c>
      <c r="I21">
        <v>68</v>
      </c>
      <c r="J21">
        <f t="shared" si="5"/>
        <v>-28</v>
      </c>
      <c r="L21" t="s">
        <v>277</v>
      </c>
      <c r="M21" t="s">
        <v>803</v>
      </c>
      <c r="N21" s="3">
        <f t="shared" si="1"/>
        <v>51</v>
      </c>
      <c r="O21">
        <v>46</v>
      </c>
      <c r="P21">
        <v>13</v>
      </c>
      <c r="Q21">
        <v>12</v>
      </c>
      <c r="R21">
        <f t="shared" si="6"/>
        <v>21</v>
      </c>
      <c r="S21">
        <v>45</v>
      </c>
      <c r="T21">
        <v>63</v>
      </c>
      <c r="U21">
        <f t="shared" si="7"/>
        <v>-18</v>
      </c>
      <c r="W21" t="s">
        <v>277</v>
      </c>
      <c r="X21" t="s">
        <v>829</v>
      </c>
      <c r="Y21" s="3">
        <f t="shared" si="2"/>
        <v>54</v>
      </c>
      <c r="Z21">
        <v>46</v>
      </c>
      <c r="AA21">
        <v>13</v>
      </c>
      <c r="AB21">
        <v>15</v>
      </c>
      <c r="AC21">
        <f t="shared" si="8"/>
        <v>18</v>
      </c>
      <c r="AD21">
        <v>50</v>
      </c>
      <c r="AE21">
        <v>63</v>
      </c>
      <c r="AF21">
        <f t="shared" si="9"/>
        <v>-13</v>
      </c>
      <c r="AH21" t="s">
        <v>277</v>
      </c>
      <c r="AI21" t="s">
        <v>854</v>
      </c>
      <c r="AJ21" s="3">
        <f t="shared" si="3"/>
        <v>50</v>
      </c>
      <c r="AK21">
        <v>46</v>
      </c>
      <c r="AL21">
        <v>14</v>
      </c>
      <c r="AM21">
        <v>8</v>
      </c>
      <c r="AN21">
        <f t="shared" si="10"/>
        <v>24</v>
      </c>
      <c r="AO21">
        <v>43</v>
      </c>
      <c r="AP21">
        <v>70</v>
      </c>
      <c r="AQ21">
        <f t="shared" si="11"/>
        <v>-27</v>
      </c>
    </row>
    <row r="22" spans="1:43" x14ac:dyDescent="0.3">
      <c r="A22" s="7" t="s">
        <v>278</v>
      </c>
      <c r="B22" t="s">
        <v>781</v>
      </c>
      <c r="C22" s="3">
        <f t="shared" si="0"/>
        <v>24</v>
      </c>
      <c r="D22">
        <v>38</v>
      </c>
      <c r="E22">
        <v>4</v>
      </c>
      <c r="F22">
        <v>12</v>
      </c>
      <c r="G22">
        <f t="shared" si="4"/>
        <v>22</v>
      </c>
      <c r="H22">
        <v>43</v>
      </c>
      <c r="I22">
        <v>77</v>
      </c>
      <c r="J22">
        <f t="shared" si="5"/>
        <v>-34</v>
      </c>
      <c r="L22" t="s">
        <v>278</v>
      </c>
      <c r="M22" t="s">
        <v>804</v>
      </c>
      <c r="N22" s="3">
        <f t="shared" si="1"/>
        <v>50</v>
      </c>
      <c r="O22">
        <v>46</v>
      </c>
      <c r="P22">
        <v>12</v>
      </c>
      <c r="Q22">
        <v>14</v>
      </c>
      <c r="R22">
        <f t="shared" si="6"/>
        <v>20</v>
      </c>
      <c r="S22">
        <v>41</v>
      </c>
      <c r="T22">
        <v>58</v>
      </c>
      <c r="U22">
        <f t="shared" si="7"/>
        <v>-17</v>
      </c>
      <c r="W22" t="s">
        <v>278</v>
      </c>
      <c r="X22" t="s">
        <v>830</v>
      </c>
      <c r="Y22" s="3">
        <f t="shared" si="2"/>
        <v>52</v>
      </c>
      <c r="Z22">
        <v>46</v>
      </c>
      <c r="AA22">
        <v>13</v>
      </c>
      <c r="AB22">
        <v>13</v>
      </c>
      <c r="AC22">
        <f t="shared" si="8"/>
        <v>20</v>
      </c>
      <c r="AD22">
        <v>51</v>
      </c>
      <c r="AE22">
        <v>67</v>
      </c>
      <c r="AF22">
        <f t="shared" si="9"/>
        <v>-16</v>
      </c>
      <c r="AH22" t="s">
        <v>278</v>
      </c>
      <c r="AI22" t="s">
        <v>855</v>
      </c>
      <c r="AJ22" s="3">
        <f t="shared" si="3"/>
        <v>46</v>
      </c>
      <c r="AK22">
        <v>46</v>
      </c>
      <c r="AL22">
        <v>12</v>
      </c>
      <c r="AM22">
        <v>10</v>
      </c>
      <c r="AN22">
        <f t="shared" si="10"/>
        <v>24</v>
      </c>
      <c r="AO22">
        <v>57</v>
      </c>
      <c r="AP22">
        <v>78</v>
      </c>
      <c r="AQ22">
        <f t="shared" si="11"/>
        <v>-21</v>
      </c>
    </row>
    <row r="23" spans="1:43" x14ac:dyDescent="0.3">
      <c r="L23" t="s">
        <v>546</v>
      </c>
      <c r="M23" t="s">
        <v>805</v>
      </c>
      <c r="N23" s="3">
        <f>P23*3+Q23-6</f>
        <v>47</v>
      </c>
      <c r="O23">
        <v>46</v>
      </c>
      <c r="P23">
        <v>12</v>
      </c>
      <c r="Q23">
        <v>17</v>
      </c>
      <c r="R23">
        <f t="shared" si="6"/>
        <v>17</v>
      </c>
      <c r="S23">
        <v>58</v>
      </c>
      <c r="T23">
        <v>67</v>
      </c>
      <c r="U23">
        <f t="shared" si="7"/>
        <v>-9</v>
      </c>
      <c r="W23" s="7" t="s">
        <v>546</v>
      </c>
      <c r="X23" t="s">
        <v>831</v>
      </c>
      <c r="Y23" s="3">
        <f>AA23*3+AB23</f>
        <v>51</v>
      </c>
      <c r="Z23">
        <v>46</v>
      </c>
      <c r="AA23">
        <v>14</v>
      </c>
      <c r="AB23">
        <v>9</v>
      </c>
      <c r="AC23">
        <f t="shared" si="8"/>
        <v>23</v>
      </c>
      <c r="AD23">
        <v>53</v>
      </c>
      <c r="AE23">
        <v>71</v>
      </c>
      <c r="AF23">
        <f t="shared" si="9"/>
        <v>-18</v>
      </c>
      <c r="AH23" t="s">
        <v>546</v>
      </c>
      <c r="AI23" t="s">
        <v>856</v>
      </c>
      <c r="AJ23" s="3">
        <f>AL23*3+AM23</f>
        <v>45</v>
      </c>
      <c r="AK23">
        <v>46</v>
      </c>
      <c r="AL23">
        <v>10</v>
      </c>
      <c r="AM23">
        <v>15</v>
      </c>
      <c r="AN23">
        <f t="shared" si="10"/>
        <v>21</v>
      </c>
      <c r="AO23">
        <v>48</v>
      </c>
      <c r="AP23">
        <v>65</v>
      </c>
      <c r="AQ23">
        <f t="shared" si="11"/>
        <v>-17</v>
      </c>
    </row>
    <row r="24" spans="1:43" x14ac:dyDescent="0.3">
      <c r="L24" s="7" t="s">
        <v>547</v>
      </c>
      <c r="M24" t="s">
        <v>806</v>
      </c>
      <c r="N24" s="3">
        <f t="shared" si="1"/>
        <v>47</v>
      </c>
      <c r="O24">
        <v>46</v>
      </c>
      <c r="P24">
        <v>11</v>
      </c>
      <c r="Q24">
        <v>14</v>
      </c>
      <c r="R24">
        <f t="shared" si="6"/>
        <v>21</v>
      </c>
      <c r="S24">
        <v>46</v>
      </c>
      <c r="T24">
        <v>62</v>
      </c>
      <c r="U24">
        <f t="shared" si="7"/>
        <v>-16</v>
      </c>
      <c r="W24" s="7" t="s">
        <v>547</v>
      </c>
      <c r="X24" t="s">
        <v>832</v>
      </c>
      <c r="Y24" s="3">
        <f t="shared" ref="Y24:Y25" si="12">AA24*3+AB24</f>
        <v>49</v>
      </c>
      <c r="Z24">
        <v>46</v>
      </c>
      <c r="AA24">
        <v>13</v>
      </c>
      <c r="AB24">
        <v>10</v>
      </c>
      <c r="AC24">
        <f t="shared" si="8"/>
        <v>23</v>
      </c>
      <c r="AD24">
        <v>51</v>
      </c>
      <c r="AE24">
        <v>63</v>
      </c>
      <c r="AF24">
        <f t="shared" si="9"/>
        <v>-12</v>
      </c>
      <c r="AH24" t="s">
        <v>547</v>
      </c>
      <c r="AI24" t="s">
        <v>857</v>
      </c>
      <c r="AJ24" s="3">
        <f t="shared" ref="AJ24:AJ25" si="13">AL24*3+AM24</f>
        <v>42</v>
      </c>
      <c r="AK24">
        <v>46</v>
      </c>
      <c r="AL24">
        <v>11</v>
      </c>
      <c r="AM24">
        <v>9</v>
      </c>
      <c r="AN24">
        <f t="shared" si="10"/>
        <v>26</v>
      </c>
      <c r="AO24">
        <v>48</v>
      </c>
      <c r="AP24">
        <v>73</v>
      </c>
      <c r="AQ24">
        <f t="shared" si="11"/>
        <v>-25</v>
      </c>
    </row>
    <row r="25" spans="1:43" x14ac:dyDescent="0.3">
      <c r="L25" s="7" t="s">
        <v>783</v>
      </c>
      <c r="M25" t="s">
        <v>807</v>
      </c>
      <c r="N25" s="3">
        <f t="shared" si="1"/>
        <v>47</v>
      </c>
      <c r="O25">
        <v>46</v>
      </c>
      <c r="P25">
        <v>11</v>
      </c>
      <c r="Q25">
        <v>14</v>
      </c>
      <c r="R25">
        <f t="shared" si="6"/>
        <v>21</v>
      </c>
      <c r="S25">
        <v>45</v>
      </c>
      <c r="T25">
        <v>64</v>
      </c>
      <c r="U25">
        <f t="shared" si="7"/>
        <v>-19</v>
      </c>
      <c r="W25" s="7" t="s">
        <v>783</v>
      </c>
      <c r="X25" t="s">
        <v>833</v>
      </c>
      <c r="Y25" s="3">
        <f t="shared" si="12"/>
        <v>41</v>
      </c>
      <c r="Z25">
        <v>46</v>
      </c>
      <c r="AA25">
        <v>10</v>
      </c>
      <c r="AB25">
        <v>11</v>
      </c>
      <c r="AC25">
        <f t="shared" si="8"/>
        <v>25</v>
      </c>
      <c r="AD25">
        <v>39</v>
      </c>
      <c r="AE25">
        <v>66</v>
      </c>
      <c r="AF25">
        <f t="shared" si="9"/>
        <v>-27</v>
      </c>
      <c r="AH25" t="s">
        <v>783</v>
      </c>
      <c r="AI25" t="s">
        <v>858</v>
      </c>
      <c r="AJ25" s="3">
        <f t="shared" si="13"/>
        <v>38</v>
      </c>
      <c r="AK25">
        <v>46</v>
      </c>
      <c r="AL25">
        <v>10</v>
      </c>
      <c r="AM25">
        <v>8</v>
      </c>
      <c r="AN25">
        <f t="shared" si="10"/>
        <v>28</v>
      </c>
      <c r="AO25">
        <v>47</v>
      </c>
      <c r="AP25">
        <v>79</v>
      </c>
      <c r="AQ25">
        <f t="shared" si="11"/>
        <v>-32</v>
      </c>
    </row>
    <row r="26" spans="1:43" x14ac:dyDescent="0.3">
      <c r="L26" s="7" t="s">
        <v>784</v>
      </c>
      <c r="M26" t="s">
        <v>808</v>
      </c>
      <c r="N26" s="3">
        <f>P26*3+Q26-18</f>
        <v>-1</v>
      </c>
      <c r="O26">
        <v>46</v>
      </c>
      <c r="P26">
        <v>2</v>
      </c>
      <c r="Q26">
        <v>11</v>
      </c>
      <c r="R26">
        <f t="shared" si="6"/>
        <v>33</v>
      </c>
      <c r="S26">
        <v>30</v>
      </c>
      <c r="T26">
        <v>93</v>
      </c>
      <c r="U26">
        <f t="shared" si="7"/>
        <v>-63</v>
      </c>
      <c r="W26" s="7" t="s">
        <v>784</v>
      </c>
      <c r="X26" t="s">
        <v>834</v>
      </c>
      <c r="Y26" s="3">
        <f>AA26*3+AB26</f>
        <v>41</v>
      </c>
      <c r="Z26">
        <v>46</v>
      </c>
      <c r="AA26">
        <v>10</v>
      </c>
      <c r="AB26">
        <v>11</v>
      </c>
      <c r="AC26">
        <f t="shared" si="8"/>
        <v>25</v>
      </c>
      <c r="AD26">
        <v>36</v>
      </c>
      <c r="AE26">
        <v>67</v>
      </c>
      <c r="AF26">
        <f t="shared" si="9"/>
        <v>-31</v>
      </c>
      <c r="AH26" t="s">
        <v>784</v>
      </c>
      <c r="AI26" t="s">
        <v>859</v>
      </c>
      <c r="AJ26" s="3">
        <f>AL26*3+AM26</f>
        <v>37</v>
      </c>
      <c r="AK26">
        <v>46</v>
      </c>
      <c r="AL26">
        <v>9</v>
      </c>
      <c r="AM26">
        <v>10</v>
      </c>
      <c r="AN26">
        <f t="shared" si="10"/>
        <v>27</v>
      </c>
      <c r="AO26">
        <v>37</v>
      </c>
      <c r="AP26">
        <v>70</v>
      </c>
      <c r="AQ26">
        <f t="shared" si="11"/>
        <v>-33</v>
      </c>
    </row>
    <row r="28" spans="1:43" x14ac:dyDescent="0.3">
      <c r="L28" t="s">
        <v>419</v>
      </c>
      <c r="W28" t="s">
        <v>419</v>
      </c>
      <c r="AH28" t="s">
        <v>419</v>
      </c>
    </row>
    <row r="29" spans="1:43" x14ac:dyDescent="0.3">
      <c r="L29" t="s">
        <v>40</v>
      </c>
      <c r="W29" t="s">
        <v>40</v>
      </c>
      <c r="AH29" t="s">
        <v>40</v>
      </c>
    </row>
    <row r="30" spans="1:43" x14ac:dyDescent="0.3">
      <c r="L30" t="str">
        <f>M8</f>
        <v>Southampton</v>
      </c>
      <c r="M30" t="s">
        <v>204</v>
      </c>
      <c r="N30" t="str">
        <f>M5</f>
        <v>Middlesbrough</v>
      </c>
      <c r="P30" t="str">
        <f>M5</f>
        <v>Middlesbrough</v>
      </c>
      <c r="Q30" t="s">
        <v>64</v>
      </c>
      <c r="R30" t="str">
        <f>M8</f>
        <v>Southampton</v>
      </c>
      <c r="W30" t="str">
        <f>X8</f>
        <v>Stockport</v>
      </c>
      <c r="X30" t="s">
        <v>64</v>
      </c>
      <c r="Y30" t="str">
        <f>X5</f>
        <v>Bolton</v>
      </c>
      <c r="AA30" t="str">
        <f>X5</f>
        <v>Bolton</v>
      </c>
      <c r="AB30" t="s">
        <v>42</v>
      </c>
      <c r="AC30" t="str">
        <f>X8</f>
        <v>Stockport</v>
      </c>
      <c r="AH30" t="str">
        <f>AI9</f>
        <v>Salford City</v>
      </c>
      <c r="AI30" t="s">
        <v>205</v>
      </c>
      <c r="AJ30" t="str">
        <f>AI6</f>
        <v>Swindon Town</v>
      </c>
      <c r="AL30" t="str">
        <f>AI6</f>
        <v>Swindon Town</v>
      </c>
      <c r="AM30" t="s">
        <v>41</v>
      </c>
      <c r="AN30" t="str">
        <f>AI9</f>
        <v>Salford City</v>
      </c>
    </row>
    <row r="31" spans="1:43" x14ac:dyDescent="0.3">
      <c r="L31" t="str">
        <f>M7</f>
        <v>Millwall</v>
      </c>
      <c r="M31" t="s">
        <v>38</v>
      </c>
      <c r="N31" t="str">
        <f>M6</f>
        <v>Wrexham</v>
      </c>
      <c r="P31" t="str">
        <f>M6</f>
        <v>Wrexham</v>
      </c>
      <c r="Q31" t="s">
        <v>809</v>
      </c>
      <c r="R31" t="str">
        <f>M7</f>
        <v>Millwall</v>
      </c>
      <c r="W31" t="str">
        <f>X7</f>
        <v>Plymouth Argyle</v>
      </c>
      <c r="X31" t="s">
        <v>38</v>
      </c>
      <c r="Y31" t="str">
        <f>X6</f>
        <v>Bradford City</v>
      </c>
      <c r="AA31" t="str">
        <f>X6</f>
        <v>Bradford City</v>
      </c>
      <c r="AB31" t="s">
        <v>64</v>
      </c>
      <c r="AC31" t="str">
        <f>X7</f>
        <v>Plymouth Argyle</v>
      </c>
      <c r="AH31" t="str">
        <f>AI8</f>
        <v>Chesterfield</v>
      </c>
      <c r="AI31" t="s">
        <v>91</v>
      </c>
      <c r="AJ31" t="str">
        <f>AI7</f>
        <v>Notts County</v>
      </c>
      <c r="AL31" t="str">
        <f>AI7</f>
        <v>Notts County</v>
      </c>
      <c r="AM31" t="s">
        <v>43</v>
      </c>
      <c r="AN31" t="str">
        <f>AI8</f>
        <v>Chesterfield</v>
      </c>
    </row>
    <row r="33" spans="12:36" x14ac:dyDescent="0.3">
      <c r="L33" t="s">
        <v>46</v>
      </c>
      <c r="W33" t="s">
        <v>46</v>
      </c>
      <c r="AH33" t="s">
        <v>46</v>
      </c>
    </row>
    <row r="34" spans="12:36" x14ac:dyDescent="0.3">
      <c r="L34" t="s">
        <v>788</v>
      </c>
      <c r="M34" t="s">
        <v>64</v>
      </c>
      <c r="N34" t="s">
        <v>790</v>
      </c>
      <c r="W34" t="s">
        <v>813</v>
      </c>
      <c r="X34" t="s">
        <v>64</v>
      </c>
      <c r="Y34" t="s">
        <v>815</v>
      </c>
      <c r="AH34" t="s">
        <v>842</v>
      </c>
      <c r="AI34" t="s">
        <v>64</v>
      </c>
      <c r="AJ34" t="s">
        <v>841</v>
      </c>
    </row>
  </sheetData>
  <pageMargins left="0.7" right="0.7" top="0.75" bottom="0.75" header="0.3" footer="0.3"/>
  <ignoredErrors>
    <ignoredError sqref="N23" formula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94AA2-15A2-4218-8192-1E4BF5D490C5}">
  <dimension ref="A1:Q17"/>
  <sheetViews>
    <sheetView workbookViewId="0">
      <selection activeCell="A2" sqref="A2:J12"/>
    </sheetView>
  </sheetViews>
  <sheetFormatPr defaultRowHeight="14.4" x14ac:dyDescent="0.3"/>
  <sheetData>
    <row r="1" spans="1:17" x14ac:dyDescent="0.3">
      <c r="A1" t="s">
        <v>96</v>
      </c>
      <c r="L1" t="s">
        <v>106</v>
      </c>
      <c r="P1" t="s">
        <v>48</v>
      </c>
    </row>
    <row r="2" spans="1:17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20</v>
      </c>
      <c r="I2" t="s">
        <v>21</v>
      </c>
      <c r="J2" t="s">
        <v>19</v>
      </c>
      <c r="L2" t="s">
        <v>36</v>
      </c>
      <c r="P2" t="s">
        <v>98</v>
      </c>
      <c r="Q2">
        <v>7</v>
      </c>
    </row>
    <row r="3" spans="1:17" x14ac:dyDescent="0.3">
      <c r="A3" s="4" t="s">
        <v>0</v>
      </c>
      <c r="B3" t="s">
        <v>98</v>
      </c>
      <c r="C3" s="3">
        <v>63</v>
      </c>
      <c r="D3">
        <v>36</v>
      </c>
      <c r="E3">
        <v>19</v>
      </c>
      <c r="F3">
        <v>6</v>
      </c>
      <c r="G3">
        <f t="shared" ref="G3:G7" si="0">D3-E3-F3</f>
        <v>11</v>
      </c>
      <c r="H3">
        <v>60</v>
      </c>
      <c r="I3">
        <v>38</v>
      </c>
      <c r="J3">
        <f t="shared" ref="J3:J7" si="1">H3-I3</f>
        <v>22</v>
      </c>
      <c r="L3" t="s">
        <v>103</v>
      </c>
      <c r="M3" t="s">
        <v>108</v>
      </c>
      <c r="N3" t="s">
        <v>99</v>
      </c>
      <c r="P3" t="s">
        <v>107</v>
      </c>
      <c r="Q3">
        <v>6</v>
      </c>
    </row>
    <row r="4" spans="1:17" x14ac:dyDescent="0.3">
      <c r="A4" s="1" t="s">
        <v>1</v>
      </c>
      <c r="B4" t="s">
        <v>100</v>
      </c>
      <c r="C4" s="3">
        <v>61</v>
      </c>
      <c r="D4">
        <v>36</v>
      </c>
      <c r="E4">
        <v>18</v>
      </c>
      <c r="F4">
        <v>7</v>
      </c>
      <c r="G4">
        <f t="shared" si="0"/>
        <v>11</v>
      </c>
      <c r="H4">
        <v>58</v>
      </c>
      <c r="I4">
        <v>47</v>
      </c>
      <c r="J4">
        <f t="shared" si="1"/>
        <v>11</v>
      </c>
      <c r="L4" t="s">
        <v>101</v>
      </c>
      <c r="M4" t="s">
        <v>42</v>
      </c>
      <c r="N4" t="s">
        <v>98</v>
      </c>
    </row>
    <row r="5" spans="1:17" x14ac:dyDescent="0.3">
      <c r="A5" s="5" t="s">
        <v>2</v>
      </c>
      <c r="B5" t="s">
        <v>107</v>
      </c>
      <c r="C5" s="3">
        <v>54</v>
      </c>
      <c r="D5">
        <v>36</v>
      </c>
      <c r="E5">
        <v>14</v>
      </c>
      <c r="F5">
        <v>12</v>
      </c>
      <c r="G5">
        <f t="shared" si="0"/>
        <v>10</v>
      </c>
      <c r="H5">
        <v>58</v>
      </c>
      <c r="I5">
        <v>50</v>
      </c>
      <c r="J5">
        <f t="shared" si="1"/>
        <v>8</v>
      </c>
    </row>
    <row r="6" spans="1:17" x14ac:dyDescent="0.3">
      <c r="A6" s="1" t="s">
        <v>3</v>
      </c>
      <c r="B6" t="s">
        <v>99</v>
      </c>
      <c r="C6" s="3">
        <v>53</v>
      </c>
      <c r="D6">
        <v>36</v>
      </c>
      <c r="E6">
        <v>15</v>
      </c>
      <c r="F6">
        <v>8</v>
      </c>
      <c r="G6">
        <f t="shared" si="0"/>
        <v>13</v>
      </c>
      <c r="H6">
        <v>59</v>
      </c>
      <c r="I6">
        <v>54</v>
      </c>
      <c r="J6">
        <f t="shared" si="1"/>
        <v>5</v>
      </c>
      <c r="L6" t="s">
        <v>39</v>
      </c>
    </row>
    <row r="7" spans="1:17" x14ac:dyDescent="0.3">
      <c r="A7" t="s">
        <v>4</v>
      </c>
      <c r="B7" t="s">
        <v>102</v>
      </c>
      <c r="C7" s="3">
        <v>53</v>
      </c>
      <c r="D7">
        <v>36</v>
      </c>
      <c r="E7">
        <v>16</v>
      </c>
      <c r="F7">
        <v>5</v>
      </c>
      <c r="G7">
        <f t="shared" si="0"/>
        <v>15</v>
      </c>
      <c r="H7">
        <v>53</v>
      </c>
      <c r="I7">
        <v>57</v>
      </c>
      <c r="J7">
        <f t="shared" si="1"/>
        <v>-4</v>
      </c>
      <c r="L7" t="s">
        <v>100</v>
      </c>
      <c r="M7" t="s">
        <v>109</v>
      </c>
      <c r="N7" t="s">
        <v>101</v>
      </c>
    </row>
    <row r="8" spans="1:17" x14ac:dyDescent="0.3">
      <c r="A8" t="s">
        <v>5</v>
      </c>
      <c r="B8" t="s">
        <v>97</v>
      </c>
      <c r="C8" s="3">
        <v>52</v>
      </c>
      <c r="D8">
        <v>36</v>
      </c>
      <c r="E8">
        <v>16</v>
      </c>
      <c r="F8">
        <v>4</v>
      </c>
      <c r="G8">
        <f>D8-E8-F8</f>
        <v>16</v>
      </c>
      <c r="H8">
        <v>48</v>
      </c>
      <c r="I8">
        <v>45</v>
      </c>
      <c r="J8">
        <f>H8-I8</f>
        <v>3</v>
      </c>
      <c r="L8" t="s">
        <v>97</v>
      </c>
      <c r="M8" t="s">
        <v>38</v>
      </c>
      <c r="N8" t="s">
        <v>107</v>
      </c>
    </row>
    <row r="9" spans="1:17" x14ac:dyDescent="0.3">
      <c r="A9" t="s">
        <v>6</v>
      </c>
      <c r="B9" t="s">
        <v>104</v>
      </c>
      <c r="C9" s="3">
        <v>48</v>
      </c>
      <c r="D9">
        <v>36</v>
      </c>
      <c r="E9">
        <v>13</v>
      </c>
      <c r="F9">
        <v>9</v>
      </c>
      <c r="G9">
        <f t="shared" ref="G9:G12" si="2">D9-E9-F9</f>
        <v>14</v>
      </c>
      <c r="H9">
        <v>51</v>
      </c>
      <c r="I9">
        <v>55</v>
      </c>
      <c r="J9">
        <f t="shared" ref="J9:J12" si="3">H9-I9</f>
        <v>-4</v>
      </c>
      <c r="L9" t="s">
        <v>102</v>
      </c>
      <c r="M9" t="s">
        <v>44</v>
      </c>
      <c r="N9" t="s">
        <v>103</v>
      </c>
    </row>
    <row r="10" spans="1:17" x14ac:dyDescent="0.3">
      <c r="A10" t="s">
        <v>7</v>
      </c>
      <c r="B10" t="s">
        <v>101</v>
      </c>
      <c r="C10" s="3">
        <v>43</v>
      </c>
      <c r="D10">
        <v>36</v>
      </c>
      <c r="E10">
        <v>10</v>
      </c>
      <c r="F10">
        <v>13</v>
      </c>
      <c r="G10">
        <f t="shared" si="2"/>
        <v>13</v>
      </c>
      <c r="H10">
        <v>46</v>
      </c>
      <c r="I10">
        <v>54</v>
      </c>
      <c r="J10">
        <f t="shared" si="3"/>
        <v>-8</v>
      </c>
      <c r="L10" t="s">
        <v>105</v>
      </c>
      <c r="M10" t="s">
        <v>38</v>
      </c>
      <c r="N10" t="s">
        <v>104</v>
      </c>
    </row>
    <row r="11" spans="1:17" x14ac:dyDescent="0.3">
      <c r="A11" t="s">
        <v>8</v>
      </c>
      <c r="B11" t="s">
        <v>105</v>
      </c>
      <c r="C11" s="3">
        <v>36</v>
      </c>
      <c r="D11">
        <v>36</v>
      </c>
      <c r="E11">
        <v>8</v>
      </c>
      <c r="F11">
        <v>12</v>
      </c>
      <c r="G11">
        <f t="shared" si="2"/>
        <v>16</v>
      </c>
      <c r="H11">
        <v>42</v>
      </c>
      <c r="I11">
        <v>60</v>
      </c>
      <c r="J11">
        <f t="shared" si="3"/>
        <v>-18</v>
      </c>
    </row>
    <row r="12" spans="1:17" x14ac:dyDescent="0.3">
      <c r="A12" t="s">
        <v>9</v>
      </c>
      <c r="B12" t="s">
        <v>103</v>
      </c>
      <c r="C12" s="3">
        <v>34</v>
      </c>
      <c r="D12">
        <v>36</v>
      </c>
      <c r="E12">
        <v>8</v>
      </c>
      <c r="F12">
        <v>10</v>
      </c>
      <c r="G12">
        <f t="shared" si="2"/>
        <v>18</v>
      </c>
      <c r="H12">
        <v>48</v>
      </c>
      <c r="I12">
        <v>66</v>
      </c>
      <c r="J12">
        <f t="shared" si="3"/>
        <v>-18</v>
      </c>
      <c r="L12" t="s">
        <v>40</v>
      </c>
    </row>
    <row r="13" spans="1:17" x14ac:dyDescent="0.3">
      <c r="L13" t="s">
        <v>107</v>
      </c>
      <c r="M13" t="s">
        <v>44</v>
      </c>
      <c r="N13" t="s">
        <v>101</v>
      </c>
    </row>
    <row r="14" spans="1:17" x14ac:dyDescent="0.3">
      <c r="L14" t="s">
        <v>102</v>
      </c>
      <c r="M14" t="s">
        <v>42</v>
      </c>
      <c r="N14" t="s">
        <v>104</v>
      </c>
    </row>
    <row r="16" spans="1:17" x14ac:dyDescent="0.3">
      <c r="L16" t="s">
        <v>46</v>
      </c>
    </row>
    <row r="17" spans="12:14" x14ac:dyDescent="0.3">
      <c r="L17" t="s">
        <v>102</v>
      </c>
      <c r="M17" t="s">
        <v>64</v>
      </c>
      <c r="N17" t="s">
        <v>107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12216-AE8F-479F-AA6D-8E17EDA882C6}">
  <dimension ref="A1:Q26"/>
  <sheetViews>
    <sheetView workbookViewId="0">
      <selection activeCell="B27" sqref="B27"/>
    </sheetView>
  </sheetViews>
  <sheetFormatPr defaultRowHeight="14.4" x14ac:dyDescent="0.3"/>
  <sheetData>
    <row r="1" spans="1:17" x14ac:dyDescent="0.3">
      <c r="A1" t="s">
        <v>861</v>
      </c>
      <c r="L1" t="s">
        <v>862</v>
      </c>
      <c r="P1" t="s">
        <v>48</v>
      </c>
    </row>
    <row r="2" spans="1:17" x14ac:dyDescent="0.3">
      <c r="A2" t="s">
        <v>34</v>
      </c>
      <c r="L2" t="s">
        <v>46</v>
      </c>
      <c r="P2" t="s">
        <v>865</v>
      </c>
      <c r="Q2">
        <v>3</v>
      </c>
    </row>
    <row r="3" spans="1:17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20</v>
      </c>
      <c r="I3" t="s">
        <v>21</v>
      </c>
      <c r="J3" t="s">
        <v>19</v>
      </c>
      <c r="L3" t="s">
        <v>863</v>
      </c>
      <c r="M3" t="s">
        <v>38</v>
      </c>
      <c r="N3" t="s">
        <v>864</v>
      </c>
      <c r="P3" t="s">
        <v>864</v>
      </c>
      <c r="Q3">
        <v>7</v>
      </c>
    </row>
    <row r="4" spans="1:17" x14ac:dyDescent="0.3">
      <c r="A4" s="4" t="s">
        <v>0</v>
      </c>
      <c r="B4" t="s">
        <v>865</v>
      </c>
      <c r="C4" s="3">
        <f t="shared" ref="C4:C9" si="0">E4*3+F4</f>
        <v>88</v>
      </c>
      <c r="D4">
        <v>38</v>
      </c>
      <c r="E4">
        <v>27</v>
      </c>
      <c r="F4">
        <v>7</v>
      </c>
      <c r="G4">
        <f t="shared" ref="G4:G9" si="1">D4-E4-F4</f>
        <v>4</v>
      </c>
      <c r="H4">
        <v>70</v>
      </c>
      <c r="I4">
        <v>24</v>
      </c>
      <c r="J4">
        <f t="shared" ref="J4:J9" si="2">H4-I4</f>
        <v>46</v>
      </c>
    </row>
    <row r="5" spans="1:17" x14ac:dyDescent="0.3">
      <c r="A5" s="1" t="s">
        <v>1</v>
      </c>
      <c r="B5" t="s">
        <v>864</v>
      </c>
      <c r="C5" s="3">
        <f t="shared" si="0"/>
        <v>74</v>
      </c>
      <c r="D5">
        <v>38</v>
      </c>
      <c r="E5">
        <v>23</v>
      </c>
      <c r="F5">
        <v>5</v>
      </c>
      <c r="G5">
        <f t="shared" si="1"/>
        <v>10</v>
      </c>
      <c r="H5">
        <v>70</v>
      </c>
      <c r="I5">
        <v>38</v>
      </c>
      <c r="J5">
        <f t="shared" si="2"/>
        <v>32</v>
      </c>
    </row>
    <row r="6" spans="1:17" x14ac:dyDescent="0.3">
      <c r="A6" s="1" t="s">
        <v>2</v>
      </c>
      <c r="B6" t="s">
        <v>866</v>
      </c>
      <c r="C6" s="3">
        <f t="shared" si="0"/>
        <v>73</v>
      </c>
      <c r="D6">
        <v>38</v>
      </c>
      <c r="E6">
        <v>22</v>
      </c>
      <c r="F6">
        <v>7</v>
      </c>
      <c r="G6">
        <f t="shared" si="1"/>
        <v>9</v>
      </c>
      <c r="H6">
        <v>70</v>
      </c>
      <c r="I6">
        <v>38</v>
      </c>
      <c r="J6">
        <f t="shared" si="2"/>
        <v>32</v>
      </c>
    </row>
    <row r="7" spans="1:17" x14ac:dyDescent="0.3">
      <c r="A7" s="2" t="s">
        <v>3</v>
      </c>
      <c r="B7" t="s">
        <v>867</v>
      </c>
      <c r="C7" s="3">
        <f t="shared" si="0"/>
        <v>69</v>
      </c>
      <c r="D7">
        <v>38</v>
      </c>
      <c r="E7">
        <v>20</v>
      </c>
      <c r="F7">
        <v>9</v>
      </c>
      <c r="G7">
        <f t="shared" si="1"/>
        <v>9</v>
      </c>
      <c r="H7">
        <v>63</v>
      </c>
      <c r="I7">
        <v>31</v>
      </c>
      <c r="J7">
        <f t="shared" si="2"/>
        <v>32</v>
      </c>
    </row>
    <row r="8" spans="1:17" x14ac:dyDescent="0.3">
      <c r="A8" s="2" t="s">
        <v>4</v>
      </c>
      <c r="B8" t="s">
        <v>868</v>
      </c>
      <c r="C8" s="3">
        <f t="shared" si="0"/>
        <v>53</v>
      </c>
      <c r="D8">
        <v>38</v>
      </c>
      <c r="E8">
        <v>15</v>
      </c>
      <c r="F8">
        <v>8</v>
      </c>
      <c r="G8">
        <f t="shared" si="1"/>
        <v>15</v>
      </c>
      <c r="H8">
        <v>57</v>
      </c>
      <c r="I8">
        <v>58</v>
      </c>
      <c r="J8">
        <f t="shared" si="2"/>
        <v>-1</v>
      </c>
    </row>
    <row r="9" spans="1:17" x14ac:dyDescent="0.3">
      <c r="A9" s="2" t="s">
        <v>5</v>
      </c>
      <c r="B9" t="s">
        <v>863</v>
      </c>
      <c r="C9" s="3">
        <f t="shared" si="0"/>
        <v>49</v>
      </c>
      <c r="D9">
        <v>38</v>
      </c>
      <c r="E9">
        <v>16</v>
      </c>
      <c r="F9">
        <v>1</v>
      </c>
      <c r="G9">
        <f t="shared" si="1"/>
        <v>21</v>
      </c>
      <c r="H9">
        <v>46</v>
      </c>
      <c r="I9">
        <v>70</v>
      </c>
      <c r="J9">
        <f t="shared" si="2"/>
        <v>-24</v>
      </c>
    </row>
    <row r="11" spans="1:17" x14ac:dyDescent="0.3">
      <c r="A11" t="s">
        <v>35</v>
      </c>
    </row>
    <row r="12" spans="1:17" x14ac:dyDescent="0.3">
      <c r="A12" t="s">
        <v>12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G12" t="s">
        <v>18</v>
      </c>
      <c r="H12" t="s">
        <v>20</v>
      </c>
      <c r="I12" t="s">
        <v>21</v>
      </c>
      <c r="J12" t="s">
        <v>19</v>
      </c>
    </row>
    <row r="13" spans="1:17" x14ac:dyDescent="0.3">
      <c r="A13" s="2" t="s">
        <v>0</v>
      </c>
      <c r="B13" t="s">
        <v>869</v>
      </c>
      <c r="C13" s="3">
        <f t="shared" ref="C13:C18" si="3">E13*3+F13</f>
        <v>54</v>
      </c>
      <c r="D13">
        <v>38</v>
      </c>
      <c r="E13">
        <v>15</v>
      </c>
      <c r="F13">
        <v>9</v>
      </c>
      <c r="G13">
        <f t="shared" ref="G13:G18" si="4">D13-E13-F13</f>
        <v>14</v>
      </c>
      <c r="H13">
        <v>63</v>
      </c>
      <c r="I13">
        <v>57</v>
      </c>
      <c r="J13">
        <f t="shared" ref="J13:J18" si="5">H13-I13</f>
        <v>6</v>
      </c>
    </row>
    <row r="14" spans="1:17" x14ac:dyDescent="0.3">
      <c r="A14" t="s">
        <v>1</v>
      </c>
      <c r="B14" t="s">
        <v>871</v>
      </c>
      <c r="C14" s="3">
        <f t="shared" si="3"/>
        <v>43</v>
      </c>
      <c r="D14">
        <v>38</v>
      </c>
      <c r="E14">
        <v>12</v>
      </c>
      <c r="F14">
        <v>7</v>
      </c>
      <c r="G14">
        <f t="shared" si="4"/>
        <v>19</v>
      </c>
      <c r="H14">
        <v>46</v>
      </c>
      <c r="I14">
        <v>64</v>
      </c>
      <c r="J14">
        <f t="shared" si="5"/>
        <v>-18</v>
      </c>
    </row>
    <row r="15" spans="1:17" x14ac:dyDescent="0.3">
      <c r="A15" t="s">
        <v>2</v>
      </c>
      <c r="B15" t="s">
        <v>870</v>
      </c>
      <c r="C15" s="3">
        <f t="shared" si="3"/>
        <v>41</v>
      </c>
      <c r="D15">
        <v>38</v>
      </c>
      <c r="E15">
        <v>12</v>
      </c>
      <c r="F15">
        <v>5</v>
      </c>
      <c r="G15">
        <f t="shared" si="4"/>
        <v>21</v>
      </c>
      <c r="H15">
        <v>42</v>
      </c>
      <c r="I15">
        <v>67</v>
      </c>
      <c r="J15">
        <f t="shared" si="5"/>
        <v>-25</v>
      </c>
    </row>
    <row r="16" spans="1:17" x14ac:dyDescent="0.3">
      <c r="A16" t="s">
        <v>3</v>
      </c>
      <c r="B16" t="s">
        <v>872</v>
      </c>
      <c r="C16" s="3">
        <f t="shared" si="3"/>
        <v>38</v>
      </c>
      <c r="D16">
        <v>38</v>
      </c>
      <c r="E16">
        <v>10</v>
      </c>
      <c r="F16">
        <v>8</v>
      </c>
      <c r="G16">
        <f t="shared" si="4"/>
        <v>20</v>
      </c>
      <c r="H16">
        <v>45</v>
      </c>
      <c r="I16">
        <v>58</v>
      </c>
      <c r="J16">
        <f t="shared" si="5"/>
        <v>-13</v>
      </c>
    </row>
    <row r="17" spans="1:10" x14ac:dyDescent="0.3">
      <c r="A17" t="s">
        <v>4</v>
      </c>
      <c r="B17" t="s">
        <v>874</v>
      </c>
      <c r="C17" s="3">
        <f t="shared" si="3"/>
        <v>33</v>
      </c>
      <c r="D17">
        <v>38</v>
      </c>
      <c r="E17">
        <v>9</v>
      </c>
      <c r="F17">
        <v>6</v>
      </c>
      <c r="G17">
        <f t="shared" si="4"/>
        <v>23</v>
      </c>
      <c r="H17">
        <v>46</v>
      </c>
      <c r="I17">
        <v>82</v>
      </c>
      <c r="J17">
        <f t="shared" si="5"/>
        <v>-36</v>
      </c>
    </row>
    <row r="18" spans="1:10" x14ac:dyDescent="0.3">
      <c r="A18" t="s">
        <v>5</v>
      </c>
      <c r="B18" t="s">
        <v>873</v>
      </c>
      <c r="C18" s="3">
        <f t="shared" si="3"/>
        <v>31</v>
      </c>
      <c r="D18">
        <v>38</v>
      </c>
      <c r="E18">
        <v>9</v>
      </c>
      <c r="F18">
        <v>4</v>
      </c>
      <c r="G18">
        <f t="shared" si="4"/>
        <v>25</v>
      </c>
      <c r="H18">
        <v>40</v>
      </c>
      <c r="I18">
        <v>71</v>
      </c>
      <c r="J18">
        <f t="shared" si="5"/>
        <v>-31</v>
      </c>
    </row>
    <row r="20" spans="1:10" x14ac:dyDescent="0.3">
      <c r="A20" t="s">
        <v>350</v>
      </c>
    </row>
    <row r="21" spans="1:10" x14ac:dyDescent="0.3">
      <c r="A21" t="s">
        <v>40</v>
      </c>
    </row>
    <row r="22" spans="1:10" x14ac:dyDescent="0.3">
      <c r="A22" t="str">
        <f>B7</f>
        <v>Linfield</v>
      </c>
      <c r="B22" t="s">
        <v>42</v>
      </c>
      <c r="C22" t="str">
        <f>B13</f>
        <v>Carrick Rangers</v>
      </c>
    </row>
    <row r="23" spans="1:10" x14ac:dyDescent="0.3">
      <c r="A23" t="str">
        <f>B8</f>
        <v>Cliftonville</v>
      </c>
      <c r="B23" t="s">
        <v>43</v>
      </c>
      <c r="C23" t="str">
        <f>B9</f>
        <v>Dungannon Swifts</v>
      </c>
    </row>
    <row r="25" spans="1:10" x14ac:dyDescent="0.3">
      <c r="A25" t="s">
        <v>46</v>
      </c>
    </row>
    <row r="26" spans="1:10" x14ac:dyDescent="0.3">
      <c r="A26" t="s">
        <v>867</v>
      </c>
      <c r="B26" t="s">
        <v>43</v>
      </c>
      <c r="C26" t="s">
        <v>868</v>
      </c>
    </row>
  </sheetData>
  <sortState xmlns:xlrd2="http://schemas.microsoft.com/office/spreadsheetml/2017/richdata2" ref="B13:J18">
    <sortCondition descending="1" ref="C13:C18"/>
  </sortState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60B81-1C46-4D79-A03D-4561C8A5C66F}">
  <dimension ref="A1:Q30"/>
  <sheetViews>
    <sheetView workbookViewId="0">
      <selection activeCell="D5" sqref="D5"/>
    </sheetView>
  </sheetViews>
  <sheetFormatPr defaultRowHeight="14.4" x14ac:dyDescent="0.3"/>
  <sheetData>
    <row r="1" spans="1:17" x14ac:dyDescent="0.3">
      <c r="A1" t="s">
        <v>67</v>
      </c>
      <c r="L1" t="s">
        <v>49</v>
      </c>
      <c r="P1" t="s">
        <v>48</v>
      </c>
    </row>
    <row r="2" spans="1:17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20</v>
      </c>
      <c r="I2" t="s">
        <v>21</v>
      </c>
      <c r="J2" t="s">
        <v>19</v>
      </c>
      <c r="L2" t="s">
        <v>36</v>
      </c>
      <c r="P2" t="s">
        <v>22</v>
      </c>
      <c r="Q2">
        <v>1</v>
      </c>
    </row>
    <row r="3" spans="1:17" x14ac:dyDescent="0.3">
      <c r="A3" s="1" t="s">
        <v>0</v>
      </c>
      <c r="B3" t="s">
        <v>22</v>
      </c>
      <c r="C3" s="3">
        <v>36</v>
      </c>
      <c r="D3">
        <v>22</v>
      </c>
      <c r="E3">
        <v>10</v>
      </c>
      <c r="F3">
        <v>6</v>
      </c>
      <c r="G3">
        <f>D3-E3-F3</f>
        <v>6</v>
      </c>
      <c r="H3">
        <v>38</v>
      </c>
      <c r="I3">
        <v>29</v>
      </c>
      <c r="J3">
        <f>H3-I3</f>
        <v>9</v>
      </c>
      <c r="L3" t="s">
        <v>25</v>
      </c>
      <c r="M3" t="s">
        <v>37</v>
      </c>
      <c r="N3" t="s">
        <v>28</v>
      </c>
      <c r="P3" t="s">
        <v>31</v>
      </c>
      <c r="Q3">
        <v>2</v>
      </c>
    </row>
    <row r="4" spans="1:17" x14ac:dyDescent="0.3">
      <c r="A4" s="1" t="s">
        <v>1</v>
      </c>
      <c r="B4" t="s">
        <v>23</v>
      </c>
      <c r="C4" s="3">
        <v>36</v>
      </c>
      <c r="D4">
        <v>22</v>
      </c>
      <c r="E4">
        <v>10</v>
      </c>
      <c r="F4">
        <v>6</v>
      </c>
      <c r="G4">
        <f t="shared" ref="G4:G14" si="0">D4-E4-F4</f>
        <v>6</v>
      </c>
      <c r="H4">
        <v>37</v>
      </c>
      <c r="I4">
        <v>34</v>
      </c>
      <c r="J4">
        <f t="shared" ref="J4:J14" si="1">H4-I4</f>
        <v>3</v>
      </c>
      <c r="L4" t="s">
        <v>24</v>
      </c>
      <c r="M4" t="s">
        <v>38</v>
      </c>
      <c r="N4" t="s">
        <v>22</v>
      </c>
    </row>
    <row r="5" spans="1:17" x14ac:dyDescent="0.3">
      <c r="A5" s="1" t="s">
        <v>2</v>
      </c>
      <c r="B5" t="s">
        <v>24</v>
      </c>
      <c r="C5" s="3">
        <v>36</v>
      </c>
      <c r="D5">
        <v>22</v>
      </c>
      <c r="E5">
        <v>11</v>
      </c>
      <c r="F5">
        <v>3</v>
      </c>
      <c r="G5">
        <f t="shared" si="0"/>
        <v>8</v>
      </c>
      <c r="H5">
        <v>31</v>
      </c>
      <c r="I5">
        <v>32</v>
      </c>
      <c r="J5">
        <f t="shared" si="1"/>
        <v>-1</v>
      </c>
      <c r="L5" t="s">
        <v>30</v>
      </c>
      <c r="M5" t="s">
        <v>37</v>
      </c>
      <c r="N5" t="s">
        <v>27</v>
      </c>
    </row>
    <row r="6" spans="1:17" x14ac:dyDescent="0.3">
      <c r="A6" s="1" t="s">
        <v>3</v>
      </c>
      <c r="B6" t="s">
        <v>25</v>
      </c>
      <c r="C6" s="3">
        <v>33</v>
      </c>
      <c r="D6">
        <v>22</v>
      </c>
      <c r="E6">
        <v>10</v>
      </c>
      <c r="F6">
        <v>3</v>
      </c>
      <c r="G6">
        <f t="shared" si="0"/>
        <v>9</v>
      </c>
      <c r="H6">
        <v>42</v>
      </c>
      <c r="I6">
        <v>31</v>
      </c>
      <c r="J6">
        <f t="shared" si="1"/>
        <v>11</v>
      </c>
      <c r="L6" t="s">
        <v>33</v>
      </c>
      <c r="M6" t="s">
        <v>37</v>
      </c>
      <c r="N6" t="s">
        <v>32</v>
      </c>
    </row>
    <row r="7" spans="1:17" x14ac:dyDescent="0.3">
      <c r="A7" s="1" t="s">
        <v>4</v>
      </c>
      <c r="B7" t="s">
        <v>26</v>
      </c>
      <c r="C7" s="3">
        <v>31</v>
      </c>
      <c r="D7">
        <v>22</v>
      </c>
      <c r="E7">
        <v>8</v>
      </c>
      <c r="F7">
        <v>7</v>
      </c>
      <c r="G7">
        <f t="shared" si="0"/>
        <v>7</v>
      </c>
      <c r="H7">
        <v>37</v>
      </c>
      <c r="I7">
        <v>35</v>
      </c>
      <c r="J7">
        <f t="shared" si="1"/>
        <v>2</v>
      </c>
    </row>
    <row r="8" spans="1:17" x14ac:dyDescent="0.3">
      <c r="A8" s="1" t="s">
        <v>5</v>
      </c>
      <c r="B8" t="s">
        <v>27</v>
      </c>
      <c r="C8" s="3">
        <v>29</v>
      </c>
      <c r="D8">
        <v>22</v>
      </c>
      <c r="E8">
        <v>8</v>
      </c>
      <c r="F8">
        <v>5</v>
      </c>
      <c r="G8">
        <f t="shared" si="0"/>
        <v>9</v>
      </c>
      <c r="H8">
        <v>39</v>
      </c>
      <c r="I8">
        <v>34</v>
      </c>
      <c r="J8">
        <f t="shared" si="1"/>
        <v>5</v>
      </c>
      <c r="L8" t="s">
        <v>39</v>
      </c>
    </row>
    <row r="9" spans="1:17" x14ac:dyDescent="0.3">
      <c r="A9" s="2" t="s">
        <v>6</v>
      </c>
      <c r="B9" t="s">
        <v>28</v>
      </c>
      <c r="C9" s="3">
        <v>28</v>
      </c>
      <c r="D9">
        <v>22</v>
      </c>
      <c r="E9">
        <v>7</v>
      </c>
      <c r="F9">
        <v>7</v>
      </c>
      <c r="G9">
        <f t="shared" si="0"/>
        <v>8</v>
      </c>
      <c r="H9">
        <v>35</v>
      </c>
      <c r="I9">
        <v>36</v>
      </c>
      <c r="J9">
        <f t="shared" si="1"/>
        <v>-1</v>
      </c>
      <c r="L9" t="s">
        <v>26</v>
      </c>
      <c r="M9" t="s">
        <v>41</v>
      </c>
      <c r="N9" t="s">
        <v>25</v>
      </c>
    </row>
    <row r="10" spans="1:17" x14ac:dyDescent="0.3">
      <c r="A10" s="2" t="s">
        <v>7</v>
      </c>
      <c r="B10" t="s">
        <v>29</v>
      </c>
      <c r="C10" s="3">
        <v>28</v>
      </c>
      <c r="D10">
        <v>22</v>
      </c>
      <c r="E10">
        <v>7</v>
      </c>
      <c r="F10">
        <v>7</v>
      </c>
      <c r="G10">
        <f t="shared" si="0"/>
        <v>8</v>
      </c>
      <c r="H10">
        <v>32</v>
      </c>
      <c r="I10">
        <v>36</v>
      </c>
      <c r="J10">
        <f t="shared" si="1"/>
        <v>-4</v>
      </c>
      <c r="L10" t="s">
        <v>31</v>
      </c>
      <c r="M10" t="s">
        <v>42</v>
      </c>
      <c r="N10" t="s">
        <v>30</v>
      </c>
    </row>
    <row r="11" spans="1:17" x14ac:dyDescent="0.3">
      <c r="A11" s="2" t="s">
        <v>8</v>
      </c>
      <c r="B11" t="s">
        <v>30</v>
      </c>
      <c r="C11" s="3">
        <v>28</v>
      </c>
      <c r="D11">
        <v>22</v>
      </c>
      <c r="E11">
        <v>8</v>
      </c>
      <c r="F11">
        <v>4</v>
      </c>
      <c r="G11">
        <f t="shared" si="0"/>
        <v>10</v>
      </c>
      <c r="H11">
        <v>32</v>
      </c>
      <c r="I11">
        <v>36</v>
      </c>
      <c r="J11">
        <f t="shared" si="1"/>
        <v>-4</v>
      </c>
      <c r="L11" t="s">
        <v>29</v>
      </c>
      <c r="M11" t="s">
        <v>43</v>
      </c>
      <c r="N11" t="s">
        <v>33</v>
      </c>
    </row>
    <row r="12" spans="1:17" x14ac:dyDescent="0.3">
      <c r="A12" s="2" t="s">
        <v>9</v>
      </c>
      <c r="B12" t="s">
        <v>31</v>
      </c>
      <c r="C12" s="3">
        <v>28</v>
      </c>
      <c r="D12">
        <v>22</v>
      </c>
      <c r="E12">
        <v>9</v>
      </c>
      <c r="F12">
        <v>1</v>
      </c>
      <c r="G12">
        <f t="shared" si="0"/>
        <v>12</v>
      </c>
      <c r="H12">
        <v>24</v>
      </c>
      <c r="I12">
        <v>36</v>
      </c>
      <c r="J12">
        <f t="shared" si="1"/>
        <v>-12</v>
      </c>
      <c r="L12" t="s">
        <v>23</v>
      </c>
      <c r="M12" t="s">
        <v>38</v>
      </c>
      <c r="N12" t="s">
        <v>22</v>
      </c>
    </row>
    <row r="13" spans="1:17" x14ac:dyDescent="0.3">
      <c r="A13" s="2" t="s">
        <v>10</v>
      </c>
      <c r="B13" t="s">
        <v>32</v>
      </c>
      <c r="C13" s="3">
        <v>27</v>
      </c>
      <c r="D13">
        <v>22</v>
      </c>
      <c r="E13">
        <v>7</v>
      </c>
      <c r="F13">
        <v>6</v>
      </c>
      <c r="G13">
        <f t="shared" si="0"/>
        <v>9</v>
      </c>
      <c r="H13">
        <v>35</v>
      </c>
      <c r="I13">
        <v>37</v>
      </c>
      <c r="J13">
        <f t="shared" si="1"/>
        <v>-2</v>
      </c>
    </row>
    <row r="14" spans="1:17" x14ac:dyDescent="0.3">
      <c r="A14" s="2" t="s">
        <v>11</v>
      </c>
      <c r="B14" t="s">
        <v>33</v>
      </c>
      <c r="C14" s="3">
        <v>27</v>
      </c>
      <c r="D14">
        <v>22</v>
      </c>
      <c r="E14">
        <v>8</v>
      </c>
      <c r="F14">
        <v>3</v>
      </c>
      <c r="G14">
        <f t="shared" si="0"/>
        <v>11</v>
      </c>
      <c r="H14">
        <v>33</v>
      </c>
      <c r="I14">
        <v>39</v>
      </c>
      <c r="J14">
        <f t="shared" si="1"/>
        <v>-6</v>
      </c>
      <c r="L14" t="s">
        <v>40</v>
      </c>
    </row>
    <row r="15" spans="1:17" x14ac:dyDescent="0.3">
      <c r="L15" t="s">
        <v>31</v>
      </c>
      <c r="M15" t="s">
        <v>44</v>
      </c>
      <c r="N15" t="s">
        <v>25</v>
      </c>
    </row>
    <row r="16" spans="1:17" x14ac:dyDescent="0.3">
      <c r="A16" t="s">
        <v>34</v>
      </c>
      <c r="L16" t="s">
        <v>29</v>
      </c>
      <c r="M16" t="s">
        <v>45</v>
      </c>
      <c r="N16" t="s">
        <v>22</v>
      </c>
    </row>
    <row r="17" spans="1:14" x14ac:dyDescent="0.3">
      <c r="A17" s="4" t="s">
        <v>0</v>
      </c>
      <c r="B17" t="s">
        <v>22</v>
      </c>
      <c r="C17" s="3">
        <v>48</v>
      </c>
      <c r="D17">
        <v>27</v>
      </c>
      <c r="E17">
        <v>14</v>
      </c>
      <c r="F17">
        <v>6</v>
      </c>
      <c r="G17">
        <f>D17-E17-F17</f>
        <v>7</v>
      </c>
      <c r="H17">
        <v>47</v>
      </c>
      <c r="I17">
        <v>33</v>
      </c>
      <c r="J17">
        <f>H17-I17</f>
        <v>14</v>
      </c>
    </row>
    <row r="18" spans="1:14" x14ac:dyDescent="0.3">
      <c r="A18" s="1" t="s">
        <v>1</v>
      </c>
      <c r="B18" t="s">
        <v>23</v>
      </c>
      <c r="C18" s="3">
        <v>42</v>
      </c>
      <c r="D18">
        <v>27</v>
      </c>
      <c r="E18">
        <v>12</v>
      </c>
      <c r="F18">
        <v>6</v>
      </c>
      <c r="G18">
        <f t="shared" ref="G18:G22" si="2">D18-E18-F18</f>
        <v>9</v>
      </c>
      <c r="H18">
        <v>45</v>
      </c>
      <c r="I18">
        <v>43</v>
      </c>
      <c r="J18">
        <f t="shared" ref="J18:J22" si="3">H18-I18</f>
        <v>2</v>
      </c>
      <c r="L18" t="s">
        <v>46</v>
      </c>
    </row>
    <row r="19" spans="1:14" x14ac:dyDescent="0.3">
      <c r="A19" s="1" t="s">
        <v>2</v>
      </c>
      <c r="B19" t="s">
        <v>25</v>
      </c>
      <c r="C19" s="3">
        <v>40</v>
      </c>
      <c r="D19">
        <v>27</v>
      </c>
      <c r="E19">
        <v>12</v>
      </c>
      <c r="F19">
        <v>4</v>
      </c>
      <c r="G19">
        <f t="shared" si="2"/>
        <v>11</v>
      </c>
      <c r="H19">
        <v>46</v>
      </c>
      <c r="I19">
        <v>37</v>
      </c>
      <c r="J19">
        <f t="shared" si="3"/>
        <v>9</v>
      </c>
      <c r="L19" t="s">
        <v>29</v>
      </c>
      <c r="M19" t="s">
        <v>47</v>
      </c>
      <c r="N19" t="s">
        <v>31</v>
      </c>
    </row>
    <row r="20" spans="1:14" x14ac:dyDescent="0.3">
      <c r="A20" t="s">
        <v>3</v>
      </c>
      <c r="B20" t="s">
        <v>24</v>
      </c>
      <c r="C20" s="3">
        <v>40</v>
      </c>
      <c r="D20">
        <v>27</v>
      </c>
      <c r="E20">
        <v>12</v>
      </c>
      <c r="F20">
        <v>4</v>
      </c>
      <c r="G20">
        <f t="shared" si="2"/>
        <v>11</v>
      </c>
      <c r="H20">
        <v>38</v>
      </c>
      <c r="I20">
        <v>41</v>
      </c>
      <c r="J20">
        <f t="shared" si="3"/>
        <v>-3</v>
      </c>
    </row>
    <row r="21" spans="1:14" x14ac:dyDescent="0.3">
      <c r="A21" t="s">
        <v>4</v>
      </c>
      <c r="B21" t="s">
        <v>26</v>
      </c>
      <c r="C21" s="3">
        <v>38</v>
      </c>
      <c r="D21">
        <v>27</v>
      </c>
      <c r="E21">
        <v>10</v>
      </c>
      <c r="F21">
        <v>8</v>
      </c>
      <c r="G21">
        <f t="shared" si="2"/>
        <v>9</v>
      </c>
      <c r="H21">
        <v>42</v>
      </c>
      <c r="I21">
        <v>41</v>
      </c>
      <c r="J21">
        <f t="shared" si="3"/>
        <v>1</v>
      </c>
    </row>
    <row r="22" spans="1:14" x14ac:dyDescent="0.3">
      <c r="A22" t="s">
        <v>5</v>
      </c>
      <c r="B22" t="s">
        <v>27</v>
      </c>
      <c r="C22" s="3">
        <v>36</v>
      </c>
      <c r="D22">
        <v>27</v>
      </c>
      <c r="E22">
        <v>10</v>
      </c>
      <c r="F22">
        <v>6</v>
      </c>
      <c r="G22">
        <f t="shared" si="2"/>
        <v>11</v>
      </c>
      <c r="H22">
        <v>46</v>
      </c>
      <c r="I22">
        <v>40</v>
      </c>
      <c r="J22">
        <f t="shared" si="3"/>
        <v>6</v>
      </c>
    </row>
    <row r="24" spans="1:14" x14ac:dyDescent="0.3">
      <c r="A24" t="s">
        <v>35</v>
      </c>
    </row>
    <row r="25" spans="1:14" x14ac:dyDescent="0.3">
      <c r="A25" t="s">
        <v>0</v>
      </c>
      <c r="B25" t="s">
        <v>28</v>
      </c>
      <c r="C25" s="3">
        <v>38</v>
      </c>
      <c r="D25">
        <v>27</v>
      </c>
      <c r="E25">
        <v>10</v>
      </c>
      <c r="F25">
        <v>8</v>
      </c>
      <c r="G25">
        <f>D25-E25-F25</f>
        <v>9</v>
      </c>
      <c r="H25">
        <v>40</v>
      </c>
      <c r="I25">
        <v>38</v>
      </c>
      <c r="J25">
        <f>H25-I25</f>
        <v>2</v>
      </c>
    </row>
    <row r="26" spans="1:14" x14ac:dyDescent="0.3">
      <c r="A26" s="5" t="s">
        <v>1</v>
      </c>
      <c r="B26" t="s">
        <v>31</v>
      </c>
      <c r="C26" s="3">
        <v>37</v>
      </c>
      <c r="D26">
        <v>27</v>
      </c>
      <c r="E26">
        <v>12</v>
      </c>
      <c r="F26">
        <v>1</v>
      </c>
      <c r="G26">
        <f t="shared" ref="G26:G30" si="4">D26-E26-F26</f>
        <v>14</v>
      </c>
      <c r="H26">
        <v>32</v>
      </c>
      <c r="I26">
        <v>43</v>
      </c>
      <c r="J26">
        <f t="shared" ref="J26:J30" si="5">H26-I26</f>
        <v>-11</v>
      </c>
    </row>
    <row r="27" spans="1:14" x14ac:dyDescent="0.3">
      <c r="A27" t="s">
        <v>2</v>
      </c>
      <c r="B27" t="s">
        <v>33</v>
      </c>
      <c r="C27" s="3">
        <v>35</v>
      </c>
      <c r="D27">
        <v>27</v>
      </c>
      <c r="E27">
        <v>10</v>
      </c>
      <c r="F27">
        <v>5</v>
      </c>
      <c r="G27">
        <f t="shared" si="4"/>
        <v>12</v>
      </c>
      <c r="H27">
        <v>43</v>
      </c>
      <c r="I27">
        <v>46</v>
      </c>
      <c r="J27">
        <f t="shared" si="5"/>
        <v>-3</v>
      </c>
    </row>
    <row r="28" spans="1:14" x14ac:dyDescent="0.3">
      <c r="A28" t="s">
        <v>3</v>
      </c>
      <c r="B28" t="s">
        <v>32</v>
      </c>
      <c r="C28" s="3">
        <v>34</v>
      </c>
      <c r="D28">
        <v>27</v>
      </c>
      <c r="E28">
        <v>9</v>
      </c>
      <c r="F28">
        <v>7</v>
      </c>
      <c r="G28">
        <f t="shared" si="4"/>
        <v>11</v>
      </c>
      <c r="H28">
        <v>44</v>
      </c>
      <c r="I28">
        <v>47</v>
      </c>
      <c r="J28">
        <f t="shared" si="5"/>
        <v>-3</v>
      </c>
    </row>
    <row r="29" spans="1:14" x14ac:dyDescent="0.3">
      <c r="A29" t="s">
        <v>4</v>
      </c>
      <c r="B29" t="s">
        <v>29</v>
      </c>
      <c r="C29" s="3">
        <v>32</v>
      </c>
      <c r="D29">
        <v>27</v>
      </c>
      <c r="E29">
        <v>8</v>
      </c>
      <c r="F29">
        <v>8</v>
      </c>
      <c r="G29">
        <f t="shared" si="4"/>
        <v>11</v>
      </c>
      <c r="H29">
        <v>40</v>
      </c>
      <c r="I29">
        <v>47</v>
      </c>
      <c r="J29">
        <f t="shared" si="5"/>
        <v>-7</v>
      </c>
    </row>
    <row r="30" spans="1:14" x14ac:dyDescent="0.3">
      <c r="A30" t="s">
        <v>5</v>
      </c>
      <c r="B30" t="s">
        <v>30</v>
      </c>
      <c r="C30" s="3">
        <v>32</v>
      </c>
      <c r="D30">
        <v>27</v>
      </c>
      <c r="E30">
        <v>9</v>
      </c>
      <c r="F30">
        <v>5</v>
      </c>
      <c r="G30">
        <f t="shared" si="4"/>
        <v>13</v>
      </c>
      <c r="H30">
        <v>39</v>
      </c>
      <c r="I30">
        <v>46</v>
      </c>
      <c r="J30">
        <f t="shared" si="5"/>
        <v>-7</v>
      </c>
    </row>
  </sheetData>
  <pageMargins left="0.7" right="0.7" top="0.75" bottom="0.75" header="0.3" footer="0.3"/>
  <pageSetup paperSize="9" orientation="portrait" horizontalDpi="360" verticalDpi="36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1D7A7-4C48-4123-AFF6-A86C97EFF5EC}">
  <dimension ref="A1:Q25"/>
  <sheetViews>
    <sheetView workbookViewId="0">
      <selection activeCell="A18" sqref="A18:J25"/>
    </sheetView>
  </sheetViews>
  <sheetFormatPr defaultRowHeight="14.4" x14ac:dyDescent="0.3"/>
  <sheetData>
    <row r="1" spans="1:17" x14ac:dyDescent="0.3">
      <c r="A1" t="s">
        <v>875</v>
      </c>
      <c r="L1" t="s">
        <v>890</v>
      </c>
      <c r="P1" t="s">
        <v>48</v>
      </c>
    </row>
    <row r="2" spans="1:17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20</v>
      </c>
      <c r="I2" t="s">
        <v>21</v>
      </c>
      <c r="J2" t="s">
        <v>19</v>
      </c>
      <c r="L2" t="s">
        <v>40</v>
      </c>
      <c r="P2" t="s">
        <v>876</v>
      </c>
      <c r="Q2">
        <v>7</v>
      </c>
    </row>
    <row r="3" spans="1:17" x14ac:dyDescent="0.3">
      <c r="A3" s="1" t="s">
        <v>0</v>
      </c>
      <c r="B3" t="s">
        <v>876</v>
      </c>
      <c r="C3" s="3">
        <f t="shared" ref="C3:C16" si="0">E3*3+F3</f>
        <v>57</v>
      </c>
      <c r="D3">
        <v>26</v>
      </c>
      <c r="E3">
        <v>17</v>
      </c>
      <c r="F3">
        <v>6</v>
      </c>
      <c r="G3">
        <f>D3-E3-F3</f>
        <v>3</v>
      </c>
      <c r="H3">
        <v>61</v>
      </c>
      <c r="I3">
        <v>30</v>
      </c>
      <c r="J3">
        <f>H3-I3</f>
        <v>31</v>
      </c>
      <c r="L3" t="s">
        <v>878</v>
      </c>
      <c r="M3" t="s">
        <v>93</v>
      </c>
      <c r="N3" t="s">
        <v>880</v>
      </c>
      <c r="P3" t="s">
        <v>877</v>
      </c>
      <c r="Q3">
        <v>5</v>
      </c>
    </row>
    <row r="4" spans="1:17" x14ac:dyDescent="0.3">
      <c r="A4" s="1" t="s">
        <v>1</v>
      </c>
      <c r="B4" t="s">
        <v>877</v>
      </c>
      <c r="C4" s="3">
        <f t="shared" si="0"/>
        <v>57</v>
      </c>
      <c r="D4">
        <v>26</v>
      </c>
      <c r="E4">
        <v>17</v>
      </c>
      <c r="F4">
        <v>6</v>
      </c>
      <c r="G4">
        <f t="shared" ref="G4:G16" si="1">D4-E4-F4</f>
        <v>3</v>
      </c>
      <c r="H4">
        <v>56</v>
      </c>
      <c r="I4">
        <v>25</v>
      </c>
      <c r="J4">
        <f t="shared" ref="J4:J16" si="2">H4-I4</f>
        <v>31</v>
      </c>
    </row>
    <row r="5" spans="1:17" x14ac:dyDescent="0.3">
      <c r="A5" s="1" t="s">
        <v>2</v>
      </c>
      <c r="B5" t="s">
        <v>878</v>
      </c>
      <c r="C5" s="3">
        <f t="shared" si="0"/>
        <v>50</v>
      </c>
      <c r="D5">
        <v>26</v>
      </c>
      <c r="E5">
        <v>14</v>
      </c>
      <c r="F5">
        <v>8</v>
      </c>
      <c r="G5">
        <f t="shared" si="1"/>
        <v>4</v>
      </c>
      <c r="H5">
        <v>55</v>
      </c>
      <c r="I5">
        <v>30</v>
      </c>
      <c r="J5">
        <f t="shared" si="2"/>
        <v>25</v>
      </c>
      <c r="L5" t="s">
        <v>46</v>
      </c>
    </row>
    <row r="6" spans="1:17" x14ac:dyDescent="0.3">
      <c r="A6" s="1" t="s">
        <v>3</v>
      </c>
      <c r="B6" t="s">
        <v>879</v>
      </c>
      <c r="C6" s="3">
        <f t="shared" si="0"/>
        <v>50</v>
      </c>
      <c r="D6">
        <v>26</v>
      </c>
      <c r="E6">
        <v>15</v>
      </c>
      <c r="F6">
        <v>5</v>
      </c>
      <c r="G6">
        <f t="shared" si="1"/>
        <v>6</v>
      </c>
      <c r="H6">
        <v>46</v>
      </c>
      <c r="I6">
        <v>27</v>
      </c>
      <c r="J6">
        <f t="shared" si="2"/>
        <v>19</v>
      </c>
      <c r="L6" t="s">
        <v>877</v>
      </c>
      <c r="M6" t="s">
        <v>891</v>
      </c>
      <c r="N6" t="s">
        <v>878</v>
      </c>
    </row>
    <row r="7" spans="1:17" x14ac:dyDescent="0.3">
      <c r="A7" s="1" t="s">
        <v>4</v>
      </c>
      <c r="B7" t="s">
        <v>880</v>
      </c>
      <c r="C7" s="3">
        <f t="shared" si="0"/>
        <v>39</v>
      </c>
      <c r="D7">
        <v>26</v>
      </c>
      <c r="E7">
        <v>10</v>
      </c>
      <c r="F7">
        <v>9</v>
      </c>
      <c r="G7">
        <f t="shared" si="1"/>
        <v>7</v>
      </c>
      <c r="H7">
        <v>46</v>
      </c>
      <c r="I7">
        <v>28</v>
      </c>
      <c r="J7">
        <f t="shared" si="2"/>
        <v>18</v>
      </c>
    </row>
    <row r="8" spans="1:17" x14ac:dyDescent="0.3">
      <c r="A8" s="1" t="s">
        <v>5</v>
      </c>
      <c r="B8" t="s">
        <v>881</v>
      </c>
      <c r="C8" s="3">
        <f t="shared" si="0"/>
        <v>39</v>
      </c>
      <c r="D8">
        <v>26</v>
      </c>
      <c r="E8">
        <v>10</v>
      </c>
      <c r="F8">
        <v>9</v>
      </c>
      <c r="G8">
        <f t="shared" si="1"/>
        <v>7</v>
      </c>
      <c r="H8">
        <v>42</v>
      </c>
      <c r="I8">
        <v>36</v>
      </c>
      <c r="J8">
        <f t="shared" si="2"/>
        <v>6</v>
      </c>
    </row>
    <row r="9" spans="1:17" x14ac:dyDescent="0.3">
      <c r="A9" t="s">
        <v>6</v>
      </c>
      <c r="B9" t="s">
        <v>882</v>
      </c>
      <c r="C9" s="3">
        <f t="shared" si="0"/>
        <v>34</v>
      </c>
      <c r="D9">
        <v>26</v>
      </c>
      <c r="E9">
        <v>10</v>
      </c>
      <c r="F9">
        <v>4</v>
      </c>
      <c r="G9">
        <f t="shared" si="1"/>
        <v>12</v>
      </c>
      <c r="H9">
        <v>46</v>
      </c>
      <c r="I9">
        <v>57</v>
      </c>
      <c r="J9">
        <f t="shared" si="2"/>
        <v>-11</v>
      </c>
    </row>
    <row r="10" spans="1:17" x14ac:dyDescent="0.3">
      <c r="A10" t="s">
        <v>7</v>
      </c>
      <c r="B10" t="s">
        <v>883</v>
      </c>
      <c r="C10" s="3">
        <f t="shared" si="0"/>
        <v>32</v>
      </c>
      <c r="D10">
        <v>26</v>
      </c>
      <c r="E10">
        <v>8</v>
      </c>
      <c r="F10">
        <v>8</v>
      </c>
      <c r="G10">
        <f t="shared" si="1"/>
        <v>10</v>
      </c>
      <c r="H10">
        <v>26</v>
      </c>
      <c r="I10">
        <v>35</v>
      </c>
      <c r="J10">
        <f t="shared" si="2"/>
        <v>-9</v>
      </c>
    </row>
    <row r="11" spans="1:17" x14ac:dyDescent="0.3">
      <c r="A11" t="s">
        <v>8</v>
      </c>
      <c r="B11" t="s">
        <v>884</v>
      </c>
      <c r="C11" s="3">
        <f t="shared" si="0"/>
        <v>30</v>
      </c>
      <c r="D11">
        <v>26</v>
      </c>
      <c r="E11">
        <v>8</v>
      </c>
      <c r="F11">
        <v>6</v>
      </c>
      <c r="G11">
        <f t="shared" si="1"/>
        <v>12</v>
      </c>
      <c r="H11">
        <v>37</v>
      </c>
      <c r="I11">
        <v>42</v>
      </c>
      <c r="J11">
        <f t="shared" si="2"/>
        <v>-5</v>
      </c>
    </row>
    <row r="12" spans="1:17" x14ac:dyDescent="0.3">
      <c r="A12" t="s">
        <v>9</v>
      </c>
      <c r="B12" t="s">
        <v>885</v>
      </c>
      <c r="C12" s="3">
        <f t="shared" si="0"/>
        <v>27</v>
      </c>
      <c r="D12">
        <v>26</v>
      </c>
      <c r="E12">
        <v>7</v>
      </c>
      <c r="F12">
        <v>6</v>
      </c>
      <c r="G12">
        <f t="shared" si="1"/>
        <v>13</v>
      </c>
      <c r="H12">
        <v>33</v>
      </c>
      <c r="I12">
        <v>45</v>
      </c>
      <c r="J12">
        <f t="shared" si="2"/>
        <v>-12</v>
      </c>
    </row>
    <row r="13" spans="1:17" x14ac:dyDescent="0.3">
      <c r="A13" t="s">
        <v>10</v>
      </c>
      <c r="B13" t="s">
        <v>886</v>
      </c>
      <c r="C13" s="3">
        <f t="shared" si="0"/>
        <v>26</v>
      </c>
      <c r="D13">
        <v>26</v>
      </c>
      <c r="E13">
        <v>6</v>
      </c>
      <c r="F13">
        <v>8</v>
      </c>
      <c r="G13">
        <f t="shared" si="1"/>
        <v>12</v>
      </c>
      <c r="H13">
        <v>35</v>
      </c>
      <c r="I13">
        <v>51</v>
      </c>
      <c r="J13">
        <f t="shared" si="2"/>
        <v>-16</v>
      </c>
    </row>
    <row r="14" spans="1:17" x14ac:dyDescent="0.3">
      <c r="A14" t="s">
        <v>11</v>
      </c>
      <c r="B14" t="s">
        <v>887</v>
      </c>
      <c r="C14" s="3">
        <f t="shared" si="0"/>
        <v>26</v>
      </c>
      <c r="D14">
        <v>26</v>
      </c>
      <c r="E14">
        <v>7</v>
      </c>
      <c r="F14">
        <v>5</v>
      </c>
      <c r="G14">
        <f t="shared" si="1"/>
        <v>14</v>
      </c>
      <c r="H14">
        <v>33</v>
      </c>
      <c r="I14">
        <v>55</v>
      </c>
      <c r="J14">
        <f t="shared" si="2"/>
        <v>-22</v>
      </c>
    </row>
    <row r="15" spans="1:17" x14ac:dyDescent="0.3">
      <c r="A15" t="s">
        <v>69</v>
      </c>
      <c r="B15" t="s">
        <v>888</v>
      </c>
      <c r="C15" s="3">
        <f t="shared" si="0"/>
        <v>21</v>
      </c>
      <c r="D15">
        <v>26</v>
      </c>
      <c r="E15">
        <v>4</v>
      </c>
      <c r="F15">
        <v>9</v>
      </c>
      <c r="G15">
        <f t="shared" si="1"/>
        <v>13</v>
      </c>
      <c r="H15">
        <v>23</v>
      </c>
      <c r="I15">
        <v>37</v>
      </c>
      <c r="J15">
        <f t="shared" si="2"/>
        <v>-14</v>
      </c>
    </row>
    <row r="16" spans="1:17" x14ac:dyDescent="0.3">
      <c r="A16" t="s">
        <v>70</v>
      </c>
      <c r="B16" t="s">
        <v>889</v>
      </c>
      <c r="C16" s="3">
        <f t="shared" si="0"/>
        <v>12</v>
      </c>
      <c r="D16">
        <v>26</v>
      </c>
      <c r="E16">
        <v>3</v>
      </c>
      <c r="F16">
        <v>3</v>
      </c>
      <c r="G16">
        <f t="shared" si="1"/>
        <v>20</v>
      </c>
      <c r="H16">
        <v>17</v>
      </c>
      <c r="I16">
        <v>58</v>
      </c>
      <c r="J16">
        <f t="shared" si="2"/>
        <v>-41</v>
      </c>
    </row>
    <row r="18" spans="1:10" x14ac:dyDescent="0.3">
      <c r="A18" t="s">
        <v>34</v>
      </c>
    </row>
    <row r="19" spans="1:10" x14ac:dyDescent="0.3">
      <c r="A19" t="s">
        <v>12</v>
      </c>
      <c r="B19" t="s">
        <v>13</v>
      </c>
      <c r="C19" t="s">
        <v>14</v>
      </c>
      <c r="D19" t="s">
        <v>15</v>
      </c>
      <c r="E19" t="s">
        <v>16</v>
      </c>
      <c r="F19" t="s">
        <v>17</v>
      </c>
      <c r="G19" t="s">
        <v>18</v>
      </c>
      <c r="H19" t="s">
        <v>20</v>
      </c>
      <c r="I19" t="s">
        <v>21</v>
      </c>
      <c r="J19" t="s">
        <v>19</v>
      </c>
    </row>
    <row r="20" spans="1:10" x14ac:dyDescent="0.3">
      <c r="A20" s="4" t="s">
        <v>0</v>
      </c>
      <c r="B20" t="s">
        <v>876</v>
      </c>
      <c r="C20" s="3">
        <f t="shared" ref="C20:C25" si="3">E20*3+F20</f>
        <v>76</v>
      </c>
      <c r="D20">
        <v>36</v>
      </c>
      <c r="E20">
        <v>22</v>
      </c>
      <c r="F20">
        <v>10</v>
      </c>
      <c r="G20">
        <f t="shared" ref="G20:G25" si="4">D20-E20-F20</f>
        <v>4</v>
      </c>
      <c r="H20">
        <v>82</v>
      </c>
      <c r="I20">
        <v>42</v>
      </c>
      <c r="J20">
        <f t="shared" ref="J20:J25" si="5">H20-I20</f>
        <v>40</v>
      </c>
    </row>
    <row r="21" spans="1:10" x14ac:dyDescent="0.3">
      <c r="A21" s="1" t="s">
        <v>1</v>
      </c>
      <c r="B21" t="s">
        <v>878</v>
      </c>
      <c r="C21" s="3">
        <f t="shared" si="3"/>
        <v>68</v>
      </c>
      <c r="D21">
        <v>36</v>
      </c>
      <c r="E21">
        <v>20</v>
      </c>
      <c r="F21">
        <v>8</v>
      </c>
      <c r="G21">
        <f t="shared" si="4"/>
        <v>8</v>
      </c>
      <c r="H21">
        <v>69</v>
      </c>
      <c r="I21">
        <v>45</v>
      </c>
      <c r="J21">
        <f t="shared" si="5"/>
        <v>24</v>
      </c>
    </row>
    <row r="22" spans="1:10" x14ac:dyDescent="0.3">
      <c r="A22" s="1" t="s">
        <v>2</v>
      </c>
      <c r="B22" t="s">
        <v>879</v>
      </c>
      <c r="C22" s="3">
        <f t="shared" si="3"/>
        <v>65</v>
      </c>
      <c r="D22">
        <v>36</v>
      </c>
      <c r="E22">
        <v>19</v>
      </c>
      <c r="F22">
        <v>8</v>
      </c>
      <c r="G22">
        <f t="shared" si="4"/>
        <v>9</v>
      </c>
      <c r="H22">
        <v>61</v>
      </c>
      <c r="I22">
        <v>41</v>
      </c>
      <c r="J22">
        <f t="shared" si="5"/>
        <v>20</v>
      </c>
    </row>
    <row r="23" spans="1:10" x14ac:dyDescent="0.3">
      <c r="A23" s="5" t="s">
        <v>3</v>
      </c>
      <c r="B23" t="s">
        <v>877</v>
      </c>
      <c r="C23" s="3">
        <f t="shared" si="3"/>
        <v>64</v>
      </c>
      <c r="D23">
        <v>36</v>
      </c>
      <c r="E23">
        <v>19</v>
      </c>
      <c r="F23">
        <v>7</v>
      </c>
      <c r="G23">
        <f t="shared" si="4"/>
        <v>10</v>
      </c>
      <c r="H23">
        <v>63</v>
      </c>
      <c r="I23">
        <v>40</v>
      </c>
      <c r="J23">
        <f t="shared" si="5"/>
        <v>23</v>
      </c>
    </row>
    <row r="24" spans="1:10" x14ac:dyDescent="0.3">
      <c r="A24" t="s">
        <v>4</v>
      </c>
      <c r="B24" t="s">
        <v>880</v>
      </c>
      <c r="C24" s="3">
        <f t="shared" si="3"/>
        <v>53</v>
      </c>
      <c r="D24">
        <v>36</v>
      </c>
      <c r="E24">
        <v>13</v>
      </c>
      <c r="F24">
        <v>14</v>
      </c>
      <c r="G24">
        <f t="shared" si="4"/>
        <v>9</v>
      </c>
      <c r="H24">
        <v>64</v>
      </c>
      <c r="I24">
        <v>44</v>
      </c>
      <c r="J24">
        <f t="shared" si="5"/>
        <v>20</v>
      </c>
    </row>
    <row r="25" spans="1:10" x14ac:dyDescent="0.3">
      <c r="A25" t="s">
        <v>5</v>
      </c>
      <c r="B25" t="s">
        <v>881</v>
      </c>
      <c r="C25" s="3">
        <f t="shared" si="3"/>
        <v>48</v>
      </c>
      <c r="D25">
        <v>36</v>
      </c>
      <c r="E25">
        <v>12</v>
      </c>
      <c r="F25">
        <v>12</v>
      </c>
      <c r="G25">
        <f t="shared" si="4"/>
        <v>12</v>
      </c>
      <c r="H25">
        <v>55</v>
      </c>
      <c r="I25">
        <v>52</v>
      </c>
      <c r="J25">
        <f t="shared" si="5"/>
        <v>3</v>
      </c>
    </row>
  </sheetData>
  <sortState xmlns:xlrd2="http://schemas.microsoft.com/office/spreadsheetml/2017/richdata2" ref="B20:J25">
    <sortCondition descending="1" ref="C20:C25"/>
  </sortState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027D5-76D6-4EC9-A264-31E7CDFCEEA7}">
  <dimension ref="A1:AQ119"/>
  <sheetViews>
    <sheetView workbookViewId="0">
      <selection activeCell="C3" sqref="C3:C12"/>
    </sheetView>
  </sheetViews>
  <sheetFormatPr defaultRowHeight="14.4" x14ac:dyDescent="0.3"/>
  <sheetData>
    <row r="1" spans="1:43" x14ac:dyDescent="0.3">
      <c r="A1" t="s">
        <v>892</v>
      </c>
      <c r="L1" t="s">
        <v>913</v>
      </c>
      <c r="W1" t="s">
        <v>914</v>
      </c>
      <c r="AH1" t="s">
        <v>918</v>
      </c>
      <c r="AP1" t="s">
        <v>48</v>
      </c>
    </row>
    <row r="2" spans="1:43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20</v>
      </c>
      <c r="I2" t="s">
        <v>21</v>
      </c>
      <c r="J2" t="s">
        <v>19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20</v>
      </c>
      <c r="T2" t="s">
        <v>21</v>
      </c>
      <c r="U2" t="s">
        <v>19</v>
      </c>
      <c r="W2" t="s">
        <v>915</v>
      </c>
      <c r="AH2" t="s">
        <v>40</v>
      </c>
      <c r="AP2" t="s">
        <v>893</v>
      </c>
      <c r="AQ2">
        <v>21</v>
      </c>
    </row>
    <row r="3" spans="1:43" x14ac:dyDescent="0.3">
      <c r="A3" s="4" t="s">
        <v>0</v>
      </c>
      <c r="B3" t="s">
        <v>893</v>
      </c>
      <c r="C3" s="3">
        <f t="shared" ref="C3:C22" si="0">E3*3+F3</f>
        <v>83</v>
      </c>
      <c r="D3">
        <v>38</v>
      </c>
      <c r="E3">
        <v>26</v>
      </c>
      <c r="F3">
        <v>5</v>
      </c>
      <c r="G3">
        <f>D3-E3-F3</f>
        <v>7</v>
      </c>
      <c r="H3">
        <v>83</v>
      </c>
      <c r="I3">
        <v>37</v>
      </c>
      <c r="J3">
        <f>H3-I3</f>
        <v>46</v>
      </c>
      <c r="L3" s="1" t="s">
        <v>0</v>
      </c>
      <c r="M3" t="s">
        <v>919</v>
      </c>
      <c r="N3" s="3">
        <f t="shared" ref="N3:N22" si="1">P3*3+Q3</f>
        <v>81</v>
      </c>
      <c r="O3">
        <v>38</v>
      </c>
      <c r="P3">
        <v>23</v>
      </c>
      <c r="Q3">
        <v>12</v>
      </c>
      <c r="R3">
        <f>O3-P3-Q3</f>
        <v>3</v>
      </c>
      <c r="S3">
        <v>76</v>
      </c>
      <c r="T3">
        <v>37</v>
      </c>
      <c r="U3">
        <f>S3-T3</f>
        <v>39</v>
      </c>
      <c r="W3" t="s">
        <v>12</v>
      </c>
      <c r="X3" t="s">
        <v>13</v>
      </c>
      <c r="Y3" t="s">
        <v>14</v>
      </c>
      <c r="Z3" t="s">
        <v>15</v>
      </c>
      <c r="AA3" t="s">
        <v>16</v>
      </c>
      <c r="AB3" t="s">
        <v>17</v>
      </c>
      <c r="AC3" t="s">
        <v>18</v>
      </c>
      <c r="AD3" t="s">
        <v>20</v>
      </c>
      <c r="AE3" t="s">
        <v>21</v>
      </c>
      <c r="AF3" t="s">
        <v>19</v>
      </c>
      <c r="AH3" t="s">
        <v>897</v>
      </c>
      <c r="AI3" t="s">
        <v>206</v>
      </c>
      <c r="AJ3" t="s">
        <v>893</v>
      </c>
      <c r="AL3" t="s">
        <v>893</v>
      </c>
      <c r="AM3" t="s">
        <v>891</v>
      </c>
      <c r="AN3" t="s">
        <v>897</v>
      </c>
      <c r="AP3" t="s">
        <v>919</v>
      </c>
      <c r="AQ3">
        <v>2</v>
      </c>
    </row>
    <row r="4" spans="1:43" x14ac:dyDescent="0.3">
      <c r="A4" s="4" t="s">
        <v>1</v>
      </c>
      <c r="B4" t="s">
        <v>894</v>
      </c>
      <c r="C4" s="3">
        <f t="shared" si="0"/>
        <v>76</v>
      </c>
      <c r="D4">
        <v>38</v>
      </c>
      <c r="E4">
        <v>23</v>
      </c>
      <c r="F4">
        <v>7</v>
      </c>
      <c r="G4">
        <f t="shared" ref="G4:G22" si="2">D4-E4-F4</f>
        <v>8</v>
      </c>
      <c r="H4">
        <v>57</v>
      </c>
      <c r="I4">
        <v>40</v>
      </c>
      <c r="J4">
        <f t="shared" ref="J4:J22" si="3">H4-I4</f>
        <v>17</v>
      </c>
      <c r="L4" s="1" t="s">
        <v>1</v>
      </c>
      <c r="M4" t="s">
        <v>920</v>
      </c>
      <c r="N4" s="3">
        <f t="shared" si="1"/>
        <v>75</v>
      </c>
      <c r="O4">
        <v>38</v>
      </c>
      <c r="P4">
        <v>22</v>
      </c>
      <c r="Q4">
        <v>9</v>
      </c>
      <c r="R4">
        <f t="shared" ref="R4:R22" si="4">O4-P4-Q4</f>
        <v>7</v>
      </c>
      <c r="S4">
        <v>60</v>
      </c>
      <c r="T4">
        <v>36</v>
      </c>
      <c r="U4">
        <f t="shared" ref="U4:U22" si="5">S4-T4</f>
        <v>24</v>
      </c>
      <c r="W4" s="1" t="s">
        <v>0</v>
      </c>
      <c r="X4" t="s">
        <v>960</v>
      </c>
      <c r="Y4" s="3">
        <f t="shared" ref="Y4:Y22" si="6">AA4*3+AB4</f>
        <v>88</v>
      </c>
      <c r="Z4">
        <v>38</v>
      </c>
      <c r="AA4">
        <v>27</v>
      </c>
      <c r="AB4">
        <v>7</v>
      </c>
      <c r="AC4">
        <f>Z4-AA4-AB4</f>
        <v>4</v>
      </c>
      <c r="AD4">
        <v>64</v>
      </c>
      <c r="AE4">
        <v>27</v>
      </c>
      <c r="AF4">
        <f>AD4-AE4</f>
        <v>37</v>
      </c>
      <c r="AH4" t="s">
        <v>900</v>
      </c>
      <c r="AI4" t="s">
        <v>204</v>
      </c>
      <c r="AJ4" t="s">
        <v>899</v>
      </c>
      <c r="AL4" t="s">
        <v>899</v>
      </c>
      <c r="AM4" t="s">
        <v>42</v>
      </c>
      <c r="AN4" t="s">
        <v>900</v>
      </c>
      <c r="AP4" t="s">
        <v>941</v>
      </c>
      <c r="AQ4">
        <v>2</v>
      </c>
    </row>
    <row r="5" spans="1:43" x14ac:dyDescent="0.3">
      <c r="A5" s="4" t="s">
        <v>2</v>
      </c>
      <c r="B5" t="s">
        <v>895</v>
      </c>
      <c r="C5" s="3">
        <f t="shared" si="0"/>
        <v>69</v>
      </c>
      <c r="D5">
        <v>38</v>
      </c>
      <c r="E5">
        <v>20</v>
      </c>
      <c r="F5">
        <v>9</v>
      </c>
      <c r="G5">
        <f t="shared" si="2"/>
        <v>9</v>
      </c>
      <c r="H5">
        <v>63</v>
      </c>
      <c r="I5">
        <v>33</v>
      </c>
      <c r="J5">
        <f t="shared" si="3"/>
        <v>30</v>
      </c>
      <c r="L5" s="2" t="s">
        <v>2</v>
      </c>
      <c r="M5" t="s">
        <v>921</v>
      </c>
      <c r="N5" s="3">
        <f t="shared" si="1"/>
        <v>72</v>
      </c>
      <c r="O5">
        <v>38</v>
      </c>
      <c r="P5">
        <v>21</v>
      </c>
      <c r="Q5">
        <v>9</v>
      </c>
      <c r="R5">
        <f t="shared" si="4"/>
        <v>8</v>
      </c>
      <c r="S5">
        <v>71</v>
      </c>
      <c r="T5">
        <v>37</v>
      </c>
      <c r="U5">
        <f t="shared" si="5"/>
        <v>34</v>
      </c>
      <c r="W5" s="2" t="s">
        <v>1</v>
      </c>
      <c r="X5" t="s">
        <v>961</v>
      </c>
      <c r="Y5" s="3">
        <f t="shared" si="6"/>
        <v>69</v>
      </c>
      <c r="Z5">
        <v>38</v>
      </c>
      <c r="AA5">
        <v>19</v>
      </c>
      <c r="AB5">
        <v>12</v>
      </c>
      <c r="AC5">
        <f t="shared" ref="AC5:AC23" si="7">Z5-AA5-AB5</f>
        <v>7</v>
      </c>
      <c r="AD5">
        <v>51</v>
      </c>
      <c r="AE5">
        <v>27</v>
      </c>
      <c r="AF5">
        <f t="shared" ref="AF5:AF23" si="8">AD5-AE5</f>
        <v>24</v>
      </c>
      <c r="AP5" t="s">
        <v>899</v>
      </c>
      <c r="AQ5">
        <v>2</v>
      </c>
    </row>
    <row r="6" spans="1:43" x14ac:dyDescent="0.3">
      <c r="A6" s="4" t="s">
        <v>3</v>
      </c>
      <c r="B6" t="s">
        <v>896</v>
      </c>
      <c r="C6" s="3">
        <f t="shared" si="0"/>
        <v>69</v>
      </c>
      <c r="D6">
        <v>38</v>
      </c>
      <c r="E6">
        <v>20</v>
      </c>
      <c r="F6">
        <v>9</v>
      </c>
      <c r="G6">
        <f t="shared" si="2"/>
        <v>9</v>
      </c>
      <c r="H6">
        <v>53</v>
      </c>
      <c r="I6">
        <v>36</v>
      </c>
      <c r="J6">
        <f t="shared" si="3"/>
        <v>17</v>
      </c>
      <c r="L6" s="2" t="s">
        <v>3</v>
      </c>
      <c r="M6" t="s">
        <v>922</v>
      </c>
      <c r="N6" s="3">
        <f t="shared" si="1"/>
        <v>70</v>
      </c>
      <c r="O6">
        <v>38</v>
      </c>
      <c r="P6">
        <v>20</v>
      </c>
      <c r="Q6">
        <v>10</v>
      </c>
      <c r="R6">
        <f t="shared" si="4"/>
        <v>8</v>
      </c>
      <c r="S6">
        <v>63</v>
      </c>
      <c r="T6">
        <v>39</v>
      </c>
      <c r="U6">
        <f t="shared" si="5"/>
        <v>24</v>
      </c>
      <c r="W6" s="2" t="s">
        <v>2</v>
      </c>
      <c r="X6" t="s">
        <v>962</v>
      </c>
      <c r="Y6" s="3">
        <f t="shared" si="6"/>
        <v>64</v>
      </c>
      <c r="Z6">
        <v>38</v>
      </c>
      <c r="AA6">
        <v>17</v>
      </c>
      <c r="AB6">
        <v>13</v>
      </c>
      <c r="AC6">
        <f t="shared" si="7"/>
        <v>8</v>
      </c>
      <c r="AD6">
        <v>52</v>
      </c>
      <c r="AE6">
        <v>34</v>
      </c>
      <c r="AF6">
        <f t="shared" si="8"/>
        <v>18</v>
      </c>
      <c r="AH6" t="s">
        <v>46</v>
      </c>
    </row>
    <row r="7" spans="1:43" x14ac:dyDescent="0.3">
      <c r="A7" s="5" t="s">
        <v>4</v>
      </c>
      <c r="B7" t="s">
        <v>897</v>
      </c>
      <c r="C7" s="3">
        <f t="shared" si="0"/>
        <v>66</v>
      </c>
      <c r="D7">
        <v>38</v>
      </c>
      <c r="E7">
        <v>18</v>
      </c>
      <c r="F7">
        <v>12</v>
      </c>
      <c r="G7">
        <f t="shared" si="2"/>
        <v>8</v>
      </c>
      <c r="H7">
        <v>65</v>
      </c>
      <c r="I7">
        <v>36</v>
      </c>
      <c r="J7">
        <f t="shared" si="3"/>
        <v>29</v>
      </c>
      <c r="L7" s="2" t="s">
        <v>4</v>
      </c>
      <c r="M7" t="s">
        <v>923</v>
      </c>
      <c r="N7" s="3">
        <f t="shared" si="1"/>
        <v>64</v>
      </c>
      <c r="O7">
        <v>38</v>
      </c>
      <c r="P7">
        <v>17</v>
      </c>
      <c r="Q7">
        <v>13</v>
      </c>
      <c r="R7">
        <f t="shared" si="4"/>
        <v>8</v>
      </c>
      <c r="S7">
        <v>61</v>
      </c>
      <c r="T7">
        <v>46</v>
      </c>
      <c r="U7">
        <f t="shared" si="5"/>
        <v>15</v>
      </c>
      <c r="W7" s="2" t="s">
        <v>3</v>
      </c>
      <c r="X7" t="s">
        <v>963</v>
      </c>
      <c r="Y7" s="3">
        <f t="shared" si="6"/>
        <v>63</v>
      </c>
      <c r="Z7">
        <v>38</v>
      </c>
      <c r="AA7">
        <v>17</v>
      </c>
      <c r="AB7">
        <v>12</v>
      </c>
      <c r="AC7">
        <f t="shared" si="7"/>
        <v>9</v>
      </c>
      <c r="AD7">
        <v>45</v>
      </c>
      <c r="AE7">
        <v>31</v>
      </c>
      <c r="AF7">
        <f t="shared" si="8"/>
        <v>14</v>
      </c>
      <c r="AH7" t="s">
        <v>899</v>
      </c>
      <c r="AI7" t="s">
        <v>44</v>
      </c>
      <c r="AJ7" t="s">
        <v>893</v>
      </c>
    </row>
    <row r="8" spans="1:43" x14ac:dyDescent="0.3">
      <c r="A8" s="1" t="s">
        <v>5</v>
      </c>
      <c r="B8" t="s">
        <v>898</v>
      </c>
      <c r="C8" s="3">
        <f t="shared" si="0"/>
        <v>63</v>
      </c>
      <c r="D8">
        <v>38</v>
      </c>
      <c r="E8">
        <v>19</v>
      </c>
      <c r="F8">
        <v>6</v>
      </c>
      <c r="G8">
        <f t="shared" si="2"/>
        <v>13</v>
      </c>
      <c r="H8">
        <v>49</v>
      </c>
      <c r="I8">
        <v>37</v>
      </c>
      <c r="J8">
        <f t="shared" si="3"/>
        <v>12</v>
      </c>
      <c r="L8" s="2" t="s">
        <v>5</v>
      </c>
      <c r="M8" t="s">
        <v>924</v>
      </c>
      <c r="N8" s="3">
        <f t="shared" si="1"/>
        <v>53</v>
      </c>
      <c r="O8">
        <v>38</v>
      </c>
      <c r="P8">
        <v>15</v>
      </c>
      <c r="Q8">
        <v>8</v>
      </c>
      <c r="R8">
        <f t="shared" si="4"/>
        <v>15</v>
      </c>
      <c r="S8">
        <v>51</v>
      </c>
      <c r="T8">
        <v>39</v>
      </c>
      <c r="U8">
        <f t="shared" si="5"/>
        <v>12</v>
      </c>
      <c r="W8" s="2" t="s">
        <v>4</v>
      </c>
      <c r="X8" t="s">
        <v>964</v>
      </c>
      <c r="Y8" s="3">
        <f t="shared" si="6"/>
        <v>61</v>
      </c>
      <c r="Z8">
        <v>38</v>
      </c>
      <c r="AA8">
        <v>15</v>
      </c>
      <c r="AB8">
        <v>16</v>
      </c>
      <c r="AC8">
        <f t="shared" si="7"/>
        <v>7</v>
      </c>
      <c r="AD8">
        <v>56</v>
      </c>
      <c r="AE8">
        <v>44</v>
      </c>
      <c r="AF8">
        <f t="shared" si="8"/>
        <v>12</v>
      </c>
    </row>
    <row r="9" spans="1:43" x14ac:dyDescent="0.3">
      <c r="A9" s="5" t="s">
        <v>6</v>
      </c>
      <c r="B9" t="s">
        <v>899</v>
      </c>
      <c r="C9" s="3">
        <f t="shared" si="0"/>
        <v>61</v>
      </c>
      <c r="D9">
        <v>38</v>
      </c>
      <c r="E9">
        <v>16</v>
      </c>
      <c r="F9">
        <v>13</v>
      </c>
      <c r="G9">
        <f t="shared" si="2"/>
        <v>9</v>
      </c>
      <c r="H9">
        <v>51</v>
      </c>
      <c r="I9">
        <v>36</v>
      </c>
      <c r="J9">
        <f t="shared" si="3"/>
        <v>15</v>
      </c>
      <c r="L9" s="2" t="s">
        <v>6</v>
      </c>
      <c r="M9" t="s">
        <v>926</v>
      </c>
      <c r="N9" s="3">
        <f t="shared" si="1"/>
        <v>52</v>
      </c>
      <c r="O9">
        <v>38</v>
      </c>
      <c r="P9">
        <v>12</v>
      </c>
      <c r="Q9">
        <v>16</v>
      </c>
      <c r="R9">
        <f t="shared" si="4"/>
        <v>10</v>
      </c>
      <c r="S9">
        <v>44</v>
      </c>
      <c r="T9">
        <v>39</v>
      </c>
      <c r="U9">
        <f t="shared" si="5"/>
        <v>5</v>
      </c>
      <c r="W9" s="2" t="s">
        <v>5</v>
      </c>
      <c r="X9" t="s">
        <v>965</v>
      </c>
      <c r="Y9" s="3">
        <f t="shared" si="6"/>
        <v>60</v>
      </c>
      <c r="Z9">
        <v>38</v>
      </c>
      <c r="AA9">
        <v>17</v>
      </c>
      <c r="AB9">
        <v>9</v>
      </c>
      <c r="AC9">
        <f t="shared" si="7"/>
        <v>12</v>
      </c>
      <c r="AD9">
        <v>44</v>
      </c>
      <c r="AE9">
        <v>39</v>
      </c>
      <c r="AF9">
        <f t="shared" si="8"/>
        <v>5</v>
      </c>
    </row>
    <row r="10" spans="1:43" x14ac:dyDescent="0.3">
      <c r="A10" t="s">
        <v>7</v>
      </c>
      <c r="B10" t="s">
        <v>900</v>
      </c>
      <c r="C10" s="3">
        <f t="shared" si="0"/>
        <v>54</v>
      </c>
      <c r="D10">
        <v>38</v>
      </c>
      <c r="E10">
        <v>14</v>
      </c>
      <c r="F10">
        <v>12</v>
      </c>
      <c r="G10">
        <f t="shared" si="2"/>
        <v>12</v>
      </c>
      <c r="H10">
        <v>38</v>
      </c>
      <c r="I10">
        <v>40</v>
      </c>
      <c r="J10">
        <f t="shared" si="3"/>
        <v>-2</v>
      </c>
      <c r="L10" s="2" t="s">
        <v>7</v>
      </c>
      <c r="M10" t="s">
        <v>925</v>
      </c>
      <c r="N10" s="3">
        <f t="shared" si="1"/>
        <v>51</v>
      </c>
      <c r="O10">
        <v>38</v>
      </c>
      <c r="P10">
        <v>14</v>
      </c>
      <c r="Q10">
        <v>9</v>
      </c>
      <c r="R10">
        <f t="shared" si="4"/>
        <v>15</v>
      </c>
      <c r="S10">
        <v>52</v>
      </c>
      <c r="T10">
        <v>58</v>
      </c>
      <c r="U10">
        <f t="shared" si="5"/>
        <v>-6</v>
      </c>
      <c r="W10" s="2" t="s">
        <v>6</v>
      </c>
      <c r="X10" t="s">
        <v>966</v>
      </c>
      <c r="Y10" s="3">
        <f t="shared" si="6"/>
        <v>56</v>
      </c>
      <c r="Z10">
        <v>38</v>
      </c>
      <c r="AA10">
        <v>14</v>
      </c>
      <c r="AB10">
        <v>14</v>
      </c>
      <c r="AC10">
        <f t="shared" si="7"/>
        <v>10</v>
      </c>
      <c r="AD10">
        <v>44</v>
      </c>
      <c r="AE10">
        <v>37</v>
      </c>
      <c r="AF10">
        <f t="shared" si="8"/>
        <v>7</v>
      </c>
    </row>
    <row r="11" spans="1:43" x14ac:dyDescent="0.3">
      <c r="A11" t="s">
        <v>8</v>
      </c>
      <c r="B11" t="s">
        <v>901</v>
      </c>
      <c r="C11" s="3">
        <f t="shared" si="0"/>
        <v>53</v>
      </c>
      <c r="D11">
        <v>38</v>
      </c>
      <c r="E11">
        <v>15</v>
      </c>
      <c r="F11">
        <v>8</v>
      </c>
      <c r="G11">
        <f t="shared" si="2"/>
        <v>15</v>
      </c>
      <c r="H11">
        <v>49</v>
      </c>
      <c r="I11">
        <v>46</v>
      </c>
      <c r="J11">
        <f t="shared" si="3"/>
        <v>3</v>
      </c>
      <c r="L11" t="s">
        <v>8</v>
      </c>
      <c r="M11" t="s">
        <v>927</v>
      </c>
      <c r="N11" s="3">
        <f t="shared" si="1"/>
        <v>49</v>
      </c>
      <c r="O11">
        <v>38</v>
      </c>
      <c r="P11">
        <v>12</v>
      </c>
      <c r="Q11">
        <v>13</v>
      </c>
      <c r="R11">
        <f t="shared" si="4"/>
        <v>13</v>
      </c>
      <c r="S11">
        <v>55</v>
      </c>
      <c r="T11">
        <v>54</v>
      </c>
      <c r="U11">
        <f t="shared" si="5"/>
        <v>1</v>
      </c>
      <c r="W11" s="2" t="s">
        <v>7</v>
      </c>
      <c r="X11" t="s">
        <v>967</v>
      </c>
      <c r="Y11" s="3">
        <f t="shared" si="6"/>
        <v>55</v>
      </c>
      <c r="Z11">
        <v>38</v>
      </c>
      <c r="AA11">
        <v>15</v>
      </c>
      <c r="AB11">
        <v>10</v>
      </c>
      <c r="AC11">
        <f t="shared" si="7"/>
        <v>13</v>
      </c>
      <c r="AD11">
        <v>35</v>
      </c>
      <c r="AE11">
        <v>26</v>
      </c>
      <c r="AF11">
        <f t="shared" si="8"/>
        <v>9</v>
      </c>
    </row>
    <row r="12" spans="1:43" x14ac:dyDescent="0.3">
      <c r="A12" t="s">
        <v>9</v>
      </c>
      <c r="B12" t="s">
        <v>902</v>
      </c>
      <c r="C12" s="3">
        <f t="shared" si="0"/>
        <v>53</v>
      </c>
      <c r="D12">
        <v>38</v>
      </c>
      <c r="E12">
        <v>15</v>
      </c>
      <c r="F12">
        <v>8</v>
      </c>
      <c r="G12">
        <f t="shared" si="2"/>
        <v>15</v>
      </c>
      <c r="H12">
        <v>51</v>
      </c>
      <c r="I12">
        <v>52</v>
      </c>
      <c r="J12">
        <f t="shared" si="3"/>
        <v>-1</v>
      </c>
      <c r="L12" t="s">
        <v>9</v>
      </c>
      <c r="M12" t="s">
        <v>928</v>
      </c>
      <c r="N12" s="3">
        <f t="shared" si="1"/>
        <v>49</v>
      </c>
      <c r="O12">
        <v>38</v>
      </c>
      <c r="P12">
        <v>11</v>
      </c>
      <c r="Q12">
        <v>16</v>
      </c>
      <c r="R12">
        <f t="shared" si="4"/>
        <v>11</v>
      </c>
      <c r="S12">
        <v>46</v>
      </c>
      <c r="T12">
        <v>51</v>
      </c>
      <c r="U12">
        <f t="shared" si="5"/>
        <v>-5</v>
      </c>
      <c r="W12" s="2" t="s">
        <v>8</v>
      </c>
      <c r="X12" t="s">
        <v>968</v>
      </c>
      <c r="Y12" s="3">
        <f t="shared" si="6"/>
        <v>51</v>
      </c>
      <c r="Z12">
        <v>38</v>
      </c>
      <c r="AA12">
        <v>14</v>
      </c>
      <c r="AB12">
        <v>9</v>
      </c>
      <c r="AC12">
        <f t="shared" si="7"/>
        <v>15</v>
      </c>
      <c r="AD12">
        <v>50</v>
      </c>
      <c r="AE12">
        <v>49</v>
      </c>
      <c r="AF12">
        <f t="shared" si="8"/>
        <v>1</v>
      </c>
    </row>
    <row r="13" spans="1:43" x14ac:dyDescent="0.3">
      <c r="A13" t="s">
        <v>10</v>
      </c>
      <c r="B13" t="s">
        <v>903</v>
      </c>
      <c r="C13" s="3">
        <f t="shared" si="0"/>
        <v>51</v>
      </c>
      <c r="D13">
        <v>38</v>
      </c>
      <c r="E13">
        <v>15</v>
      </c>
      <c r="F13">
        <v>6</v>
      </c>
      <c r="G13">
        <f t="shared" si="2"/>
        <v>17</v>
      </c>
      <c r="H13">
        <v>51</v>
      </c>
      <c r="I13">
        <v>56</v>
      </c>
      <c r="J13">
        <f t="shared" si="3"/>
        <v>-5</v>
      </c>
      <c r="L13" t="s">
        <v>10</v>
      </c>
      <c r="M13" t="s">
        <v>929</v>
      </c>
      <c r="N13" s="3">
        <f t="shared" si="1"/>
        <v>46</v>
      </c>
      <c r="O13">
        <v>38</v>
      </c>
      <c r="P13">
        <v>12</v>
      </c>
      <c r="Q13">
        <v>10</v>
      </c>
      <c r="R13">
        <f t="shared" si="4"/>
        <v>16</v>
      </c>
      <c r="S13">
        <v>44</v>
      </c>
      <c r="T13">
        <v>60</v>
      </c>
      <c r="U13">
        <f t="shared" si="5"/>
        <v>-16</v>
      </c>
      <c r="W13" s="2" t="s">
        <v>9</v>
      </c>
      <c r="X13" t="s">
        <v>969</v>
      </c>
      <c r="Y13" s="3">
        <f t="shared" si="6"/>
        <v>50</v>
      </c>
      <c r="Z13">
        <v>38</v>
      </c>
      <c r="AA13">
        <v>13</v>
      </c>
      <c r="AB13">
        <v>11</v>
      </c>
      <c r="AC13">
        <f t="shared" si="7"/>
        <v>14</v>
      </c>
      <c r="AD13">
        <v>39</v>
      </c>
      <c r="AE13">
        <v>41</v>
      </c>
      <c r="AF13">
        <f t="shared" si="8"/>
        <v>-2</v>
      </c>
    </row>
    <row r="14" spans="1:43" x14ac:dyDescent="0.3">
      <c r="A14" t="s">
        <v>11</v>
      </c>
      <c r="B14" t="s">
        <v>904</v>
      </c>
      <c r="C14" s="3">
        <f t="shared" si="0"/>
        <v>48</v>
      </c>
      <c r="D14">
        <v>38</v>
      </c>
      <c r="E14">
        <v>12</v>
      </c>
      <c r="F14">
        <v>12</v>
      </c>
      <c r="G14">
        <f t="shared" si="2"/>
        <v>14</v>
      </c>
      <c r="H14">
        <v>35</v>
      </c>
      <c r="I14">
        <v>47</v>
      </c>
      <c r="J14">
        <f t="shared" si="3"/>
        <v>-12</v>
      </c>
      <c r="L14" t="s">
        <v>11</v>
      </c>
      <c r="M14" t="s">
        <v>930</v>
      </c>
      <c r="N14" s="3">
        <f t="shared" si="1"/>
        <v>44</v>
      </c>
      <c r="O14">
        <v>38</v>
      </c>
      <c r="P14">
        <v>12</v>
      </c>
      <c r="Q14">
        <v>8</v>
      </c>
      <c r="R14">
        <f t="shared" si="4"/>
        <v>18</v>
      </c>
      <c r="S14">
        <v>42</v>
      </c>
      <c r="T14">
        <v>51</v>
      </c>
      <c r="U14">
        <f t="shared" si="5"/>
        <v>-9</v>
      </c>
      <c r="W14" t="s">
        <v>10</v>
      </c>
      <c r="X14" t="s">
        <v>970</v>
      </c>
      <c r="Y14" s="3">
        <f t="shared" si="6"/>
        <v>49</v>
      </c>
      <c r="Z14">
        <v>38</v>
      </c>
      <c r="AA14">
        <v>11</v>
      </c>
      <c r="AB14">
        <v>16</v>
      </c>
      <c r="AC14">
        <f t="shared" si="7"/>
        <v>11</v>
      </c>
      <c r="AD14">
        <v>43</v>
      </c>
      <c r="AE14">
        <v>43</v>
      </c>
      <c r="AF14">
        <f t="shared" si="8"/>
        <v>0</v>
      </c>
    </row>
    <row r="15" spans="1:43" x14ac:dyDescent="0.3">
      <c r="A15" t="s">
        <v>69</v>
      </c>
      <c r="B15" t="s">
        <v>905</v>
      </c>
      <c r="C15" s="3">
        <f t="shared" si="0"/>
        <v>46</v>
      </c>
      <c r="D15">
        <v>38</v>
      </c>
      <c r="E15">
        <v>13</v>
      </c>
      <c r="F15">
        <v>7</v>
      </c>
      <c r="G15">
        <f t="shared" si="2"/>
        <v>18</v>
      </c>
      <c r="H15">
        <v>47</v>
      </c>
      <c r="I15">
        <v>63</v>
      </c>
      <c r="J15">
        <f t="shared" si="3"/>
        <v>-16</v>
      </c>
      <c r="L15" t="s">
        <v>69</v>
      </c>
      <c r="M15" t="s">
        <v>931</v>
      </c>
      <c r="N15" s="3">
        <f t="shared" si="1"/>
        <v>44</v>
      </c>
      <c r="O15">
        <v>38</v>
      </c>
      <c r="P15">
        <v>11</v>
      </c>
      <c r="Q15">
        <v>11</v>
      </c>
      <c r="R15">
        <f t="shared" si="4"/>
        <v>16</v>
      </c>
      <c r="S15">
        <v>37</v>
      </c>
      <c r="T15">
        <v>47</v>
      </c>
      <c r="U15">
        <f t="shared" si="5"/>
        <v>-10</v>
      </c>
      <c r="W15" t="s">
        <v>11</v>
      </c>
      <c r="X15" t="s">
        <v>971</v>
      </c>
      <c r="Y15" s="3">
        <f t="shared" si="6"/>
        <v>47</v>
      </c>
      <c r="Z15">
        <v>38</v>
      </c>
      <c r="AA15">
        <v>9</v>
      </c>
      <c r="AB15">
        <v>20</v>
      </c>
      <c r="AC15">
        <f t="shared" si="7"/>
        <v>9</v>
      </c>
      <c r="AD15">
        <v>39</v>
      </c>
      <c r="AE15">
        <v>38</v>
      </c>
      <c r="AF15">
        <f t="shared" si="8"/>
        <v>1</v>
      </c>
    </row>
    <row r="16" spans="1:43" x14ac:dyDescent="0.3">
      <c r="A16" t="s">
        <v>70</v>
      </c>
      <c r="B16" t="s">
        <v>906</v>
      </c>
      <c r="C16" s="3">
        <f t="shared" si="0"/>
        <v>45</v>
      </c>
      <c r="D16">
        <v>38</v>
      </c>
      <c r="E16">
        <v>11</v>
      </c>
      <c r="F16">
        <v>12</v>
      </c>
      <c r="G16">
        <f t="shared" si="2"/>
        <v>15</v>
      </c>
      <c r="H16">
        <v>46</v>
      </c>
      <c r="I16">
        <v>49</v>
      </c>
      <c r="J16">
        <f t="shared" si="3"/>
        <v>-3</v>
      </c>
      <c r="L16" t="s">
        <v>70</v>
      </c>
      <c r="M16" t="s">
        <v>932</v>
      </c>
      <c r="N16" s="3">
        <f t="shared" si="1"/>
        <v>43</v>
      </c>
      <c r="O16">
        <v>38</v>
      </c>
      <c r="P16">
        <v>10</v>
      </c>
      <c r="Q16">
        <v>13</v>
      </c>
      <c r="R16">
        <f t="shared" si="4"/>
        <v>15</v>
      </c>
      <c r="S16">
        <v>48</v>
      </c>
      <c r="T16">
        <v>55</v>
      </c>
      <c r="U16">
        <f t="shared" si="5"/>
        <v>-7</v>
      </c>
      <c r="W16" t="s">
        <v>69</v>
      </c>
      <c r="X16" t="s">
        <v>972</v>
      </c>
      <c r="Y16" s="3">
        <f t="shared" si="6"/>
        <v>47</v>
      </c>
      <c r="Z16">
        <v>38</v>
      </c>
      <c r="AA16">
        <v>12</v>
      </c>
      <c r="AB16">
        <v>11</v>
      </c>
      <c r="AC16">
        <f t="shared" si="7"/>
        <v>15</v>
      </c>
      <c r="AD16">
        <v>49</v>
      </c>
      <c r="AE16">
        <v>50</v>
      </c>
      <c r="AF16">
        <f t="shared" si="8"/>
        <v>-1</v>
      </c>
    </row>
    <row r="17" spans="1:32" x14ac:dyDescent="0.3">
      <c r="A17" t="s">
        <v>71</v>
      </c>
      <c r="B17" t="s">
        <v>907</v>
      </c>
      <c r="C17" s="3">
        <f t="shared" si="0"/>
        <v>42</v>
      </c>
      <c r="D17">
        <v>38</v>
      </c>
      <c r="E17">
        <v>11</v>
      </c>
      <c r="F17">
        <v>9</v>
      </c>
      <c r="G17">
        <f t="shared" si="2"/>
        <v>18</v>
      </c>
      <c r="H17">
        <v>49</v>
      </c>
      <c r="I17">
        <v>56</v>
      </c>
      <c r="J17">
        <f t="shared" si="3"/>
        <v>-7</v>
      </c>
      <c r="L17" t="s">
        <v>71</v>
      </c>
      <c r="M17" t="s">
        <v>933</v>
      </c>
      <c r="N17" s="3">
        <f t="shared" si="1"/>
        <v>43</v>
      </c>
      <c r="O17">
        <v>38</v>
      </c>
      <c r="P17">
        <v>11</v>
      </c>
      <c r="Q17">
        <v>10</v>
      </c>
      <c r="R17">
        <f t="shared" si="4"/>
        <v>17</v>
      </c>
      <c r="S17">
        <v>38</v>
      </c>
      <c r="T17">
        <v>51</v>
      </c>
      <c r="U17">
        <f t="shared" si="5"/>
        <v>-13</v>
      </c>
      <c r="W17" t="s">
        <v>70</v>
      </c>
      <c r="X17" t="s">
        <v>973</v>
      </c>
      <c r="Y17" s="3">
        <f t="shared" si="6"/>
        <v>46</v>
      </c>
      <c r="Z17">
        <v>38</v>
      </c>
      <c r="AA17">
        <v>11</v>
      </c>
      <c r="AB17">
        <v>13</v>
      </c>
      <c r="AC17">
        <f t="shared" si="7"/>
        <v>14</v>
      </c>
      <c r="AD17">
        <v>44</v>
      </c>
      <c r="AE17">
        <v>48</v>
      </c>
      <c r="AF17">
        <f t="shared" si="8"/>
        <v>-4</v>
      </c>
    </row>
    <row r="18" spans="1:32" x14ac:dyDescent="0.3">
      <c r="A18" t="s">
        <v>72</v>
      </c>
      <c r="B18" t="s">
        <v>908</v>
      </c>
      <c r="C18" s="3">
        <f t="shared" si="0"/>
        <v>42</v>
      </c>
      <c r="D18">
        <v>38</v>
      </c>
      <c r="E18">
        <v>10</v>
      </c>
      <c r="F18">
        <v>12</v>
      </c>
      <c r="G18">
        <f t="shared" si="2"/>
        <v>16</v>
      </c>
      <c r="H18">
        <v>44</v>
      </c>
      <c r="I18">
        <v>53</v>
      </c>
      <c r="J18">
        <f t="shared" si="3"/>
        <v>-9</v>
      </c>
      <c r="L18" s="8" t="s">
        <v>72</v>
      </c>
      <c r="M18" t="s">
        <v>934</v>
      </c>
      <c r="N18" s="3">
        <f t="shared" si="1"/>
        <v>42</v>
      </c>
      <c r="O18">
        <v>38</v>
      </c>
      <c r="P18">
        <v>10</v>
      </c>
      <c r="Q18">
        <v>12</v>
      </c>
      <c r="R18">
        <f t="shared" si="4"/>
        <v>16</v>
      </c>
      <c r="S18">
        <v>40</v>
      </c>
      <c r="T18">
        <v>53</v>
      </c>
      <c r="U18">
        <f t="shared" si="5"/>
        <v>-13</v>
      </c>
      <c r="W18" t="s">
        <v>71</v>
      </c>
      <c r="X18" t="s">
        <v>974</v>
      </c>
      <c r="Y18" s="3">
        <f t="shared" si="6"/>
        <v>45</v>
      </c>
      <c r="Z18">
        <v>38</v>
      </c>
      <c r="AA18">
        <v>12</v>
      </c>
      <c r="AB18">
        <v>9</v>
      </c>
      <c r="AC18">
        <f t="shared" si="7"/>
        <v>17</v>
      </c>
      <c r="AD18">
        <v>42</v>
      </c>
      <c r="AE18">
        <v>58</v>
      </c>
      <c r="AF18">
        <f t="shared" si="8"/>
        <v>-16</v>
      </c>
    </row>
    <row r="19" spans="1:32" x14ac:dyDescent="0.3">
      <c r="A19" t="s">
        <v>255</v>
      </c>
      <c r="B19" t="s">
        <v>909</v>
      </c>
      <c r="C19" s="3">
        <f t="shared" si="0"/>
        <v>40</v>
      </c>
      <c r="D19">
        <v>38</v>
      </c>
      <c r="E19">
        <v>11</v>
      </c>
      <c r="F19">
        <v>7</v>
      </c>
      <c r="G19">
        <f t="shared" si="2"/>
        <v>20</v>
      </c>
      <c r="H19">
        <v>29</v>
      </c>
      <c r="I19">
        <v>50</v>
      </c>
      <c r="J19">
        <f t="shared" si="3"/>
        <v>-21</v>
      </c>
      <c r="L19" s="8" t="s">
        <v>255</v>
      </c>
      <c r="M19" t="s">
        <v>935</v>
      </c>
      <c r="N19" s="3">
        <f t="shared" si="1"/>
        <v>39</v>
      </c>
      <c r="O19">
        <v>38</v>
      </c>
      <c r="P19">
        <v>9</v>
      </c>
      <c r="Q19">
        <v>12</v>
      </c>
      <c r="R19">
        <f t="shared" si="4"/>
        <v>17</v>
      </c>
      <c r="S19">
        <v>53</v>
      </c>
      <c r="T19">
        <v>67</v>
      </c>
      <c r="U19">
        <f t="shared" si="5"/>
        <v>-14</v>
      </c>
      <c r="W19" t="s">
        <v>72</v>
      </c>
      <c r="X19" t="s">
        <v>975</v>
      </c>
      <c r="Y19" s="3">
        <f t="shared" si="6"/>
        <v>44</v>
      </c>
      <c r="Z19">
        <v>38</v>
      </c>
      <c r="AA19">
        <v>12</v>
      </c>
      <c r="AB19">
        <v>8</v>
      </c>
      <c r="AC19">
        <f t="shared" si="7"/>
        <v>18</v>
      </c>
      <c r="AD19">
        <v>38</v>
      </c>
      <c r="AE19">
        <v>55</v>
      </c>
      <c r="AF19">
        <f t="shared" si="8"/>
        <v>-17</v>
      </c>
    </row>
    <row r="20" spans="1:32" x14ac:dyDescent="0.3">
      <c r="A20" s="7" t="s">
        <v>256</v>
      </c>
      <c r="B20" t="s">
        <v>910</v>
      </c>
      <c r="C20" s="3">
        <f t="shared" si="0"/>
        <v>35</v>
      </c>
      <c r="D20">
        <v>38</v>
      </c>
      <c r="E20">
        <v>8</v>
      </c>
      <c r="F20">
        <v>11</v>
      </c>
      <c r="G20">
        <f t="shared" si="2"/>
        <v>19</v>
      </c>
      <c r="H20">
        <v>36</v>
      </c>
      <c r="I20">
        <v>60</v>
      </c>
      <c r="J20">
        <f t="shared" si="3"/>
        <v>-24</v>
      </c>
      <c r="L20" s="7" t="s">
        <v>256</v>
      </c>
      <c r="M20" t="s">
        <v>937</v>
      </c>
      <c r="N20" s="3">
        <f t="shared" si="1"/>
        <v>39</v>
      </c>
      <c r="O20">
        <v>38</v>
      </c>
      <c r="P20">
        <v>9</v>
      </c>
      <c r="Q20">
        <v>12</v>
      </c>
      <c r="R20">
        <f t="shared" si="4"/>
        <v>17</v>
      </c>
      <c r="S20">
        <v>38</v>
      </c>
      <c r="T20">
        <v>58</v>
      </c>
      <c r="U20">
        <f t="shared" si="5"/>
        <v>-20</v>
      </c>
      <c r="W20" t="s">
        <v>255</v>
      </c>
      <c r="X20" t="s">
        <v>976</v>
      </c>
      <c r="Y20" s="3">
        <f t="shared" si="6"/>
        <v>40</v>
      </c>
      <c r="Z20">
        <v>38</v>
      </c>
      <c r="AA20">
        <v>10</v>
      </c>
      <c r="AB20">
        <v>10</v>
      </c>
      <c r="AC20">
        <f t="shared" si="7"/>
        <v>18</v>
      </c>
      <c r="AD20">
        <v>35</v>
      </c>
      <c r="AE20">
        <v>52</v>
      </c>
      <c r="AF20">
        <f t="shared" si="8"/>
        <v>-17</v>
      </c>
    </row>
    <row r="21" spans="1:32" x14ac:dyDescent="0.3">
      <c r="A21" s="7" t="s">
        <v>277</v>
      </c>
      <c r="B21" t="s">
        <v>911</v>
      </c>
      <c r="C21" s="3">
        <f t="shared" si="0"/>
        <v>26</v>
      </c>
      <c r="D21">
        <v>38</v>
      </c>
      <c r="E21">
        <v>5</v>
      </c>
      <c r="F21">
        <v>11</v>
      </c>
      <c r="G21">
        <f t="shared" si="2"/>
        <v>22</v>
      </c>
      <c r="H21">
        <v>33</v>
      </c>
      <c r="I21">
        <v>66</v>
      </c>
      <c r="J21">
        <f t="shared" si="3"/>
        <v>-33</v>
      </c>
      <c r="L21" s="7" t="s">
        <v>277</v>
      </c>
      <c r="M21" t="s">
        <v>936</v>
      </c>
      <c r="N21" s="3">
        <f t="shared" si="1"/>
        <v>37</v>
      </c>
      <c r="O21">
        <v>38</v>
      </c>
      <c r="P21">
        <v>9</v>
      </c>
      <c r="Q21">
        <v>10</v>
      </c>
      <c r="R21">
        <f t="shared" si="4"/>
        <v>19</v>
      </c>
      <c r="S21">
        <v>41</v>
      </c>
      <c r="T21">
        <v>61</v>
      </c>
      <c r="U21">
        <f t="shared" si="5"/>
        <v>-20</v>
      </c>
      <c r="W21" t="s">
        <v>256</v>
      </c>
      <c r="X21" t="s">
        <v>977</v>
      </c>
      <c r="Y21" s="3">
        <f t="shared" si="6"/>
        <v>26</v>
      </c>
      <c r="Z21">
        <v>38</v>
      </c>
      <c r="AA21">
        <v>4</v>
      </c>
      <c r="AB21">
        <v>14</v>
      </c>
      <c r="AC21">
        <f t="shared" si="7"/>
        <v>20</v>
      </c>
      <c r="AD21">
        <v>32</v>
      </c>
      <c r="AE21">
        <v>59</v>
      </c>
      <c r="AF21">
        <f t="shared" si="8"/>
        <v>-27</v>
      </c>
    </row>
    <row r="22" spans="1:32" x14ac:dyDescent="0.3">
      <c r="A22" s="7" t="s">
        <v>278</v>
      </c>
      <c r="B22" t="s">
        <v>912</v>
      </c>
      <c r="C22" s="3">
        <f t="shared" si="0"/>
        <v>23</v>
      </c>
      <c r="D22">
        <v>38</v>
      </c>
      <c r="E22">
        <v>3</v>
      </c>
      <c r="F22">
        <v>14</v>
      </c>
      <c r="G22">
        <f t="shared" si="2"/>
        <v>21</v>
      </c>
      <c r="H22">
        <v>29</v>
      </c>
      <c r="I22">
        <v>65</v>
      </c>
      <c r="J22">
        <f t="shared" si="3"/>
        <v>-36</v>
      </c>
      <c r="L22" s="7" t="s">
        <v>278</v>
      </c>
      <c r="M22" t="s">
        <v>938</v>
      </c>
      <c r="N22" s="3">
        <f t="shared" si="1"/>
        <v>36</v>
      </c>
      <c r="O22">
        <v>38</v>
      </c>
      <c r="P22">
        <v>9</v>
      </c>
      <c r="Q22">
        <v>9</v>
      </c>
      <c r="R22">
        <f t="shared" si="4"/>
        <v>20</v>
      </c>
      <c r="S22">
        <v>35</v>
      </c>
      <c r="T22">
        <v>56</v>
      </c>
      <c r="U22">
        <f t="shared" si="5"/>
        <v>-21</v>
      </c>
      <c r="W22" t="s">
        <v>277</v>
      </c>
      <c r="X22" t="s">
        <v>978</v>
      </c>
      <c r="Y22" s="3">
        <f t="shared" si="6"/>
        <v>21</v>
      </c>
      <c r="Z22">
        <v>38</v>
      </c>
      <c r="AA22">
        <v>3</v>
      </c>
      <c r="AB22">
        <v>12</v>
      </c>
      <c r="AC22">
        <f t="shared" si="7"/>
        <v>23</v>
      </c>
      <c r="AD22">
        <v>32</v>
      </c>
      <c r="AE22">
        <v>71</v>
      </c>
      <c r="AF22">
        <f t="shared" si="8"/>
        <v>-39</v>
      </c>
    </row>
    <row r="23" spans="1:32" x14ac:dyDescent="0.3">
      <c r="W23" t="s">
        <v>278</v>
      </c>
      <c r="X23" t="s">
        <v>979</v>
      </c>
      <c r="Y23" s="3">
        <f>AA23*3+AB23-23</f>
        <v>17</v>
      </c>
      <c r="Z23">
        <v>38</v>
      </c>
      <c r="AA23">
        <v>10</v>
      </c>
      <c r="AB23">
        <v>10</v>
      </c>
      <c r="AC23">
        <f t="shared" si="7"/>
        <v>18</v>
      </c>
      <c r="AD23">
        <v>48</v>
      </c>
      <c r="AE23">
        <v>53</v>
      </c>
      <c r="AF23">
        <f t="shared" si="8"/>
        <v>-5</v>
      </c>
    </row>
    <row r="24" spans="1:32" x14ac:dyDescent="0.3">
      <c r="L24" t="s">
        <v>593</v>
      </c>
    </row>
    <row r="25" spans="1:32" x14ac:dyDescent="0.3">
      <c r="L25" t="s">
        <v>39</v>
      </c>
      <c r="W25" t="s">
        <v>916</v>
      </c>
    </row>
    <row r="26" spans="1:32" x14ac:dyDescent="0.3">
      <c r="L26" t="str">
        <f>M7</f>
        <v>Catanzaro</v>
      </c>
      <c r="M26" t="s">
        <v>43</v>
      </c>
      <c r="N26" t="str">
        <f>M10</f>
        <v>Cesena</v>
      </c>
      <c r="W26" t="s">
        <v>12</v>
      </c>
      <c r="X26" t="s">
        <v>13</v>
      </c>
      <c r="Y26" t="s">
        <v>14</v>
      </c>
      <c r="Z26" t="s">
        <v>15</v>
      </c>
      <c r="AA26" t="s">
        <v>16</v>
      </c>
      <c r="AB26" t="s">
        <v>17</v>
      </c>
      <c r="AC26" t="s">
        <v>18</v>
      </c>
      <c r="AD26" t="s">
        <v>20</v>
      </c>
      <c r="AE26" t="s">
        <v>21</v>
      </c>
      <c r="AF26" t="s">
        <v>19</v>
      </c>
    </row>
    <row r="27" spans="1:32" x14ac:dyDescent="0.3">
      <c r="L27" t="str">
        <f>M8</f>
        <v>Modena</v>
      </c>
      <c r="M27" t="s">
        <v>939</v>
      </c>
      <c r="N27" t="str">
        <f>M9</f>
        <v>Südtirol</v>
      </c>
      <c r="W27" s="1" t="s">
        <v>0</v>
      </c>
      <c r="X27" t="s">
        <v>941</v>
      </c>
      <c r="Y27" s="3">
        <f t="shared" ref="Y27:Y45" si="9">AA27*3+AB27</f>
        <v>74</v>
      </c>
      <c r="Z27">
        <v>38</v>
      </c>
      <c r="AA27">
        <v>22</v>
      </c>
      <c r="AB27">
        <v>8</v>
      </c>
      <c r="AC27">
        <f>Z27-AA27-AB27</f>
        <v>8</v>
      </c>
      <c r="AD27">
        <v>56</v>
      </c>
      <c r="AE27">
        <v>25</v>
      </c>
      <c r="AF27">
        <f>AD27-AE27</f>
        <v>31</v>
      </c>
    </row>
    <row r="28" spans="1:32" x14ac:dyDescent="0.3">
      <c r="W28" s="2" t="s">
        <v>1</v>
      </c>
      <c r="X28" t="s">
        <v>942</v>
      </c>
      <c r="Y28" s="3">
        <f t="shared" si="9"/>
        <v>73</v>
      </c>
      <c r="Z28">
        <v>38</v>
      </c>
      <c r="AA28">
        <v>21</v>
      </c>
      <c r="AB28">
        <v>10</v>
      </c>
      <c r="AC28">
        <f t="shared" ref="AC28:AC45" si="10">Z28-AA28-AB28</f>
        <v>7</v>
      </c>
      <c r="AD28">
        <v>62</v>
      </c>
      <c r="AE28">
        <v>26</v>
      </c>
      <c r="AF28">
        <f t="shared" ref="AF28:AF45" si="11">AD28-AE28</f>
        <v>36</v>
      </c>
    </row>
    <row r="29" spans="1:32" x14ac:dyDescent="0.3">
      <c r="L29" t="s">
        <v>40</v>
      </c>
      <c r="W29" s="2" t="s">
        <v>2</v>
      </c>
      <c r="X29" t="s">
        <v>943</v>
      </c>
      <c r="Y29" s="3">
        <f t="shared" si="9"/>
        <v>71</v>
      </c>
      <c r="Z29">
        <v>38</v>
      </c>
      <c r="AA29">
        <v>21</v>
      </c>
      <c r="AB29">
        <v>8</v>
      </c>
      <c r="AC29">
        <f t="shared" si="10"/>
        <v>9</v>
      </c>
      <c r="AD29">
        <v>53</v>
      </c>
      <c r="AE29">
        <v>33</v>
      </c>
      <c r="AF29">
        <f t="shared" si="11"/>
        <v>20</v>
      </c>
    </row>
    <row r="30" spans="1:32" x14ac:dyDescent="0.3">
      <c r="L30" t="s">
        <v>926</v>
      </c>
      <c r="M30" t="s">
        <v>43</v>
      </c>
      <c r="N30" t="str">
        <f>M5</f>
        <v>Venezia</v>
      </c>
      <c r="P30" t="str">
        <f>M5</f>
        <v>Venezia</v>
      </c>
      <c r="Q30" t="s">
        <v>940</v>
      </c>
      <c r="R30" t="s">
        <v>926</v>
      </c>
      <c r="W30" s="2" t="s">
        <v>3</v>
      </c>
      <c r="X30" t="s">
        <v>944</v>
      </c>
      <c r="Y30" s="3">
        <f t="shared" si="9"/>
        <v>55</v>
      </c>
      <c r="Z30">
        <v>38</v>
      </c>
      <c r="AA30">
        <v>15</v>
      </c>
      <c r="AB30">
        <v>10</v>
      </c>
      <c r="AC30">
        <f t="shared" si="10"/>
        <v>13</v>
      </c>
      <c r="AD30">
        <v>50</v>
      </c>
      <c r="AE30">
        <v>42</v>
      </c>
      <c r="AF30">
        <f t="shared" si="11"/>
        <v>8</v>
      </c>
    </row>
    <row r="31" spans="1:32" x14ac:dyDescent="0.3">
      <c r="L31" t="s">
        <v>923</v>
      </c>
      <c r="M31" t="s">
        <v>37</v>
      </c>
      <c r="N31" t="str">
        <f>M6</f>
        <v>Palermo</v>
      </c>
      <c r="P31" t="str">
        <f>M6</f>
        <v>Palermo</v>
      </c>
      <c r="Q31" t="s">
        <v>205</v>
      </c>
      <c r="R31" t="s">
        <v>923</v>
      </c>
      <c r="W31" s="2" t="s">
        <v>4</v>
      </c>
      <c r="X31" t="s">
        <v>945</v>
      </c>
      <c r="Y31" s="3">
        <f t="shared" si="9"/>
        <v>52</v>
      </c>
      <c r="Z31">
        <v>38</v>
      </c>
      <c r="AA31">
        <v>14</v>
      </c>
      <c r="AB31">
        <v>10</v>
      </c>
      <c r="AC31">
        <f t="shared" si="10"/>
        <v>14</v>
      </c>
      <c r="AD31">
        <v>49</v>
      </c>
      <c r="AE31">
        <v>45</v>
      </c>
      <c r="AF31">
        <f t="shared" si="11"/>
        <v>4</v>
      </c>
    </row>
    <row r="32" spans="1:32" x14ac:dyDescent="0.3">
      <c r="W32" s="2" t="s">
        <v>5</v>
      </c>
      <c r="X32" t="s">
        <v>946</v>
      </c>
      <c r="Y32" s="3">
        <f t="shared" si="9"/>
        <v>52</v>
      </c>
      <c r="Z32">
        <v>38</v>
      </c>
      <c r="AA32">
        <v>14</v>
      </c>
      <c r="AB32">
        <v>10</v>
      </c>
      <c r="AC32">
        <f t="shared" si="10"/>
        <v>14</v>
      </c>
      <c r="AD32">
        <v>44</v>
      </c>
      <c r="AE32">
        <v>44</v>
      </c>
      <c r="AF32">
        <f t="shared" si="11"/>
        <v>0</v>
      </c>
    </row>
    <row r="33" spans="12:32" x14ac:dyDescent="0.3">
      <c r="L33" t="s">
        <v>46</v>
      </c>
      <c r="W33" s="2" t="s">
        <v>6</v>
      </c>
      <c r="X33" t="s">
        <v>947</v>
      </c>
      <c r="Y33" s="3">
        <f>AA33*3+AB33-5</f>
        <v>51</v>
      </c>
      <c r="Z33">
        <v>38</v>
      </c>
      <c r="AA33">
        <v>15</v>
      </c>
      <c r="AB33">
        <v>11</v>
      </c>
      <c r="AC33">
        <f t="shared" si="10"/>
        <v>12</v>
      </c>
      <c r="AD33">
        <v>45</v>
      </c>
      <c r="AE33">
        <v>38</v>
      </c>
      <c r="AF33">
        <f t="shared" si="11"/>
        <v>7</v>
      </c>
    </row>
    <row r="34" spans="12:32" x14ac:dyDescent="0.3">
      <c r="L34" t="s">
        <v>926</v>
      </c>
      <c r="M34" t="s">
        <v>43</v>
      </c>
      <c r="N34" t="s">
        <v>923</v>
      </c>
      <c r="P34" t="s">
        <v>923</v>
      </c>
      <c r="Q34" t="s">
        <v>206</v>
      </c>
      <c r="R34" t="s">
        <v>926</v>
      </c>
      <c r="W34" s="2" t="s">
        <v>7</v>
      </c>
      <c r="X34" t="s">
        <v>948</v>
      </c>
      <c r="Y34" s="3">
        <f t="shared" si="9"/>
        <v>50</v>
      </c>
      <c r="Z34">
        <v>38</v>
      </c>
      <c r="AA34">
        <v>12</v>
      </c>
      <c r="AB34">
        <v>14</v>
      </c>
      <c r="AC34">
        <f t="shared" si="10"/>
        <v>12</v>
      </c>
      <c r="AD34">
        <v>35</v>
      </c>
      <c r="AE34">
        <v>33</v>
      </c>
      <c r="AF34">
        <f t="shared" si="11"/>
        <v>2</v>
      </c>
    </row>
    <row r="35" spans="12:32" x14ac:dyDescent="0.3">
      <c r="W35" s="2" t="s">
        <v>8</v>
      </c>
      <c r="X35" t="s">
        <v>949</v>
      </c>
      <c r="Y35" s="3">
        <f t="shared" si="9"/>
        <v>48</v>
      </c>
      <c r="Z35">
        <v>38</v>
      </c>
      <c r="AA35">
        <v>11</v>
      </c>
      <c r="AB35">
        <v>15</v>
      </c>
      <c r="AC35">
        <f t="shared" si="10"/>
        <v>12</v>
      </c>
      <c r="AD35">
        <v>37</v>
      </c>
      <c r="AE35">
        <v>35</v>
      </c>
      <c r="AF35">
        <f t="shared" si="11"/>
        <v>2</v>
      </c>
    </row>
    <row r="36" spans="12:32" x14ac:dyDescent="0.3">
      <c r="L36" t="s">
        <v>299</v>
      </c>
      <c r="W36" s="2" t="s">
        <v>9</v>
      </c>
      <c r="X36" t="s">
        <v>950</v>
      </c>
      <c r="Y36" s="3">
        <f t="shared" si="9"/>
        <v>47</v>
      </c>
      <c r="Z36">
        <v>38</v>
      </c>
      <c r="AA36">
        <v>10</v>
      </c>
      <c r="AB36">
        <v>17</v>
      </c>
      <c r="AC36">
        <f t="shared" si="10"/>
        <v>11</v>
      </c>
      <c r="AD36">
        <v>39</v>
      </c>
      <c r="AE36">
        <v>39</v>
      </c>
      <c r="AF36">
        <f t="shared" si="11"/>
        <v>0</v>
      </c>
    </row>
    <row r="37" spans="12:32" x14ac:dyDescent="0.3">
      <c r="L37" t="str">
        <f>M19</f>
        <v>Pescara</v>
      </c>
      <c r="M37" t="s">
        <v>41</v>
      </c>
      <c r="N37" t="str">
        <f>M18</f>
        <v>Sampdoria</v>
      </c>
      <c r="P37" t="str">
        <f>M18</f>
        <v>Sampdoria</v>
      </c>
      <c r="Q37" t="s">
        <v>204</v>
      </c>
      <c r="R37" t="str">
        <f>M19</f>
        <v>Pescara</v>
      </c>
      <c r="W37" t="s">
        <v>10</v>
      </c>
      <c r="X37" t="s">
        <v>951</v>
      </c>
      <c r="Y37" s="3">
        <f t="shared" si="9"/>
        <v>43</v>
      </c>
      <c r="Z37">
        <v>38</v>
      </c>
      <c r="AA37">
        <v>10</v>
      </c>
      <c r="AB37">
        <v>13</v>
      </c>
      <c r="AC37">
        <f t="shared" si="10"/>
        <v>15</v>
      </c>
      <c r="AD37">
        <v>43</v>
      </c>
      <c r="AE37">
        <v>46</v>
      </c>
      <c r="AF37">
        <f t="shared" si="11"/>
        <v>-3</v>
      </c>
    </row>
    <row r="38" spans="12:32" x14ac:dyDescent="0.3">
      <c r="W38" t="s">
        <v>11</v>
      </c>
      <c r="X38" t="s">
        <v>952</v>
      </c>
      <c r="Y38" s="3">
        <f t="shared" si="9"/>
        <v>43</v>
      </c>
      <c r="Z38">
        <v>38</v>
      </c>
      <c r="AA38">
        <v>12</v>
      </c>
      <c r="AB38">
        <v>7</v>
      </c>
      <c r="AC38">
        <f t="shared" si="10"/>
        <v>19</v>
      </c>
      <c r="AD38">
        <v>38</v>
      </c>
      <c r="AE38">
        <v>51</v>
      </c>
      <c r="AF38">
        <f t="shared" si="11"/>
        <v>-13</v>
      </c>
    </row>
    <row r="39" spans="12:32" x14ac:dyDescent="0.3">
      <c r="W39" t="s">
        <v>69</v>
      </c>
      <c r="X39" t="s">
        <v>953</v>
      </c>
      <c r="Y39" s="3">
        <f t="shared" si="9"/>
        <v>42</v>
      </c>
      <c r="Z39">
        <v>38</v>
      </c>
      <c r="AA39">
        <v>9</v>
      </c>
      <c r="AB39">
        <v>15</v>
      </c>
      <c r="AC39">
        <f t="shared" si="10"/>
        <v>14</v>
      </c>
      <c r="AD39">
        <v>32</v>
      </c>
      <c r="AE39">
        <v>37</v>
      </c>
      <c r="AF39">
        <f t="shared" si="11"/>
        <v>-5</v>
      </c>
    </row>
    <row r="40" spans="12:32" x14ac:dyDescent="0.3">
      <c r="W40" t="s">
        <v>70</v>
      </c>
      <c r="X40" t="s">
        <v>954</v>
      </c>
      <c r="Y40" s="3">
        <f t="shared" si="9"/>
        <v>42</v>
      </c>
      <c r="Z40">
        <v>38</v>
      </c>
      <c r="AA40">
        <v>11</v>
      </c>
      <c r="AB40">
        <v>9</v>
      </c>
      <c r="AC40">
        <f t="shared" si="10"/>
        <v>18</v>
      </c>
      <c r="AD40">
        <v>44</v>
      </c>
      <c r="AE40">
        <v>51</v>
      </c>
      <c r="AF40">
        <f t="shared" si="11"/>
        <v>-7</v>
      </c>
    </row>
    <row r="41" spans="12:32" x14ac:dyDescent="0.3">
      <c r="W41" t="s">
        <v>71</v>
      </c>
      <c r="X41" t="s">
        <v>955</v>
      </c>
      <c r="Y41" s="3">
        <f t="shared" si="9"/>
        <v>38</v>
      </c>
      <c r="Z41">
        <v>38</v>
      </c>
      <c r="AA41">
        <v>9</v>
      </c>
      <c r="AB41">
        <v>11</v>
      </c>
      <c r="AC41">
        <f t="shared" si="10"/>
        <v>18</v>
      </c>
      <c r="AD41">
        <v>35</v>
      </c>
      <c r="AE41">
        <v>48</v>
      </c>
      <c r="AF41">
        <f t="shared" si="11"/>
        <v>-13</v>
      </c>
    </row>
    <row r="42" spans="12:32" x14ac:dyDescent="0.3">
      <c r="W42" t="s">
        <v>72</v>
      </c>
      <c r="X42" t="s">
        <v>956</v>
      </c>
      <c r="Y42" s="3">
        <f t="shared" si="9"/>
        <v>37</v>
      </c>
      <c r="Z42">
        <v>38</v>
      </c>
      <c r="AA42">
        <v>7</v>
      </c>
      <c r="AB42">
        <v>16</v>
      </c>
      <c r="AC42">
        <f t="shared" si="10"/>
        <v>15</v>
      </c>
      <c r="AD42">
        <v>33</v>
      </c>
      <c r="AE42">
        <v>46</v>
      </c>
      <c r="AF42">
        <f t="shared" si="11"/>
        <v>-13</v>
      </c>
    </row>
    <row r="43" spans="12:32" x14ac:dyDescent="0.3">
      <c r="W43" t="s">
        <v>255</v>
      </c>
      <c r="X43" t="s">
        <v>957</v>
      </c>
      <c r="Y43" s="3">
        <f t="shared" si="9"/>
        <v>36</v>
      </c>
      <c r="Z43">
        <v>38</v>
      </c>
      <c r="AA43">
        <v>8</v>
      </c>
      <c r="AB43">
        <v>12</v>
      </c>
      <c r="AC43">
        <f t="shared" si="10"/>
        <v>18</v>
      </c>
      <c r="AD43">
        <v>38</v>
      </c>
      <c r="AE43">
        <v>53</v>
      </c>
      <c r="AF43">
        <f t="shared" si="11"/>
        <v>-15</v>
      </c>
    </row>
    <row r="44" spans="12:32" x14ac:dyDescent="0.3">
      <c r="W44" t="s">
        <v>256</v>
      </c>
      <c r="X44" t="s">
        <v>958</v>
      </c>
      <c r="Y44" s="3">
        <f t="shared" si="9"/>
        <v>34</v>
      </c>
      <c r="Z44">
        <v>38</v>
      </c>
      <c r="AA44">
        <v>7</v>
      </c>
      <c r="AB44">
        <v>13</v>
      </c>
      <c r="AC44">
        <f t="shared" si="10"/>
        <v>18</v>
      </c>
      <c r="AD44">
        <v>26</v>
      </c>
      <c r="AE44">
        <v>35</v>
      </c>
      <c r="AF44">
        <f t="shared" si="11"/>
        <v>-9</v>
      </c>
    </row>
    <row r="45" spans="12:32" x14ac:dyDescent="0.3">
      <c r="W45" t="s">
        <v>277</v>
      </c>
      <c r="X45" t="s">
        <v>959</v>
      </c>
      <c r="Y45" s="3">
        <f t="shared" si="9"/>
        <v>23</v>
      </c>
      <c r="Z45">
        <v>38</v>
      </c>
      <c r="AA45">
        <v>4</v>
      </c>
      <c r="AB45">
        <v>11</v>
      </c>
      <c r="AC45">
        <f t="shared" si="10"/>
        <v>23</v>
      </c>
      <c r="AD45">
        <v>30</v>
      </c>
      <c r="AE45">
        <v>62</v>
      </c>
      <c r="AF45">
        <f t="shared" si="11"/>
        <v>-32</v>
      </c>
    </row>
    <row r="47" spans="12:32" x14ac:dyDescent="0.3">
      <c r="W47" t="s">
        <v>917</v>
      </c>
    </row>
    <row r="48" spans="12:32" x14ac:dyDescent="0.3">
      <c r="W48" t="s">
        <v>12</v>
      </c>
      <c r="X48" t="s">
        <v>13</v>
      </c>
      <c r="Y48" t="s">
        <v>14</v>
      </c>
      <c r="Z48" t="s">
        <v>15</v>
      </c>
      <c r="AA48" t="s">
        <v>16</v>
      </c>
      <c r="AB48" t="s">
        <v>17</v>
      </c>
      <c r="AC48" t="s">
        <v>18</v>
      </c>
      <c r="AD48" t="s">
        <v>20</v>
      </c>
      <c r="AE48" t="s">
        <v>21</v>
      </c>
      <c r="AF48" t="s">
        <v>19</v>
      </c>
    </row>
    <row r="49" spans="23:32" x14ac:dyDescent="0.3">
      <c r="W49" s="1" t="s">
        <v>0</v>
      </c>
      <c r="X49" t="s">
        <v>980</v>
      </c>
      <c r="Y49" s="3">
        <f t="shared" ref="Y49:Y66" si="12">AA49*3+AB49</f>
        <v>86</v>
      </c>
      <c r="Z49">
        <v>38</v>
      </c>
      <c r="AA49">
        <v>27</v>
      </c>
      <c r="AB49">
        <v>5</v>
      </c>
      <c r="AC49">
        <f>Z49-AA49-AB49</f>
        <v>6</v>
      </c>
      <c r="AD49">
        <v>76</v>
      </c>
      <c r="AE49">
        <v>27</v>
      </c>
      <c r="AF49">
        <f>AD49-AE49</f>
        <v>49</v>
      </c>
    </row>
    <row r="50" spans="23:32" x14ac:dyDescent="0.3">
      <c r="W50" s="2" t="s">
        <v>1</v>
      </c>
      <c r="X50" t="s">
        <v>981</v>
      </c>
      <c r="Y50" s="3">
        <f t="shared" si="12"/>
        <v>68</v>
      </c>
      <c r="Z50">
        <v>38</v>
      </c>
      <c r="AA50">
        <v>19</v>
      </c>
      <c r="AB50">
        <v>11</v>
      </c>
      <c r="AC50">
        <f t="shared" ref="AC50:AC68" si="13">Z50-AA50-AB50</f>
        <v>8</v>
      </c>
      <c r="AD50">
        <v>53</v>
      </c>
      <c r="AE50">
        <v>27</v>
      </c>
      <c r="AF50">
        <f t="shared" ref="AF50:AF68" si="14">AD50-AE50</f>
        <v>26</v>
      </c>
    </row>
    <row r="51" spans="23:32" x14ac:dyDescent="0.3">
      <c r="W51" s="2" t="s">
        <v>2</v>
      </c>
      <c r="X51" t="s">
        <v>982</v>
      </c>
      <c r="Y51" s="3">
        <f t="shared" si="12"/>
        <v>67</v>
      </c>
      <c r="Z51">
        <v>38</v>
      </c>
      <c r="AA51">
        <v>19</v>
      </c>
      <c r="AB51">
        <v>10</v>
      </c>
      <c r="AC51">
        <f t="shared" si="13"/>
        <v>9</v>
      </c>
      <c r="AD51">
        <v>52</v>
      </c>
      <c r="AE51">
        <v>41</v>
      </c>
      <c r="AF51">
        <f t="shared" si="14"/>
        <v>11</v>
      </c>
    </row>
    <row r="52" spans="23:32" x14ac:dyDescent="0.3">
      <c r="W52" s="2" t="s">
        <v>3</v>
      </c>
      <c r="X52" t="s">
        <v>983</v>
      </c>
      <c r="Y52" s="3">
        <f t="shared" si="12"/>
        <v>64</v>
      </c>
      <c r="Z52">
        <v>38</v>
      </c>
      <c r="AA52">
        <v>18</v>
      </c>
      <c r="AB52">
        <v>10</v>
      </c>
      <c r="AC52">
        <f t="shared" si="13"/>
        <v>10</v>
      </c>
      <c r="AD52">
        <v>57</v>
      </c>
      <c r="AE52">
        <v>41</v>
      </c>
      <c r="AF52">
        <f t="shared" si="14"/>
        <v>16</v>
      </c>
    </row>
    <row r="53" spans="23:32" x14ac:dyDescent="0.3">
      <c r="W53" s="2" t="s">
        <v>4</v>
      </c>
      <c r="X53" t="s">
        <v>984</v>
      </c>
      <c r="Y53" s="3">
        <f t="shared" si="12"/>
        <v>63</v>
      </c>
      <c r="Z53">
        <v>38</v>
      </c>
      <c r="AA53">
        <v>18</v>
      </c>
      <c r="AB53">
        <v>9</v>
      </c>
      <c r="AC53">
        <f t="shared" si="13"/>
        <v>11</v>
      </c>
      <c r="AD53">
        <v>47</v>
      </c>
      <c r="AE53">
        <v>45</v>
      </c>
      <c r="AF53">
        <f t="shared" si="14"/>
        <v>2</v>
      </c>
    </row>
    <row r="54" spans="23:32" x14ac:dyDescent="0.3">
      <c r="W54" s="2" t="s">
        <v>5</v>
      </c>
      <c r="X54" t="s">
        <v>985</v>
      </c>
      <c r="Y54" s="3">
        <f t="shared" si="12"/>
        <v>62</v>
      </c>
      <c r="Z54">
        <v>38</v>
      </c>
      <c r="AA54">
        <v>18</v>
      </c>
      <c r="AB54">
        <v>8</v>
      </c>
      <c r="AC54">
        <f t="shared" si="13"/>
        <v>12</v>
      </c>
      <c r="AD54">
        <v>57</v>
      </c>
      <c r="AE54">
        <v>36</v>
      </c>
      <c r="AF54">
        <f t="shared" si="14"/>
        <v>21</v>
      </c>
    </row>
    <row r="55" spans="23:32" x14ac:dyDescent="0.3">
      <c r="W55" s="2" t="s">
        <v>6</v>
      </c>
      <c r="X55" t="s">
        <v>986</v>
      </c>
      <c r="Y55" s="3">
        <f t="shared" si="12"/>
        <v>56</v>
      </c>
      <c r="Z55">
        <v>38</v>
      </c>
      <c r="AA55">
        <v>15</v>
      </c>
      <c r="AB55">
        <v>11</v>
      </c>
      <c r="AC55">
        <f t="shared" si="13"/>
        <v>12</v>
      </c>
      <c r="AD55">
        <v>49</v>
      </c>
      <c r="AE55">
        <v>50</v>
      </c>
      <c r="AF55">
        <f t="shared" si="14"/>
        <v>-1</v>
      </c>
    </row>
    <row r="56" spans="23:32" x14ac:dyDescent="0.3">
      <c r="W56" s="2" t="s">
        <v>7</v>
      </c>
      <c r="X56" t="s">
        <v>987</v>
      </c>
      <c r="Y56" s="3">
        <f t="shared" si="12"/>
        <v>53</v>
      </c>
      <c r="Z56">
        <v>38</v>
      </c>
      <c r="AA56">
        <v>14</v>
      </c>
      <c r="AB56">
        <v>11</v>
      </c>
      <c r="AC56">
        <f t="shared" si="13"/>
        <v>13</v>
      </c>
      <c r="AD56">
        <v>55</v>
      </c>
      <c r="AE56">
        <v>54</v>
      </c>
      <c r="AF56">
        <f t="shared" si="14"/>
        <v>1</v>
      </c>
    </row>
    <row r="57" spans="23:32" x14ac:dyDescent="0.3">
      <c r="W57" s="2" t="s">
        <v>8</v>
      </c>
      <c r="X57" t="s">
        <v>988</v>
      </c>
      <c r="Y57" s="3">
        <f t="shared" si="12"/>
        <v>53</v>
      </c>
      <c r="Z57">
        <v>38</v>
      </c>
      <c r="AA57">
        <v>14</v>
      </c>
      <c r="AB57">
        <v>11</v>
      </c>
      <c r="AC57">
        <f t="shared" si="13"/>
        <v>13</v>
      </c>
      <c r="AD57">
        <v>38</v>
      </c>
      <c r="AE57">
        <v>44</v>
      </c>
      <c r="AF57">
        <f t="shared" si="14"/>
        <v>-6</v>
      </c>
    </row>
    <row r="58" spans="23:32" x14ac:dyDescent="0.3">
      <c r="W58" s="2" t="s">
        <v>9</v>
      </c>
      <c r="X58" t="s">
        <v>989</v>
      </c>
      <c r="Y58" s="3">
        <f t="shared" si="12"/>
        <v>51</v>
      </c>
      <c r="Z58">
        <v>38</v>
      </c>
      <c r="AA58">
        <v>14</v>
      </c>
      <c r="AB58">
        <v>9</v>
      </c>
      <c r="AC58">
        <f t="shared" si="13"/>
        <v>15</v>
      </c>
      <c r="AD58">
        <v>50</v>
      </c>
      <c r="AE58">
        <v>59</v>
      </c>
      <c r="AF58">
        <f t="shared" si="14"/>
        <v>-9</v>
      </c>
    </row>
    <row r="59" spans="23:32" x14ac:dyDescent="0.3">
      <c r="W59" s="2" t="s">
        <v>10</v>
      </c>
      <c r="X59" t="s">
        <v>990</v>
      </c>
      <c r="Y59" s="3">
        <f t="shared" si="12"/>
        <v>48</v>
      </c>
      <c r="Z59">
        <v>38</v>
      </c>
      <c r="AA59">
        <v>13</v>
      </c>
      <c r="AB59">
        <v>9</v>
      </c>
      <c r="AC59">
        <f t="shared" si="13"/>
        <v>16</v>
      </c>
      <c r="AD59">
        <v>55</v>
      </c>
      <c r="AE59">
        <v>48</v>
      </c>
      <c r="AF59">
        <f t="shared" si="14"/>
        <v>7</v>
      </c>
    </row>
    <row r="60" spans="23:32" x14ac:dyDescent="0.3">
      <c r="W60" t="s">
        <v>11</v>
      </c>
      <c r="X60" t="s">
        <v>991</v>
      </c>
      <c r="Y60" s="3">
        <f t="shared" si="12"/>
        <v>47</v>
      </c>
      <c r="Z60">
        <v>38</v>
      </c>
      <c r="AA60">
        <v>12</v>
      </c>
      <c r="AB60">
        <v>11</v>
      </c>
      <c r="AC60">
        <f t="shared" si="13"/>
        <v>15</v>
      </c>
      <c r="AD60">
        <v>32</v>
      </c>
      <c r="AE60">
        <v>44</v>
      </c>
      <c r="AF60">
        <f t="shared" si="14"/>
        <v>-12</v>
      </c>
    </row>
    <row r="61" spans="23:32" x14ac:dyDescent="0.3">
      <c r="W61" t="s">
        <v>69</v>
      </c>
      <c r="X61" t="s">
        <v>992</v>
      </c>
      <c r="Y61" s="3">
        <f t="shared" si="12"/>
        <v>42</v>
      </c>
      <c r="Z61">
        <v>38</v>
      </c>
      <c r="AA61">
        <v>10</v>
      </c>
      <c r="AB61">
        <v>12</v>
      </c>
      <c r="AC61">
        <f t="shared" si="13"/>
        <v>16</v>
      </c>
      <c r="AD61">
        <v>43</v>
      </c>
      <c r="AE61">
        <v>54</v>
      </c>
      <c r="AF61">
        <f t="shared" si="14"/>
        <v>-11</v>
      </c>
    </row>
    <row r="62" spans="23:32" x14ac:dyDescent="0.3">
      <c r="W62" t="s">
        <v>70</v>
      </c>
      <c r="X62" t="s">
        <v>993</v>
      </c>
      <c r="Y62" s="3">
        <f t="shared" si="12"/>
        <v>40</v>
      </c>
      <c r="Z62">
        <v>38</v>
      </c>
      <c r="AA62">
        <v>9</v>
      </c>
      <c r="AB62">
        <v>13</v>
      </c>
      <c r="AC62">
        <f t="shared" si="13"/>
        <v>16</v>
      </c>
      <c r="AD62">
        <v>37</v>
      </c>
      <c r="AE62">
        <v>47</v>
      </c>
      <c r="AF62">
        <f t="shared" si="14"/>
        <v>-10</v>
      </c>
    </row>
    <row r="63" spans="23:32" x14ac:dyDescent="0.3">
      <c r="W63" t="s">
        <v>71</v>
      </c>
      <c r="X63" t="s">
        <v>994</v>
      </c>
      <c r="Y63" s="3">
        <f t="shared" si="12"/>
        <v>40</v>
      </c>
      <c r="Z63">
        <v>38</v>
      </c>
      <c r="AA63">
        <v>9</v>
      </c>
      <c r="AB63">
        <v>13</v>
      </c>
      <c r="AC63">
        <f t="shared" si="13"/>
        <v>16</v>
      </c>
      <c r="AD63">
        <v>29</v>
      </c>
      <c r="AE63">
        <v>41</v>
      </c>
      <c r="AF63">
        <f t="shared" si="14"/>
        <v>-12</v>
      </c>
    </row>
    <row r="64" spans="23:32" x14ac:dyDescent="0.3">
      <c r="W64" t="s">
        <v>72</v>
      </c>
      <c r="X64" t="s">
        <v>995</v>
      </c>
      <c r="Y64" s="3">
        <f t="shared" si="12"/>
        <v>40</v>
      </c>
      <c r="Z64">
        <v>38</v>
      </c>
      <c r="AA64">
        <v>10</v>
      </c>
      <c r="AB64">
        <v>10</v>
      </c>
      <c r="AC64">
        <f t="shared" si="13"/>
        <v>18</v>
      </c>
      <c r="AD64">
        <v>41</v>
      </c>
      <c r="AE64">
        <v>56</v>
      </c>
      <c r="AF64">
        <f t="shared" si="14"/>
        <v>-15</v>
      </c>
    </row>
    <row r="65" spans="23:32" x14ac:dyDescent="0.3">
      <c r="W65" t="s">
        <v>255</v>
      </c>
      <c r="X65" t="s">
        <v>996</v>
      </c>
      <c r="Y65" s="3">
        <f t="shared" si="12"/>
        <v>35</v>
      </c>
      <c r="Z65">
        <v>38</v>
      </c>
      <c r="AA65">
        <v>9</v>
      </c>
      <c r="AB65">
        <v>8</v>
      </c>
      <c r="AC65">
        <f t="shared" si="13"/>
        <v>21</v>
      </c>
      <c r="AD65">
        <v>33</v>
      </c>
      <c r="AE65">
        <v>53</v>
      </c>
      <c r="AF65">
        <f t="shared" si="14"/>
        <v>-20</v>
      </c>
    </row>
    <row r="66" spans="23:32" x14ac:dyDescent="0.3">
      <c r="W66" t="s">
        <v>256</v>
      </c>
      <c r="X66" t="s">
        <v>997</v>
      </c>
      <c r="Y66" s="3">
        <f t="shared" si="12"/>
        <v>33</v>
      </c>
      <c r="Z66">
        <v>38</v>
      </c>
      <c r="AA66">
        <v>8</v>
      </c>
      <c r="AB66">
        <v>9</v>
      </c>
      <c r="AC66">
        <f t="shared" si="13"/>
        <v>21</v>
      </c>
      <c r="AD66">
        <v>33</v>
      </c>
      <c r="AE66">
        <v>60</v>
      </c>
      <c r="AF66">
        <f t="shared" si="14"/>
        <v>-27</v>
      </c>
    </row>
    <row r="67" spans="23:32" x14ac:dyDescent="0.3">
      <c r="W67" t="s">
        <v>277</v>
      </c>
      <c r="X67" t="s">
        <v>998</v>
      </c>
      <c r="Y67" s="3">
        <f>AA67*3+AB67-25</f>
        <v>30</v>
      </c>
      <c r="Z67">
        <v>38</v>
      </c>
      <c r="AA67">
        <v>15</v>
      </c>
      <c r="AB67">
        <v>10</v>
      </c>
      <c r="AC67">
        <f t="shared" si="13"/>
        <v>13</v>
      </c>
      <c r="AD67">
        <v>51</v>
      </c>
      <c r="AE67">
        <v>53</v>
      </c>
      <c r="AF67">
        <f t="shared" si="14"/>
        <v>-2</v>
      </c>
    </row>
    <row r="68" spans="23:32" x14ac:dyDescent="0.3">
      <c r="W68" t="s">
        <v>278</v>
      </c>
      <c r="X68" t="s">
        <v>999</v>
      </c>
      <c r="Y68" s="3">
        <f>AA68*3+AB68-11</f>
        <v>27</v>
      </c>
      <c r="Z68">
        <v>38</v>
      </c>
      <c r="AA68">
        <v>10</v>
      </c>
      <c r="AB68">
        <v>8</v>
      </c>
      <c r="AC68">
        <f t="shared" si="13"/>
        <v>20</v>
      </c>
      <c r="AD68">
        <v>52</v>
      </c>
      <c r="AE68">
        <v>60</v>
      </c>
      <c r="AF68">
        <f t="shared" si="14"/>
        <v>-8</v>
      </c>
    </row>
    <row r="70" spans="23:32" x14ac:dyDescent="0.3">
      <c r="W70" t="s">
        <v>593</v>
      </c>
    </row>
    <row r="71" spans="23:32" x14ac:dyDescent="0.3">
      <c r="W71" t="s">
        <v>1000</v>
      </c>
    </row>
    <row r="72" spans="23:32" x14ac:dyDescent="0.3">
      <c r="W72" t="str">
        <f>X8</f>
        <v>Trento</v>
      </c>
      <c r="X72" t="s">
        <v>43</v>
      </c>
      <c r="Y72" t="str">
        <f>X13</f>
        <v>Giana Erminio</v>
      </c>
    </row>
    <row r="73" spans="23:32" x14ac:dyDescent="0.3">
      <c r="W73" t="str">
        <f>X9</f>
        <v>Cittadella</v>
      </c>
      <c r="X73" t="s">
        <v>42</v>
      </c>
      <c r="Y73" t="str">
        <f>X12</f>
        <v>Arzignano</v>
      </c>
    </row>
    <row r="74" spans="23:32" x14ac:dyDescent="0.3">
      <c r="W74" t="str">
        <f>X10</f>
        <v>Lumezzane</v>
      </c>
      <c r="X74" t="s">
        <v>43</v>
      </c>
      <c r="Y74" t="str">
        <f>X11</f>
        <v>Alcione</v>
      </c>
    </row>
    <row r="76" spans="23:32" x14ac:dyDescent="0.3">
      <c r="W76" t="str">
        <f>X31</f>
        <v>Juventus Next Gen</v>
      </c>
      <c r="X76" t="s">
        <v>38</v>
      </c>
      <c r="Y76" t="str">
        <f>X36</f>
        <v>Pianese</v>
      </c>
    </row>
    <row r="77" spans="23:32" x14ac:dyDescent="0.3">
      <c r="W77" t="str">
        <f>X32</f>
        <v>Pineto</v>
      </c>
      <c r="X77" t="s">
        <v>206</v>
      </c>
      <c r="Y77" t="str">
        <f>X35</f>
        <v>Vis Pesaro</v>
      </c>
    </row>
    <row r="78" spans="23:32" x14ac:dyDescent="0.3">
      <c r="W78" t="str">
        <f>X33</f>
        <v>Ternana</v>
      </c>
      <c r="X78" t="s">
        <v>42</v>
      </c>
      <c r="Y78" t="str">
        <f>X34</f>
        <v>Gubbio</v>
      </c>
    </row>
    <row r="80" spans="23:32" x14ac:dyDescent="0.3">
      <c r="W80" t="str">
        <f>X53</f>
        <v>Salernitana</v>
      </c>
      <c r="X80" t="s">
        <v>205</v>
      </c>
      <c r="Y80" t="str">
        <f>X59</f>
        <v>Atalanta U23</v>
      </c>
    </row>
    <row r="81" spans="23:29" x14ac:dyDescent="0.3">
      <c r="W81" t="str">
        <f>X54</f>
        <v>Crotone</v>
      </c>
      <c r="X81" t="s">
        <v>204</v>
      </c>
      <c r="Y81" t="str">
        <f>X58</f>
        <v>Casarano</v>
      </c>
    </row>
    <row r="82" spans="23:29" x14ac:dyDescent="0.3">
      <c r="W82" t="str">
        <f>X55</f>
        <v>Audace Cerignola</v>
      </c>
      <c r="X82" t="s">
        <v>44</v>
      </c>
      <c r="Y82" t="str">
        <f>X57</f>
        <v>Monopoli</v>
      </c>
    </row>
    <row r="84" spans="23:29" x14ac:dyDescent="0.3">
      <c r="W84" t="s">
        <v>1001</v>
      </c>
    </row>
    <row r="85" spans="23:29" x14ac:dyDescent="0.3">
      <c r="W85" t="str">
        <f>X7</f>
        <v>Lecco</v>
      </c>
      <c r="X85" t="s">
        <v>44</v>
      </c>
      <c r="Y85" t="s">
        <v>966</v>
      </c>
    </row>
    <row r="86" spans="23:29" x14ac:dyDescent="0.3">
      <c r="W86" t="s">
        <v>964</v>
      </c>
      <c r="X86" t="s">
        <v>41</v>
      </c>
      <c r="Y86" t="s">
        <v>965</v>
      </c>
    </row>
    <row r="88" spans="23:29" x14ac:dyDescent="0.3">
      <c r="W88" t="str">
        <f>X30</f>
        <v>Campobasso</v>
      </c>
      <c r="X88" t="s">
        <v>43</v>
      </c>
      <c r="Y88" t="s">
        <v>950</v>
      </c>
    </row>
    <row r="89" spans="23:29" x14ac:dyDescent="0.3">
      <c r="W89" t="s">
        <v>946</v>
      </c>
      <c r="X89" t="s">
        <v>206</v>
      </c>
      <c r="Y89" t="s">
        <v>947</v>
      </c>
    </row>
    <row r="91" spans="23:29" x14ac:dyDescent="0.3">
      <c r="W91" t="str">
        <f>X52</f>
        <v>Cosenza</v>
      </c>
      <c r="X91" t="s">
        <v>206</v>
      </c>
      <c r="Y91" t="s">
        <v>986</v>
      </c>
    </row>
    <row r="92" spans="23:29" x14ac:dyDescent="0.3">
      <c r="W92" t="s">
        <v>984</v>
      </c>
      <c r="X92" t="s">
        <v>44</v>
      </c>
      <c r="Y92" t="s">
        <v>985</v>
      </c>
    </row>
    <row r="94" spans="23:29" x14ac:dyDescent="0.3">
      <c r="W94" t="s">
        <v>1002</v>
      </c>
    </row>
    <row r="95" spans="23:29" x14ac:dyDescent="0.3">
      <c r="W95" t="s">
        <v>946</v>
      </c>
      <c r="X95" t="s">
        <v>206</v>
      </c>
      <c r="Y95" t="s">
        <v>987</v>
      </c>
      <c r="AA95" t="s">
        <v>987</v>
      </c>
      <c r="AB95" t="s">
        <v>41</v>
      </c>
      <c r="AC95" t="s">
        <v>946</v>
      </c>
    </row>
    <row r="96" spans="23:29" x14ac:dyDescent="0.3">
      <c r="W96" t="s">
        <v>944</v>
      </c>
      <c r="X96" t="s">
        <v>38</v>
      </c>
      <c r="Y96" t="s">
        <v>963</v>
      </c>
      <c r="AA96" t="s">
        <v>963</v>
      </c>
      <c r="AB96" t="s">
        <v>206</v>
      </c>
      <c r="AC96" t="s">
        <v>944</v>
      </c>
    </row>
    <row r="97" spans="23:29" x14ac:dyDescent="0.3">
      <c r="W97" t="s">
        <v>984</v>
      </c>
      <c r="X97" t="s">
        <v>42</v>
      </c>
      <c r="Y97" t="s">
        <v>943</v>
      </c>
      <c r="AA97" t="s">
        <v>943</v>
      </c>
      <c r="AB97" t="s">
        <v>43</v>
      </c>
      <c r="AC97" t="s">
        <v>984</v>
      </c>
    </row>
    <row r="98" spans="23:29" x14ac:dyDescent="0.3">
      <c r="W98" t="s">
        <v>965</v>
      </c>
      <c r="X98" t="s">
        <v>42</v>
      </c>
      <c r="Y98" t="s">
        <v>962</v>
      </c>
      <c r="AA98" t="s">
        <v>962</v>
      </c>
      <c r="AB98" t="s">
        <v>44</v>
      </c>
      <c r="AC98" t="s">
        <v>965</v>
      </c>
    </row>
    <row r="99" spans="23:29" x14ac:dyDescent="0.3">
      <c r="W99" t="s">
        <v>983</v>
      </c>
      <c r="X99" t="s">
        <v>45</v>
      </c>
      <c r="Y99" t="s">
        <v>982</v>
      </c>
      <c r="AA99" t="s">
        <v>982</v>
      </c>
      <c r="AB99" t="s">
        <v>206</v>
      </c>
      <c r="AC99" t="s">
        <v>983</v>
      </c>
    </row>
    <row r="101" spans="23:29" x14ac:dyDescent="0.3">
      <c r="W101" t="s">
        <v>1003</v>
      </c>
    </row>
    <row r="102" spans="23:29" x14ac:dyDescent="0.3">
      <c r="W102" t="s">
        <v>962</v>
      </c>
      <c r="X102" t="s">
        <v>66</v>
      </c>
      <c r="Y102" t="s">
        <v>943</v>
      </c>
      <c r="AA102" t="s">
        <v>943</v>
      </c>
      <c r="AB102" t="s">
        <v>41</v>
      </c>
      <c r="AC102" t="s">
        <v>962</v>
      </c>
    </row>
    <row r="103" spans="23:29" x14ac:dyDescent="0.3">
      <c r="W103" t="s">
        <v>983</v>
      </c>
      <c r="X103" t="s">
        <v>38</v>
      </c>
      <c r="Y103" t="s">
        <v>942</v>
      </c>
      <c r="AA103" t="s">
        <v>942</v>
      </c>
      <c r="AB103" t="s">
        <v>42</v>
      </c>
      <c r="AC103" t="s">
        <v>983</v>
      </c>
    </row>
    <row r="104" spans="23:29" x14ac:dyDescent="0.3">
      <c r="W104" t="s">
        <v>946</v>
      </c>
      <c r="X104" t="s">
        <v>43</v>
      </c>
      <c r="Y104" t="s">
        <v>981</v>
      </c>
      <c r="AA104" t="s">
        <v>981</v>
      </c>
      <c r="AB104" t="s">
        <v>38</v>
      </c>
      <c r="AC104" t="s">
        <v>946</v>
      </c>
    </row>
    <row r="105" spans="23:29" x14ac:dyDescent="0.3">
      <c r="W105" t="s">
        <v>963</v>
      </c>
      <c r="X105" t="s">
        <v>38</v>
      </c>
      <c r="Y105" t="s">
        <v>961</v>
      </c>
      <c r="AA105" t="s">
        <v>961</v>
      </c>
      <c r="AB105" t="s">
        <v>44</v>
      </c>
      <c r="AC105" t="s">
        <v>963</v>
      </c>
    </row>
    <row r="107" spans="23:29" x14ac:dyDescent="0.3">
      <c r="W107" t="s">
        <v>301</v>
      </c>
    </row>
    <row r="108" spans="23:29" x14ac:dyDescent="0.3">
      <c r="W108" t="s">
        <v>40</v>
      </c>
    </row>
    <row r="109" spans="23:29" x14ac:dyDescent="0.3">
      <c r="W109" t="s">
        <v>946</v>
      </c>
      <c r="X109" t="s">
        <v>38</v>
      </c>
      <c r="Y109" t="s">
        <v>962</v>
      </c>
      <c r="AA109" t="s">
        <v>962</v>
      </c>
      <c r="AB109" t="s">
        <v>205</v>
      </c>
      <c r="AC109" t="s">
        <v>946</v>
      </c>
    </row>
    <row r="110" spans="23:29" x14ac:dyDescent="0.3">
      <c r="W110" t="s">
        <v>961</v>
      </c>
      <c r="X110" t="s">
        <v>91</v>
      </c>
      <c r="Y110" t="s">
        <v>942</v>
      </c>
      <c r="AA110" t="s">
        <v>942</v>
      </c>
      <c r="AB110" t="s">
        <v>38</v>
      </c>
      <c r="AC110" t="s">
        <v>961</v>
      </c>
    </row>
    <row r="112" spans="23:29" x14ac:dyDescent="0.3">
      <c r="W112" t="s">
        <v>46</v>
      </c>
    </row>
    <row r="113" spans="23:32" x14ac:dyDescent="0.3">
      <c r="W113" t="s">
        <v>962</v>
      </c>
      <c r="X113" t="s">
        <v>205</v>
      </c>
      <c r="Y113" t="s">
        <v>961</v>
      </c>
      <c r="AA113" t="s">
        <v>961</v>
      </c>
      <c r="AB113" t="s">
        <v>38</v>
      </c>
      <c r="AC113" t="s">
        <v>962</v>
      </c>
    </row>
    <row r="115" spans="23:32" x14ac:dyDescent="0.3">
      <c r="W115" t="s">
        <v>1004</v>
      </c>
    </row>
    <row r="116" spans="23:32" x14ac:dyDescent="0.3">
      <c r="W116" t="s">
        <v>12</v>
      </c>
      <c r="X116" t="s">
        <v>13</v>
      </c>
      <c r="Y116" t="s">
        <v>14</v>
      </c>
      <c r="Z116" t="s">
        <v>15</v>
      </c>
      <c r="AA116" t="s">
        <v>16</v>
      </c>
      <c r="AB116" t="s">
        <v>17</v>
      </c>
      <c r="AC116" t="s">
        <v>18</v>
      </c>
      <c r="AD116" t="s">
        <v>20</v>
      </c>
      <c r="AE116" t="s">
        <v>21</v>
      </c>
      <c r="AF116" t="s">
        <v>19</v>
      </c>
    </row>
    <row r="117" spans="23:32" x14ac:dyDescent="0.3">
      <c r="W117" s="1" t="s">
        <v>0</v>
      </c>
      <c r="X117" t="s">
        <v>941</v>
      </c>
      <c r="Y117" s="3">
        <f t="shared" ref="Y117:Y119" si="15">AA117*3+AB117</f>
        <v>6</v>
      </c>
      <c r="Z117">
        <v>2</v>
      </c>
      <c r="AA117">
        <v>2</v>
      </c>
      <c r="AB117">
        <v>0</v>
      </c>
      <c r="AC117">
        <f>Z117-AA117-AB117</f>
        <v>0</v>
      </c>
      <c r="AD117">
        <v>6</v>
      </c>
      <c r="AE117">
        <v>1</v>
      </c>
      <c r="AF117">
        <f>AD117-AE117</f>
        <v>5</v>
      </c>
    </row>
    <row r="118" spans="23:32" x14ac:dyDescent="0.3">
      <c r="W118" t="s">
        <v>1</v>
      </c>
      <c r="X118" t="s">
        <v>960</v>
      </c>
      <c r="Y118" s="3">
        <f t="shared" si="15"/>
        <v>3</v>
      </c>
      <c r="Z118">
        <v>2</v>
      </c>
      <c r="AA118">
        <v>1</v>
      </c>
      <c r="AB118">
        <v>0</v>
      </c>
      <c r="AC118">
        <f t="shared" ref="AC118:AC119" si="16">Z118-AA118-AB118</f>
        <v>1</v>
      </c>
      <c r="AD118">
        <v>2</v>
      </c>
      <c r="AE118">
        <v>4</v>
      </c>
      <c r="AF118">
        <f t="shared" ref="AF118:AF119" si="17">AD118-AE118</f>
        <v>-2</v>
      </c>
    </row>
    <row r="119" spans="23:32" x14ac:dyDescent="0.3">
      <c r="W119" t="s">
        <v>2</v>
      </c>
      <c r="X119" t="s">
        <v>980</v>
      </c>
      <c r="Y119" s="3">
        <f t="shared" si="15"/>
        <v>0</v>
      </c>
      <c r="Z119">
        <v>2</v>
      </c>
      <c r="AA119">
        <v>0</v>
      </c>
      <c r="AB119">
        <v>0</v>
      </c>
      <c r="AC119">
        <f t="shared" si="16"/>
        <v>2</v>
      </c>
      <c r="AD119">
        <v>1</v>
      </c>
      <c r="AE119">
        <v>4</v>
      </c>
      <c r="AF119">
        <f t="shared" si="17"/>
        <v>-3</v>
      </c>
    </row>
  </sheetData>
  <pageMargins left="0.7" right="0.7" top="0.75" bottom="0.75" header="0.3" footer="0.3"/>
  <ignoredErrors>
    <ignoredError sqref="Y67 Y33" formula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5B9D-7AFB-4ED7-A229-4DAFA574D99A}">
  <dimension ref="A1:U12"/>
  <sheetViews>
    <sheetView workbookViewId="0">
      <selection activeCell="C3" sqref="C3:C12"/>
    </sheetView>
  </sheetViews>
  <sheetFormatPr defaultRowHeight="14.4" x14ac:dyDescent="0.3"/>
  <sheetData>
    <row r="1" spans="1:21" x14ac:dyDescent="0.3">
      <c r="A1" t="s">
        <v>1005</v>
      </c>
      <c r="L1" t="s">
        <v>1016</v>
      </c>
      <c r="T1" t="s">
        <v>48</v>
      </c>
    </row>
    <row r="2" spans="1:21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20</v>
      </c>
      <c r="I2" t="s">
        <v>21</v>
      </c>
      <c r="J2" t="s">
        <v>19</v>
      </c>
      <c r="L2" t="s">
        <v>40</v>
      </c>
      <c r="T2" t="s">
        <v>1006</v>
      </c>
      <c r="U2">
        <v>5</v>
      </c>
    </row>
    <row r="3" spans="1:21" x14ac:dyDescent="0.3">
      <c r="A3" s="4" t="s">
        <v>0</v>
      </c>
      <c r="B3" t="s">
        <v>1006</v>
      </c>
      <c r="C3" s="3">
        <f t="shared" ref="C3:C12" si="0">E3*3+F3</f>
        <v>67</v>
      </c>
      <c r="D3">
        <v>36</v>
      </c>
      <c r="E3">
        <v>20</v>
      </c>
      <c r="F3">
        <v>7</v>
      </c>
      <c r="G3">
        <f t="shared" ref="G3:G12" si="1">D3-E3-F3</f>
        <v>9</v>
      </c>
      <c r="H3">
        <v>56</v>
      </c>
      <c r="I3">
        <v>37</v>
      </c>
      <c r="J3">
        <f t="shared" ref="J3:J12" si="2">H3-I3</f>
        <v>19</v>
      </c>
      <c r="L3" t="s">
        <v>1007</v>
      </c>
      <c r="M3" t="s">
        <v>253</v>
      </c>
      <c r="N3" t="s">
        <v>1013</v>
      </c>
      <c r="P3" t="s">
        <v>1013</v>
      </c>
      <c r="Q3" t="s">
        <v>43</v>
      </c>
      <c r="R3" t="s">
        <v>1007</v>
      </c>
      <c r="T3" t="s">
        <v>1013</v>
      </c>
      <c r="U3">
        <v>1</v>
      </c>
    </row>
    <row r="4" spans="1:21" x14ac:dyDescent="0.3">
      <c r="A4" s="1" t="s">
        <v>1</v>
      </c>
      <c r="B4" t="s">
        <v>1008</v>
      </c>
      <c r="C4" s="3">
        <f t="shared" si="0"/>
        <v>60</v>
      </c>
      <c r="D4">
        <v>36</v>
      </c>
      <c r="E4">
        <v>18</v>
      </c>
      <c r="F4">
        <v>6</v>
      </c>
      <c r="G4">
        <f t="shared" si="1"/>
        <v>12</v>
      </c>
      <c r="H4">
        <v>55</v>
      </c>
      <c r="I4">
        <v>45</v>
      </c>
      <c r="J4">
        <f t="shared" si="2"/>
        <v>10</v>
      </c>
      <c r="L4" t="s">
        <v>1009</v>
      </c>
      <c r="M4" t="s">
        <v>41</v>
      </c>
      <c r="N4" t="s">
        <v>1010</v>
      </c>
      <c r="P4" t="s">
        <v>1010</v>
      </c>
      <c r="Q4" t="s">
        <v>64</v>
      </c>
      <c r="R4" t="s">
        <v>1009</v>
      </c>
    </row>
    <row r="5" spans="1:21" x14ac:dyDescent="0.3">
      <c r="A5" s="1" t="s">
        <v>2</v>
      </c>
      <c r="B5" t="s">
        <v>1007</v>
      </c>
      <c r="C5" s="3">
        <f t="shared" si="0"/>
        <v>58</v>
      </c>
      <c r="D5">
        <v>36</v>
      </c>
      <c r="E5">
        <v>17</v>
      </c>
      <c r="F5">
        <v>7</v>
      </c>
      <c r="G5">
        <f t="shared" si="1"/>
        <v>12</v>
      </c>
      <c r="H5">
        <v>60</v>
      </c>
      <c r="I5">
        <v>41</v>
      </c>
      <c r="J5">
        <f t="shared" si="2"/>
        <v>19</v>
      </c>
    </row>
    <row r="6" spans="1:21" x14ac:dyDescent="0.3">
      <c r="A6" s="1" t="s">
        <v>3</v>
      </c>
      <c r="B6" t="s">
        <v>1013</v>
      </c>
      <c r="C6" s="3">
        <f t="shared" si="0"/>
        <v>54</v>
      </c>
      <c r="D6">
        <v>36</v>
      </c>
      <c r="E6">
        <v>14</v>
      </c>
      <c r="F6">
        <v>12</v>
      </c>
      <c r="G6">
        <f t="shared" si="1"/>
        <v>10</v>
      </c>
      <c r="H6">
        <v>46</v>
      </c>
      <c r="I6">
        <v>37</v>
      </c>
      <c r="J6">
        <f t="shared" si="2"/>
        <v>9</v>
      </c>
      <c r="L6" t="s">
        <v>46</v>
      </c>
    </row>
    <row r="7" spans="1:21" x14ac:dyDescent="0.3">
      <c r="A7" t="s">
        <v>4</v>
      </c>
      <c r="B7" t="s">
        <v>1015</v>
      </c>
      <c r="C7" s="3">
        <f t="shared" si="0"/>
        <v>52</v>
      </c>
      <c r="D7">
        <v>36</v>
      </c>
      <c r="E7">
        <v>14</v>
      </c>
      <c r="F7">
        <v>10</v>
      </c>
      <c r="G7">
        <f t="shared" si="1"/>
        <v>12</v>
      </c>
      <c r="H7">
        <v>48</v>
      </c>
      <c r="I7">
        <v>48</v>
      </c>
      <c r="J7">
        <f t="shared" si="2"/>
        <v>0</v>
      </c>
      <c r="L7" t="s">
        <v>1013</v>
      </c>
      <c r="M7" t="s">
        <v>43</v>
      </c>
      <c r="N7" t="s">
        <v>1009</v>
      </c>
    </row>
    <row r="8" spans="1:21" x14ac:dyDescent="0.3">
      <c r="A8" t="s">
        <v>5</v>
      </c>
      <c r="B8" t="s">
        <v>1012</v>
      </c>
      <c r="C8" s="3">
        <f t="shared" si="0"/>
        <v>49</v>
      </c>
      <c r="D8">
        <v>36</v>
      </c>
      <c r="E8">
        <v>14</v>
      </c>
      <c r="F8">
        <v>7</v>
      </c>
      <c r="G8">
        <f t="shared" si="1"/>
        <v>15</v>
      </c>
      <c r="H8">
        <v>47</v>
      </c>
      <c r="I8">
        <v>54</v>
      </c>
      <c r="J8">
        <f t="shared" si="2"/>
        <v>-7</v>
      </c>
    </row>
    <row r="9" spans="1:21" x14ac:dyDescent="0.3">
      <c r="A9" t="s">
        <v>6</v>
      </c>
      <c r="B9" t="s">
        <v>1014</v>
      </c>
      <c r="C9" s="3">
        <f t="shared" si="0"/>
        <v>46</v>
      </c>
      <c r="D9">
        <v>36</v>
      </c>
      <c r="E9">
        <v>13</v>
      </c>
      <c r="F9">
        <v>7</v>
      </c>
      <c r="G9">
        <f t="shared" si="1"/>
        <v>16</v>
      </c>
      <c r="H9">
        <v>48</v>
      </c>
      <c r="I9">
        <v>55</v>
      </c>
      <c r="J9">
        <f t="shared" si="2"/>
        <v>-7</v>
      </c>
    </row>
    <row r="10" spans="1:21" x14ac:dyDescent="0.3">
      <c r="A10" t="s">
        <v>7</v>
      </c>
      <c r="B10" t="s">
        <v>1011</v>
      </c>
      <c r="C10" s="3">
        <f t="shared" si="0"/>
        <v>42</v>
      </c>
      <c r="D10">
        <v>36</v>
      </c>
      <c r="E10">
        <v>12</v>
      </c>
      <c r="F10">
        <v>6</v>
      </c>
      <c r="G10">
        <f t="shared" si="1"/>
        <v>18</v>
      </c>
      <c r="H10">
        <v>38</v>
      </c>
      <c r="I10">
        <v>46</v>
      </c>
      <c r="J10">
        <f t="shared" si="2"/>
        <v>-8</v>
      </c>
    </row>
    <row r="11" spans="1:21" x14ac:dyDescent="0.3">
      <c r="A11" t="s">
        <v>8</v>
      </c>
      <c r="B11" t="s">
        <v>1010</v>
      </c>
      <c r="C11" s="3">
        <f t="shared" si="0"/>
        <v>41</v>
      </c>
      <c r="D11">
        <v>36</v>
      </c>
      <c r="E11">
        <v>11</v>
      </c>
      <c r="F11">
        <v>8</v>
      </c>
      <c r="G11">
        <f t="shared" si="1"/>
        <v>17</v>
      </c>
      <c r="H11">
        <v>39</v>
      </c>
      <c r="I11">
        <v>52</v>
      </c>
      <c r="J11">
        <f t="shared" si="2"/>
        <v>-13</v>
      </c>
    </row>
    <row r="12" spans="1:21" x14ac:dyDescent="0.3">
      <c r="A12" t="s">
        <v>9</v>
      </c>
      <c r="B12" t="s">
        <v>1009</v>
      </c>
      <c r="C12" s="3">
        <f t="shared" si="0"/>
        <v>39</v>
      </c>
      <c r="D12">
        <v>36</v>
      </c>
      <c r="E12">
        <v>10</v>
      </c>
      <c r="F12">
        <v>9</v>
      </c>
      <c r="G12">
        <f t="shared" si="1"/>
        <v>17</v>
      </c>
      <c r="H12">
        <v>43</v>
      </c>
      <c r="I12">
        <v>56</v>
      </c>
      <c r="J12">
        <f t="shared" si="2"/>
        <v>-13</v>
      </c>
    </row>
  </sheetData>
  <sortState xmlns:xlrd2="http://schemas.microsoft.com/office/spreadsheetml/2017/richdata2" ref="B3:J12">
    <sortCondition descending="1" ref="C3:C12"/>
    <sortCondition descending="1" ref="J3:J12"/>
  </sortState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85674-6535-4B5D-90C1-83A485AAE086}">
  <dimension ref="A1:Q17"/>
  <sheetViews>
    <sheetView workbookViewId="0">
      <selection activeCell="G3" sqref="G3:G12"/>
    </sheetView>
  </sheetViews>
  <sheetFormatPr defaultRowHeight="14.4" x14ac:dyDescent="0.3"/>
  <sheetData>
    <row r="1" spans="1:17" x14ac:dyDescent="0.3">
      <c r="A1" t="s">
        <v>137</v>
      </c>
      <c r="L1" t="s">
        <v>148</v>
      </c>
      <c r="P1" t="s">
        <v>48</v>
      </c>
    </row>
    <row r="2" spans="1:17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20</v>
      </c>
      <c r="I2" t="s">
        <v>21</v>
      </c>
      <c r="J2" t="s">
        <v>19</v>
      </c>
      <c r="L2" t="s">
        <v>36</v>
      </c>
      <c r="P2" t="s">
        <v>139</v>
      </c>
      <c r="Q2">
        <v>1</v>
      </c>
    </row>
    <row r="3" spans="1:17" x14ac:dyDescent="0.3">
      <c r="A3" s="4" t="s">
        <v>0</v>
      </c>
      <c r="B3" t="s">
        <v>139</v>
      </c>
      <c r="C3" s="3">
        <v>47</v>
      </c>
      <c r="D3">
        <v>27</v>
      </c>
      <c r="E3">
        <v>14</v>
      </c>
      <c r="F3">
        <v>5</v>
      </c>
      <c r="G3">
        <f t="shared" ref="G3:G4" si="0">D3-E3-F3</f>
        <v>8</v>
      </c>
      <c r="H3">
        <v>48</v>
      </c>
      <c r="I3">
        <v>41</v>
      </c>
      <c r="J3">
        <f t="shared" ref="J3:J4" si="1">H3-I3</f>
        <v>7</v>
      </c>
      <c r="L3" t="s">
        <v>140</v>
      </c>
      <c r="M3" t="s">
        <v>64</v>
      </c>
      <c r="N3" t="s">
        <v>142</v>
      </c>
      <c r="P3" t="s">
        <v>139</v>
      </c>
      <c r="Q3">
        <v>3</v>
      </c>
    </row>
    <row r="4" spans="1:17" x14ac:dyDescent="0.3">
      <c r="A4" s="1" t="s">
        <v>1</v>
      </c>
      <c r="B4" t="s">
        <v>140</v>
      </c>
      <c r="C4" s="3">
        <v>45</v>
      </c>
      <c r="D4">
        <v>27</v>
      </c>
      <c r="E4">
        <v>14</v>
      </c>
      <c r="F4">
        <v>3</v>
      </c>
      <c r="G4">
        <f t="shared" si="0"/>
        <v>10</v>
      </c>
      <c r="H4">
        <v>47</v>
      </c>
      <c r="I4">
        <v>43</v>
      </c>
      <c r="J4">
        <f t="shared" si="1"/>
        <v>4</v>
      </c>
      <c r="L4" t="s">
        <v>145</v>
      </c>
      <c r="M4" t="s">
        <v>43</v>
      </c>
      <c r="N4" s="6" t="s">
        <v>146</v>
      </c>
    </row>
    <row r="5" spans="1:17" x14ac:dyDescent="0.3">
      <c r="A5" s="1" t="s">
        <v>2</v>
      </c>
      <c r="B5" t="s">
        <v>138</v>
      </c>
      <c r="C5" s="3">
        <v>41</v>
      </c>
      <c r="D5">
        <v>27</v>
      </c>
      <c r="E5">
        <v>12</v>
      </c>
      <c r="F5">
        <v>5</v>
      </c>
      <c r="G5">
        <f>D5-E5-F5</f>
        <v>10</v>
      </c>
      <c r="H5">
        <v>40</v>
      </c>
      <c r="I5">
        <v>35</v>
      </c>
      <c r="J5">
        <f>H5-I5</f>
        <v>5</v>
      </c>
    </row>
    <row r="6" spans="1:17" x14ac:dyDescent="0.3">
      <c r="A6" s="1" t="s">
        <v>3</v>
      </c>
      <c r="B6" t="s">
        <v>142</v>
      </c>
      <c r="C6" s="3">
        <v>41</v>
      </c>
      <c r="D6">
        <v>27</v>
      </c>
      <c r="E6">
        <v>12</v>
      </c>
      <c r="F6">
        <v>5</v>
      </c>
      <c r="G6">
        <f t="shared" ref="G6:G12" si="2">D6-E6-F6</f>
        <v>10</v>
      </c>
      <c r="H6">
        <v>45</v>
      </c>
      <c r="I6">
        <v>42</v>
      </c>
      <c r="J6">
        <f t="shared" ref="J6:J12" si="3">H6-I6</f>
        <v>3</v>
      </c>
      <c r="L6" t="s">
        <v>39</v>
      </c>
    </row>
    <row r="7" spans="1:17" x14ac:dyDescent="0.3">
      <c r="A7" t="s">
        <v>4</v>
      </c>
      <c r="B7" t="s">
        <v>144</v>
      </c>
      <c r="C7" s="3">
        <v>41</v>
      </c>
      <c r="D7">
        <v>27</v>
      </c>
      <c r="E7">
        <v>12</v>
      </c>
      <c r="F7">
        <v>5</v>
      </c>
      <c r="G7">
        <f t="shared" si="2"/>
        <v>10</v>
      </c>
      <c r="H7">
        <v>51</v>
      </c>
      <c r="I7">
        <v>43</v>
      </c>
      <c r="J7">
        <f t="shared" si="3"/>
        <v>8</v>
      </c>
      <c r="L7" t="s">
        <v>144</v>
      </c>
      <c r="M7" t="s">
        <v>47</v>
      </c>
      <c r="N7" t="s">
        <v>145</v>
      </c>
    </row>
    <row r="8" spans="1:17" x14ac:dyDescent="0.3">
      <c r="A8" t="s">
        <v>5</v>
      </c>
      <c r="B8" t="s">
        <v>141</v>
      </c>
      <c r="C8" s="3">
        <v>41</v>
      </c>
      <c r="D8">
        <v>27</v>
      </c>
      <c r="E8">
        <v>12</v>
      </c>
      <c r="F8">
        <v>5</v>
      </c>
      <c r="G8">
        <f t="shared" si="2"/>
        <v>10</v>
      </c>
      <c r="H8">
        <v>41</v>
      </c>
      <c r="I8">
        <v>35</v>
      </c>
      <c r="J8">
        <f t="shared" si="3"/>
        <v>6</v>
      </c>
      <c r="L8" t="s">
        <v>138</v>
      </c>
      <c r="M8" t="s">
        <v>41</v>
      </c>
      <c r="N8" t="s">
        <v>139</v>
      </c>
    </row>
    <row r="9" spans="1:17" x14ac:dyDescent="0.3">
      <c r="A9" t="s">
        <v>6</v>
      </c>
      <c r="B9" s="6" t="s">
        <v>146</v>
      </c>
      <c r="C9" s="3">
        <v>38</v>
      </c>
      <c r="D9">
        <v>27</v>
      </c>
      <c r="E9">
        <v>12</v>
      </c>
      <c r="F9">
        <v>2</v>
      </c>
      <c r="G9">
        <f t="shared" si="2"/>
        <v>13</v>
      </c>
      <c r="H9">
        <v>36</v>
      </c>
      <c r="I9">
        <v>36</v>
      </c>
      <c r="J9">
        <f t="shared" si="3"/>
        <v>0</v>
      </c>
      <c r="L9" t="s">
        <v>143</v>
      </c>
      <c r="M9" t="s">
        <v>149</v>
      </c>
      <c r="N9" t="s">
        <v>142</v>
      </c>
    </row>
    <row r="10" spans="1:17" x14ac:dyDescent="0.3">
      <c r="A10" t="s">
        <v>7</v>
      </c>
      <c r="B10" t="s">
        <v>143</v>
      </c>
      <c r="C10" s="3">
        <v>36</v>
      </c>
      <c r="D10">
        <v>27</v>
      </c>
      <c r="E10">
        <v>11</v>
      </c>
      <c r="F10">
        <v>3</v>
      </c>
      <c r="G10">
        <f t="shared" si="2"/>
        <v>13</v>
      </c>
      <c r="H10">
        <v>35</v>
      </c>
      <c r="I10">
        <v>40</v>
      </c>
      <c r="J10">
        <f t="shared" si="3"/>
        <v>-5</v>
      </c>
      <c r="L10" t="s">
        <v>147</v>
      </c>
      <c r="M10" t="s">
        <v>42</v>
      </c>
      <c r="N10" t="s">
        <v>141</v>
      </c>
    </row>
    <row r="11" spans="1:17" x14ac:dyDescent="0.3">
      <c r="A11" t="s">
        <v>8</v>
      </c>
      <c r="B11" t="s">
        <v>145</v>
      </c>
      <c r="C11" s="3">
        <v>31</v>
      </c>
      <c r="D11">
        <v>27</v>
      </c>
      <c r="E11">
        <v>8</v>
      </c>
      <c r="F11">
        <v>7</v>
      </c>
      <c r="G11">
        <f t="shared" si="2"/>
        <v>12</v>
      </c>
      <c r="H11">
        <v>39</v>
      </c>
      <c r="I11">
        <v>49</v>
      </c>
      <c r="J11">
        <f t="shared" si="3"/>
        <v>-10</v>
      </c>
    </row>
    <row r="12" spans="1:17" x14ac:dyDescent="0.3">
      <c r="A12" t="s">
        <v>9</v>
      </c>
      <c r="B12" t="s">
        <v>147</v>
      </c>
      <c r="C12" s="3">
        <v>22</v>
      </c>
      <c r="D12">
        <v>27</v>
      </c>
      <c r="E12">
        <v>6</v>
      </c>
      <c r="F12">
        <v>4</v>
      </c>
      <c r="G12">
        <f t="shared" si="2"/>
        <v>17</v>
      </c>
      <c r="H12">
        <v>21</v>
      </c>
      <c r="I12">
        <v>39</v>
      </c>
      <c r="J12">
        <f t="shared" si="3"/>
        <v>-18</v>
      </c>
      <c r="L12" t="s">
        <v>40</v>
      </c>
    </row>
    <row r="13" spans="1:17" x14ac:dyDescent="0.3">
      <c r="L13" t="s">
        <v>139</v>
      </c>
      <c r="M13" t="s">
        <v>150</v>
      </c>
      <c r="N13" t="s">
        <v>145</v>
      </c>
    </row>
    <row r="14" spans="1:17" x14ac:dyDescent="0.3">
      <c r="L14" t="s">
        <v>147</v>
      </c>
      <c r="M14" t="s">
        <v>41</v>
      </c>
      <c r="N14" t="s">
        <v>142</v>
      </c>
    </row>
    <row r="16" spans="1:17" x14ac:dyDescent="0.3">
      <c r="L16" t="s">
        <v>46</v>
      </c>
    </row>
    <row r="17" spans="12:14" x14ac:dyDescent="0.3">
      <c r="L17" t="s">
        <v>139</v>
      </c>
      <c r="M17" t="s">
        <v>151</v>
      </c>
      <c r="N17" t="s">
        <v>142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246F4-30DC-41C3-8877-B4FB2819B0D6}">
  <dimension ref="A1:F7"/>
  <sheetViews>
    <sheetView workbookViewId="0">
      <selection activeCell="F3" sqref="F3"/>
    </sheetView>
  </sheetViews>
  <sheetFormatPr defaultRowHeight="14.4" x14ac:dyDescent="0.3"/>
  <sheetData>
    <row r="1" spans="1:6" x14ac:dyDescent="0.3">
      <c r="A1" t="s">
        <v>1017</v>
      </c>
      <c r="E1" t="s">
        <v>1022</v>
      </c>
    </row>
    <row r="2" spans="1:6" x14ac:dyDescent="0.3">
      <c r="A2" t="s">
        <v>40</v>
      </c>
      <c r="E2" t="s">
        <v>1019</v>
      </c>
      <c r="F2">
        <v>52</v>
      </c>
    </row>
    <row r="3" spans="1:6" x14ac:dyDescent="0.3">
      <c r="A3" t="s">
        <v>1018</v>
      </c>
      <c r="B3" t="s">
        <v>64</v>
      </c>
      <c r="C3" t="s">
        <v>1019</v>
      </c>
    </row>
    <row r="4" spans="1:6" x14ac:dyDescent="0.3">
      <c r="A4" t="s">
        <v>1020</v>
      </c>
      <c r="B4" t="s">
        <v>42</v>
      </c>
      <c r="C4" t="s">
        <v>1021</v>
      </c>
    </row>
    <row r="6" spans="1:6" x14ac:dyDescent="0.3">
      <c r="A6" t="s">
        <v>46</v>
      </c>
    </row>
    <row r="7" spans="1:6" x14ac:dyDescent="0.3">
      <c r="A7" t="s">
        <v>1020</v>
      </c>
      <c r="B7" t="s">
        <v>41</v>
      </c>
      <c r="C7" t="s">
        <v>1019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2874C-8453-421D-BADE-0DA8D6B413A0}">
  <dimension ref="A1:Q17"/>
  <sheetViews>
    <sheetView workbookViewId="0">
      <selection activeCell="A2" sqref="A2:J10"/>
    </sheetView>
  </sheetViews>
  <sheetFormatPr defaultRowHeight="14.4" x14ac:dyDescent="0.3"/>
  <sheetData>
    <row r="1" spans="1:17" x14ac:dyDescent="0.3">
      <c r="A1" t="s">
        <v>110</v>
      </c>
      <c r="L1" t="s">
        <v>121</v>
      </c>
      <c r="P1" t="s">
        <v>48</v>
      </c>
    </row>
    <row r="2" spans="1:17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20</v>
      </c>
      <c r="I2" t="s">
        <v>21</v>
      </c>
      <c r="J2" t="s">
        <v>19</v>
      </c>
      <c r="L2" t="s">
        <v>36</v>
      </c>
      <c r="P2" s="6" t="s">
        <v>117</v>
      </c>
      <c r="Q2">
        <v>2</v>
      </c>
    </row>
    <row r="3" spans="1:17" x14ac:dyDescent="0.3">
      <c r="A3" s="4" t="s">
        <v>0</v>
      </c>
      <c r="B3" s="6" t="s">
        <v>117</v>
      </c>
      <c r="C3" s="3">
        <v>56</v>
      </c>
      <c r="D3">
        <v>36</v>
      </c>
      <c r="E3">
        <v>16</v>
      </c>
      <c r="F3">
        <v>8</v>
      </c>
      <c r="G3">
        <f t="shared" ref="G3:G6" si="0">D3-E3-F3</f>
        <v>12</v>
      </c>
      <c r="H3">
        <v>62</v>
      </c>
      <c r="I3">
        <v>48</v>
      </c>
      <c r="J3">
        <f t="shared" ref="J3:J6" si="1">H3-I3</f>
        <v>14</v>
      </c>
      <c r="L3" s="6" t="s">
        <v>111</v>
      </c>
      <c r="M3" t="s">
        <v>37</v>
      </c>
      <c r="N3" t="s">
        <v>113</v>
      </c>
      <c r="P3" s="6" t="s">
        <v>118</v>
      </c>
      <c r="Q3">
        <v>3</v>
      </c>
    </row>
    <row r="4" spans="1:17" x14ac:dyDescent="0.3">
      <c r="A4" s="1" t="s">
        <v>1</v>
      </c>
      <c r="B4" s="6" t="s">
        <v>115</v>
      </c>
      <c r="C4" s="3">
        <v>52</v>
      </c>
      <c r="D4">
        <v>36</v>
      </c>
      <c r="E4">
        <v>15</v>
      </c>
      <c r="F4">
        <v>7</v>
      </c>
      <c r="G4">
        <f t="shared" si="0"/>
        <v>14</v>
      </c>
      <c r="H4">
        <v>50</v>
      </c>
      <c r="I4">
        <v>53</v>
      </c>
      <c r="J4">
        <f t="shared" si="1"/>
        <v>-3</v>
      </c>
      <c r="L4" s="6" t="s">
        <v>112</v>
      </c>
      <c r="M4" t="s">
        <v>37</v>
      </c>
      <c r="N4" s="6" t="s">
        <v>119</v>
      </c>
    </row>
    <row r="5" spans="1:17" x14ac:dyDescent="0.3">
      <c r="A5" s="1" t="s">
        <v>2</v>
      </c>
      <c r="B5" t="s">
        <v>113</v>
      </c>
      <c r="C5" s="3">
        <v>51</v>
      </c>
      <c r="D5">
        <v>36</v>
      </c>
      <c r="E5">
        <v>15</v>
      </c>
      <c r="F5">
        <v>6</v>
      </c>
      <c r="G5">
        <f t="shared" si="0"/>
        <v>15</v>
      </c>
      <c r="H5">
        <v>49</v>
      </c>
      <c r="I5">
        <v>45</v>
      </c>
      <c r="J5">
        <f t="shared" si="1"/>
        <v>4</v>
      </c>
    </row>
    <row r="6" spans="1:17" x14ac:dyDescent="0.3">
      <c r="A6" t="s">
        <v>3</v>
      </c>
      <c r="B6" s="6" t="s">
        <v>114</v>
      </c>
      <c r="C6" s="3">
        <v>51</v>
      </c>
      <c r="D6">
        <v>36</v>
      </c>
      <c r="E6">
        <v>15</v>
      </c>
      <c r="F6">
        <v>6</v>
      </c>
      <c r="G6">
        <f t="shared" si="0"/>
        <v>15</v>
      </c>
      <c r="H6">
        <v>60</v>
      </c>
      <c r="I6">
        <v>66</v>
      </c>
      <c r="J6">
        <f t="shared" si="1"/>
        <v>-6</v>
      </c>
      <c r="L6" t="s">
        <v>39</v>
      </c>
    </row>
    <row r="7" spans="1:17" x14ac:dyDescent="0.3">
      <c r="A7" t="s">
        <v>4</v>
      </c>
      <c r="B7" s="6" t="s">
        <v>116</v>
      </c>
      <c r="C7" s="3">
        <v>50</v>
      </c>
      <c r="D7">
        <v>36</v>
      </c>
      <c r="E7">
        <v>12</v>
      </c>
      <c r="F7">
        <v>14</v>
      </c>
      <c r="G7">
        <f>D7-E7-F7</f>
        <v>10</v>
      </c>
      <c r="H7">
        <v>52</v>
      </c>
      <c r="I7">
        <v>46</v>
      </c>
      <c r="J7">
        <f>H7-I7</f>
        <v>6</v>
      </c>
      <c r="L7" s="6" t="s">
        <v>117</v>
      </c>
      <c r="M7" t="s">
        <v>44</v>
      </c>
      <c r="N7" s="6" t="s">
        <v>112</v>
      </c>
    </row>
    <row r="8" spans="1:17" x14ac:dyDescent="0.3">
      <c r="A8" t="s">
        <v>5</v>
      </c>
      <c r="B8" s="6" t="s">
        <v>112</v>
      </c>
      <c r="C8" s="3">
        <v>50</v>
      </c>
      <c r="D8">
        <v>36</v>
      </c>
      <c r="E8">
        <v>14</v>
      </c>
      <c r="F8">
        <v>8</v>
      </c>
      <c r="G8">
        <f t="shared" ref="G8:G12" si="2">D8-E8-F8</f>
        <v>14</v>
      </c>
      <c r="H8">
        <v>49</v>
      </c>
      <c r="I8">
        <v>43</v>
      </c>
      <c r="J8">
        <f t="shared" ref="J8:J12" si="3">H8-I8</f>
        <v>6</v>
      </c>
      <c r="L8" s="6" t="s">
        <v>116</v>
      </c>
      <c r="M8" t="s">
        <v>122</v>
      </c>
      <c r="N8" s="6" t="s">
        <v>114</v>
      </c>
    </row>
    <row r="9" spans="1:17" x14ac:dyDescent="0.3">
      <c r="A9" t="s">
        <v>6</v>
      </c>
      <c r="B9" s="6" t="s">
        <v>120</v>
      </c>
      <c r="C9" s="3">
        <v>49</v>
      </c>
      <c r="D9">
        <v>36</v>
      </c>
      <c r="E9">
        <v>12</v>
      </c>
      <c r="F9">
        <v>13</v>
      </c>
      <c r="G9">
        <f t="shared" si="2"/>
        <v>11</v>
      </c>
      <c r="H9">
        <v>55</v>
      </c>
      <c r="I9">
        <v>49</v>
      </c>
      <c r="J9">
        <f t="shared" si="3"/>
        <v>6</v>
      </c>
      <c r="L9" s="6" t="s">
        <v>120</v>
      </c>
      <c r="M9" t="s">
        <v>44</v>
      </c>
      <c r="N9" s="6" t="s">
        <v>111</v>
      </c>
    </row>
    <row r="10" spans="1:17" x14ac:dyDescent="0.3">
      <c r="A10" t="s">
        <v>7</v>
      </c>
      <c r="B10" s="6" t="s">
        <v>119</v>
      </c>
      <c r="C10" s="3">
        <v>48</v>
      </c>
      <c r="D10">
        <v>36</v>
      </c>
      <c r="E10">
        <v>14</v>
      </c>
      <c r="F10">
        <v>6</v>
      </c>
      <c r="G10">
        <f t="shared" si="2"/>
        <v>16</v>
      </c>
      <c r="H10">
        <v>50</v>
      </c>
      <c r="I10">
        <v>60</v>
      </c>
      <c r="J10">
        <f t="shared" si="3"/>
        <v>-10</v>
      </c>
      <c r="L10" s="6" t="s">
        <v>115</v>
      </c>
      <c r="M10" t="s">
        <v>123</v>
      </c>
      <c r="N10" s="6" t="s">
        <v>118</v>
      </c>
    </row>
    <row r="11" spans="1:17" x14ac:dyDescent="0.3">
      <c r="A11" t="s">
        <v>8</v>
      </c>
      <c r="B11" s="6" t="s">
        <v>111</v>
      </c>
      <c r="C11" s="3">
        <v>46</v>
      </c>
      <c r="D11">
        <v>36</v>
      </c>
      <c r="E11">
        <v>12</v>
      </c>
      <c r="F11">
        <v>10</v>
      </c>
      <c r="G11">
        <f t="shared" si="2"/>
        <v>14</v>
      </c>
      <c r="H11">
        <v>48</v>
      </c>
      <c r="I11">
        <v>56</v>
      </c>
      <c r="J11">
        <f t="shared" si="3"/>
        <v>-8</v>
      </c>
    </row>
    <row r="12" spans="1:17" x14ac:dyDescent="0.3">
      <c r="A12" s="1" t="s">
        <v>9</v>
      </c>
      <c r="B12" s="6" t="s">
        <v>118</v>
      </c>
      <c r="C12" s="3">
        <v>44</v>
      </c>
      <c r="D12">
        <v>36</v>
      </c>
      <c r="E12">
        <v>12</v>
      </c>
      <c r="F12">
        <v>8</v>
      </c>
      <c r="G12">
        <f t="shared" si="2"/>
        <v>16</v>
      </c>
      <c r="H12">
        <v>44</v>
      </c>
      <c r="I12">
        <v>53</v>
      </c>
      <c r="J12">
        <f t="shared" si="3"/>
        <v>-9</v>
      </c>
      <c r="L12" t="s">
        <v>40</v>
      </c>
    </row>
    <row r="13" spans="1:17" x14ac:dyDescent="0.3">
      <c r="L13" s="6" t="s">
        <v>117</v>
      </c>
      <c r="M13" t="s">
        <v>43</v>
      </c>
      <c r="N13" s="6" t="s">
        <v>116</v>
      </c>
    </row>
    <row r="14" spans="1:17" x14ac:dyDescent="0.3">
      <c r="L14" s="6" t="s">
        <v>120</v>
      </c>
      <c r="M14" t="s">
        <v>38</v>
      </c>
      <c r="N14" s="6" t="s">
        <v>118</v>
      </c>
    </row>
    <row r="16" spans="1:17" x14ac:dyDescent="0.3">
      <c r="L16" t="s">
        <v>46</v>
      </c>
    </row>
    <row r="17" spans="12:14" x14ac:dyDescent="0.3">
      <c r="L17" s="6" t="s">
        <v>117</v>
      </c>
      <c r="M17" t="s">
        <v>47</v>
      </c>
      <c r="N17" s="6" t="s">
        <v>118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81BA8-EF31-4DC1-9866-CE34994B8D95}">
  <dimension ref="A1:Q18"/>
  <sheetViews>
    <sheetView workbookViewId="0">
      <selection activeCell="A2" sqref="A2:J14"/>
    </sheetView>
  </sheetViews>
  <sheetFormatPr defaultRowHeight="14.4" x14ac:dyDescent="0.3"/>
  <sheetData>
    <row r="1" spans="1:17" x14ac:dyDescent="0.3">
      <c r="A1" t="s">
        <v>1023</v>
      </c>
      <c r="L1" t="s">
        <v>1040</v>
      </c>
      <c r="P1" t="s">
        <v>48</v>
      </c>
    </row>
    <row r="2" spans="1:17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20</v>
      </c>
      <c r="I2" t="s">
        <v>21</v>
      </c>
      <c r="J2" t="s">
        <v>19</v>
      </c>
      <c r="L2" t="s">
        <v>39</v>
      </c>
      <c r="P2" t="s">
        <v>1024</v>
      </c>
      <c r="Q2">
        <v>1</v>
      </c>
    </row>
    <row r="3" spans="1:17" x14ac:dyDescent="0.3">
      <c r="A3" s="4" t="s">
        <v>0</v>
      </c>
      <c r="B3" t="s">
        <v>1024</v>
      </c>
      <c r="C3" s="3">
        <f t="shared" ref="C3:C18" si="0">E3*3+F3</f>
        <v>59</v>
      </c>
      <c r="D3">
        <v>30</v>
      </c>
      <c r="E3">
        <v>18</v>
      </c>
      <c r="F3">
        <v>5</v>
      </c>
      <c r="G3">
        <f>D3-E3-F3</f>
        <v>7</v>
      </c>
      <c r="H3">
        <v>64</v>
      </c>
      <c r="I3">
        <v>30</v>
      </c>
      <c r="J3">
        <f>H3-I3</f>
        <v>34</v>
      </c>
      <c r="L3" t="s">
        <v>1024</v>
      </c>
      <c r="M3" t="s">
        <v>1041</v>
      </c>
      <c r="N3" t="s">
        <v>1030</v>
      </c>
      <c r="P3" t="s">
        <v>1024</v>
      </c>
      <c r="Q3">
        <v>1</v>
      </c>
    </row>
    <row r="4" spans="1:17" x14ac:dyDescent="0.3">
      <c r="A4" s="1" t="s">
        <v>1</v>
      </c>
      <c r="B4" t="s">
        <v>1025</v>
      </c>
      <c r="C4" s="3">
        <f t="shared" si="0"/>
        <v>58</v>
      </c>
      <c r="D4">
        <v>30</v>
      </c>
      <c r="E4">
        <v>16</v>
      </c>
      <c r="F4">
        <v>10</v>
      </c>
      <c r="G4">
        <f t="shared" ref="G4:G18" si="1">D4-E4-F4</f>
        <v>4</v>
      </c>
      <c r="H4">
        <v>61</v>
      </c>
      <c r="I4">
        <v>29</v>
      </c>
      <c r="J4">
        <f t="shared" ref="J4:J18" si="2">H4-I4</f>
        <v>32</v>
      </c>
      <c r="L4" t="s">
        <v>1025</v>
      </c>
      <c r="M4" t="s">
        <v>45</v>
      </c>
      <c r="N4" t="s">
        <v>1031</v>
      </c>
    </row>
    <row r="5" spans="1:17" x14ac:dyDescent="0.3">
      <c r="A5" s="1" t="s">
        <v>2</v>
      </c>
      <c r="B5" t="s">
        <v>1026</v>
      </c>
      <c r="C5" s="3">
        <f t="shared" si="0"/>
        <v>58</v>
      </c>
      <c r="D5">
        <v>30</v>
      </c>
      <c r="E5">
        <v>18</v>
      </c>
      <c r="F5">
        <v>4</v>
      </c>
      <c r="G5">
        <f t="shared" si="1"/>
        <v>8</v>
      </c>
      <c r="H5">
        <v>61</v>
      </c>
      <c r="I5">
        <v>31</v>
      </c>
      <c r="J5">
        <f t="shared" si="2"/>
        <v>30</v>
      </c>
    </row>
    <row r="6" spans="1:17" x14ac:dyDescent="0.3">
      <c r="A6" s="1" t="s">
        <v>3</v>
      </c>
      <c r="B6" t="s">
        <v>1033</v>
      </c>
      <c r="C6" s="3">
        <f t="shared" si="0"/>
        <v>58</v>
      </c>
      <c r="D6">
        <v>30</v>
      </c>
      <c r="E6">
        <v>19</v>
      </c>
      <c r="F6">
        <v>1</v>
      </c>
      <c r="G6">
        <f t="shared" si="1"/>
        <v>10</v>
      </c>
      <c r="H6">
        <v>53</v>
      </c>
      <c r="I6">
        <v>29</v>
      </c>
      <c r="J6">
        <f t="shared" si="2"/>
        <v>24</v>
      </c>
      <c r="L6" t="s">
        <v>40</v>
      </c>
    </row>
    <row r="7" spans="1:17" x14ac:dyDescent="0.3">
      <c r="A7" t="s">
        <v>4</v>
      </c>
      <c r="B7" t="s">
        <v>1027</v>
      </c>
      <c r="C7" s="3">
        <f t="shared" si="0"/>
        <v>58</v>
      </c>
      <c r="D7">
        <v>30</v>
      </c>
      <c r="E7">
        <v>17</v>
      </c>
      <c r="F7">
        <v>7</v>
      </c>
      <c r="G7">
        <f t="shared" si="1"/>
        <v>6</v>
      </c>
      <c r="H7">
        <v>56</v>
      </c>
      <c r="I7">
        <v>39</v>
      </c>
      <c r="J7">
        <f t="shared" si="2"/>
        <v>17</v>
      </c>
      <c r="L7" t="s">
        <v>1035</v>
      </c>
      <c r="M7" t="s">
        <v>43</v>
      </c>
      <c r="N7" t="s">
        <v>1038</v>
      </c>
    </row>
    <row r="8" spans="1:17" x14ac:dyDescent="0.3">
      <c r="A8" t="s">
        <v>5</v>
      </c>
      <c r="B8" t="s">
        <v>1028</v>
      </c>
      <c r="C8" s="3">
        <f t="shared" si="0"/>
        <v>41</v>
      </c>
      <c r="D8">
        <v>30</v>
      </c>
      <c r="E8">
        <v>12</v>
      </c>
      <c r="F8">
        <v>5</v>
      </c>
      <c r="G8">
        <f t="shared" si="1"/>
        <v>13</v>
      </c>
      <c r="H8">
        <v>42</v>
      </c>
      <c r="I8">
        <v>45</v>
      </c>
      <c r="J8">
        <f t="shared" si="2"/>
        <v>-3</v>
      </c>
      <c r="L8" t="s">
        <v>1024</v>
      </c>
      <c r="M8" t="s">
        <v>91</v>
      </c>
      <c r="N8" t="s">
        <v>1025</v>
      </c>
    </row>
    <row r="9" spans="1:17" x14ac:dyDescent="0.3">
      <c r="A9" t="s">
        <v>6</v>
      </c>
      <c r="B9" t="s">
        <v>1029</v>
      </c>
      <c r="C9" s="3">
        <f t="shared" si="0"/>
        <v>39</v>
      </c>
      <c r="D9">
        <v>30</v>
      </c>
      <c r="E9">
        <v>10</v>
      </c>
      <c r="F9">
        <v>9</v>
      </c>
      <c r="G9">
        <f t="shared" si="1"/>
        <v>11</v>
      </c>
      <c r="H9">
        <v>39</v>
      </c>
      <c r="I9">
        <v>39</v>
      </c>
      <c r="J9">
        <f t="shared" si="2"/>
        <v>0</v>
      </c>
    </row>
    <row r="10" spans="1:17" x14ac:dyDescent="0.3">
      <c r="A10" t="s">
        <v>7</v>
      </c>
      <c r="B10" t="s">
        <v>1030</v>
      </c>
      <c r="C10" s="3">
        <f t="shared" si="0"/>
        <v>39</v>
      </c>
      <c r="D10">
        <v>30</v>
      </c>
      <c r="E10">
        <v>11</v>
      </c>
      <c r="F10">
        <v>6</v>
      </c>
      <c r="G10">
        <f t="shared" si="1"/>
        <v>13</v>
      </c>
      <c r="H10">
        <v>45</v>
      </c>
      <c r="I10">
        <v>46</v>
      </c>
      <c r="J10">
        <f t="shared" si="2"/>
        <v>-1</v>
      </c>
      <c r="L10" t="s">
        <v>46</v>
      </c>
    </row>
    <row r="11" spans="1:17" x14ac:dyDescent="0.3">
      <c r="A11" t="s">
        <v>8</v>
      </c>
      <c r="B11" t="s">
        <v>1031</v>
      </c>
      <c r="C11" s="3">
        <f t="shared" si="0"/>
        <v>39</v>
      </c>
      <c r="D11">
        <v>30</v>
      </c>
      <c r="E11">
        <v>10</v>
      </c>
      <c r="F11">
        <v>9</v>
      </c>
      <c r="G11">
        <f t="shared" si="1"/>
        <v>11</v>
      </c>
      <c r="H11">
        <v>42</v>
      </c>
      <c r="I11">
        <v>46</v>
      </c>
      <c r="J11">
        <f t="shared" si="2"/>
        <v>-4</v>
      </c>
      <c r="L11" t="s">
        <v>1024</v>
      </c>
      <c r="M11" t="s">
        <v>42</v>
      </c>
      <c r="N11" t="s">
        <v>1035</v>
      </c>
    </row>
    <row r="12" spans="1:17" x14ac:dyDescent="0.3">
      <c r="A12" t="s">
        <v>9</v>
      </c>
      <c r="B12" t="s">
        <v>1032</v>
      </c>
      <c r="C12" s="3">
        <f t="shared" si="0"/>
        <v>36</v>
      </c>
      <c r="D12">
        <v>30</v>
      </c>
      <c r="E12">
        <v>9</v>
      </c>
      <c r="F12">
        <v>9</v>
      </c>
      <c r="G12">
        <f t="shared" si="1"/>
        <v>12</v>
      </c>
      <c r="H12">
        <v>35</v>
      </c>
      <c r="I12">
        <v>50</v>
      </c>
      <c r="J12">
        <f t="shared" si="2"/>
        <v>-15</v>
      </c>
    </row>
    <row r="13" spans="1:17" x14ac:dyDescent="0.3">
      <c r="A13" t="s">
        <v>10</v>
      </c>
      <c r="B13" t="s">
        <v>1034</v>
      </c>
      <c r="C13" s="3">
        <f t="shared" si="0"/>
        <v>35</v>
      </c>
      <c r="D13">
        <v>30</v>
      </c>
      <c r="E13">
        <v>9</v>
      </c>
      <c r="F13">
        <v>8</v>
      </c>
      <c r="G13">
        <f t="shared" si="1"/>
        <v>13</v>
      </c>
      <c r="H13">
        <v>44</v>
      </c>
      <c r="I13">
        <v>51</v>
      </c>
      <c r="J13">
        <f t="shared" si="2"/>
        <v>-7</v>
      </c>
    </row>
    <row r="14" spans="1:17" x14ac:dyDescent="0.3">
      <c r="A14" t="s">
        <v>11</v>
      </c>
      <c r="B14" t="s">
        <v>1035</v>
      </c>
      <c r="C14" s="3">
        <f t="shared" si="0"/>
        <v>35</v>
      </c>
      <c r="D14">
        <v>30</v>
      </c>
      <c r="E14">
        <v>9</v>
      </c>
      <c r="F14">
        <v>8</v>
      </c>
      <c r="G14">
        <f t="shared" si="1"/>
        <v>13</v>
      </c>
      <c r="H14">
        <v>34</v>
      </c>
      <c r="I14">
        <v>47</v>
      </c>
      <c r="J14">
        <f t="shared" si="2"/>
        <v>-13</v>
      </c>
    </row>
    <row r="15" spans="1:17" x14ac:dyDescent="0.3">
      <c r="A15" t="s">
        <v>69</v>
      </c>
      <c r="B15" t="s">
        <v>1036</v>
      </c>
      <c r="C15" s="3">
        <f t="shared" si="0"/>
        <v>34</v>
      </c>
      <c r="D15">
        <v>30</v>
      </c>
      <c r="E15">
        <v>10</v>
      </c>
      <c r="F15">
        <v>4</v>
      </c>
      <c r="G15">
        <f t="shared" si="1"/>
        <v>16</v>
      </c>
      <c r="H15">
        <v>34</v>
      </c>
      <c r="I15">
        <v>41</v>
      </c>
      <c r="J15">
        <f t="shared" si="2"/>
        <v>-7</v>
      </c>
    </row>
    <row r="16" spans="1:17" x14ac:dyDescent="0.3">
      <c r="A16" t="s">
        <v>70</v>
      </c>
      <c r="B16" t="s">
        <v>1037</v>
      </c>
      <c r="C16" s="3">
        <f t="shared" si="0"/>
        <v>32</v>
      </c>
      <c r="D16">
        <v>30</v>
      </c>
      <c r="E16">
        <v>10</v>
      </c>
      <c r="F16">
        <v>2</v>
      </c>
      <c r="G16">
        <f t="shared" si="1"/>
        <v>18</v>
      </c>
      <c r="H16">
        <v>36</v>
      </c>
      <c r="I16">
        <v>61</v>
      </c>
      <c r="J16">
        <f t="shared" si="2"/>
        <v>-25</v>
      </c>
    </row>
    <row r="17" spans="1:10" x14ac:dyDescent="0.3">
      <c r="A17" t="s">
        <v>71</v>
      </c>
      <c r="B17" t="s">
        <v>1038</v>
      </c>
      <c r="C17" s="3">
        <f t="shared" si="0"/>
        <v>28</v>
      </c>
      <c r="D17">
        <v>30</v>
      </c>
      <c r="E17">
        <v>7</v>
      </c>
      <c r="F17">
        <v>7</v>
      </c>
      <c r="G17">
        <f t="shared" si="1"/>
        <v>16</v>
      </c>
      <c r="H17">
        <v>30</v>
      </c>
      <c r="I17">
        <v>64</v>
      </c>
      <c r="J17">
        <f t="shared" si="2"/>
        <v>-34</v>
      </c>
    </row>
    <row r="18" spans="1:10" x14ac:dyDescent="0.3">
      <c r="A18" t="s">
        <v>72</v>
      </c>
      <c r="B18" t="s">
        <v>1039</v>
      </c>
      <c r="C18" s="3">
        <f t="shared" si="0"/>
        <v>21</v>
      </c>
      <c r="D18">
        <v>30</v>
      </c>
      <c r="E18">
        <v>5</v>
      </c>
      <c r="F18">
        <v>6</v>
      </c>
      <c r="G18">
        <f t="shared" si="1"/>
        <v>19</v>
      </c>
      <c r="H18">
        <v>28</v>
      </c>
      <c r="I18">
        <v>56</v>
      </c>
      <c r="J18">
        <f t="shared" si="2"/>
        <v>-28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743E8-87C7-42FB-BF1C-8BF8DA100A9D}">
  <dimension ref="A1:Q14"/>
  <sheetViews>
    <sheetView workbookViewId="0">
      <selection activeCell="A2" sqref="A2:J14"/>
    </sheetView>
  </sheetViews>
  <sheetFormatPr defaultRowHeight="14.4" x14ac:dyDescent="0.3"/>
  <sheetData>
    <row r="1" spans="1:17" x14ac:dyDescent="0.3">
      <c r="A1" t="s">
        <v>1051</v>
      </c>
      <c r="L1" t="s">
        <v>1064</v>
      </c>
      <c r="P1" t="s">
        <v>48</v>
      </c>
    </row>
    <row r="2" spans="1:17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20</v>
      </c>
      <c r="I2" t="s">
        <v>21</v>
      </c>
      <c r="J2" t="s">
        <v>19</v>
      </c>
      <c r="L2" t="s">
        <v>46</v>
      </c>
      <c r="P2" t="s">
        <v>1052</v>
      </c>
      <c r="Q2">
        <v>6</v>
      </c>
    </row>
    <row r="3" spans="1:17" x14ac:dyDescent="0.3">
      <c r="A3" s="4" t="s">
        <v>0</v>
      </c>
      <c r="B3" t="s">
        <v>1052</v>
      </c>
      <c r="C3" s="3">
        <f t="shared" ref="C3:C14" si="0">E3*3+F3</f>
        <v>74</v>
      </c>
      <c r="D3">
        <v>33</v>
      </c>
      <c r="E3">
        <v>23</v>
      </c>
      <c r="F3">
        <v>5</v>
      </c>
      <c r="G3">
        <f>D3-E3-F3</f>
        <v>5</v>
      </c>
      <c r="H3">
        <v>59</v>
      </c>
      <c r="I3">
        <v>28</v>
      </c>
      <c r="J3">
        <f>H3-I3</f>
        <v>31</v>
      </c>
      <c r="L3" t="s">
        <v>1052</v>
      </c>
      <c r="M3" t="s">
        <v>42</v>
      </c>
      <c r="N3" t="s">
        <v>1055</v>
      </c>
      <c r="P3" t="s">
        <v>1052</v>
      </c>
      <c r="Q3">
        <v>3</v>
      </c>
    </row>
    <row r="4" spans="1:17" x14ac:dyDescent="0.3">
      <c r="A4" s="1" t="s">
        <v>1</v>
      </c>
      <c r="B4" t="s">
        <v>1053</v>
      </c>
      <c r="C4" s="3">
        <f t="shared" si="0"/>
        <v>70</v>
      </c>
      <c r="D4">
        <v>33</v>
      </c>
      <c r="E4">
        <v>21</v>
      </c>
      <c r="F4">
        <v>7</v>
      </c>
      <c r="G4">
        <f t="shared" ref="G4:G14" si="1">D4-E4-F4</f>
        <v>5</v>
      </c>
      <c r="H4">
        <v>72</v>
      </c>
      <c r="I4">
        <v>27</v>
      </c>
      <c r="J4">
        <f t="shared" ref="J4:J14" si="2">H4-I4</f>
        <v>45</v>
      </c>
    </row>
    <row r="5" spans="1:17" x14ac:dyDescent="0.3">
      <c r="A5" s="1" t="s">
        <v>2</v>
      </c>
      <c r="B5" t="s">
        <v>1054</v>
      </c>
      <c r="C5" s="3">
        <f t="shared" si="0"/>
        <v>70</v>
      </c>
      <c r="D5">
        <v>33</v>
      </c>
      <c r="E5">
        <v>21</v>
      </c>
      <c r="F5">
        <v>7</v>
      </c>
      <c r="G5">
        <f t="shared" si="1"/>
        <v>5</v>
      </c>
      <c r="H5">
        <v>69</v>
      </c>
      <c r="I5">
        <v>34</v>
      </c>
      <c r="J5">
        <f t="shared" si="2"/>
        <v>35</v>
      </c>
    </row>
    <row r="6" spans="1:17" x14ac:dyDescent="0.3">
      <c r="A6" t="s">
        <v>3</v>
      </c>
      <c r="B6" t="s">
        <v>1055</v>
      </c>
      <c r="C6" s="3">
        <f t="shared" si="0"/>
        <v>55</v>
      </c>
      <c r="D6">
        <v>33</v>
      </c>
      <c r="E6">
        <v>17</v>
      </c>
      <c r="F6">
        <v>4</v>
      </c>
      <c r="G6">
        <f t="shared" si="1"/>
        <v>12</v>
      </c>
      <c r="H6">
        <v>62</v>
      </c>
      <c r="I6">
        <v>40</v>
      </c>
      <c r="J6">
        <f t="shared" si="2"/>
        <v>22</v>
      </c>
    </row>
    <row r="7" spans="1:17" x14ac:dyDescent="0.3">
      <c r="A7" t="s">
        <v>4</v>
      </c>
      <c r="B7" t="s">
        <v>1056</v>
      </c>
      <c r="C7" s="3">
        <f t="shared" si="0"/>
        <v>50</v>
      </c>
      <c r="D7">
        <v>33</v>
      </c>
      <c r="E7">
        <v>14</v>
      </c>
      <c r="F7">
        <v>8</v>
      </c>
      <c r="G7">
        <f t="shared" si="1"/>
        <v>11</v>
      </c>
      <c r="H7">
        <v>51</v>
      </c>
      <c r="I7">
        <v>49</v>
      </c>
      <c r="J7">
        <f t="shared" si="2"/>
        <v>2</v>
      </c>
    </row>
    <row r="8" spans="1:17" x14ac:dyDescent="0.3">
      <c r="A8" t="s">
        <v>5</v>
      </c>
      <c r="B8" t="s">
        <v>1057</v>
      </c>
      <c r="C8" s="3">
        <f t="shared" si="0"/>
        <v>48</v>
      </c>
      <c r="D8">
        <v>33</v>
      </c>
      <c r="E8">
        <v>13</v>
      </c>
      <c r="F8">
        <v>9</v>
      </c>
      <c r="G8">
        <f t="shared" si="1"/>
        <v>11</v>
      </c>
      <c r="H8">
        <v>43</v>
      </c>
      <c r="I8">
        <v>48</v>
      </c>
      <c r="J8">
        <f t="shared" si="2"/>
        <v>-5</v>
      </c>
    </row>
    <row r="9" spans="1:17" x14ac:dyDescent="0.3">
      <c r="A9" t="s">
        <v>6</v>
      </c>
      <c r="B9" t="s">
        <v>1058</v>
      </c>
      <c r="C9" s="3">
        <f t="shared" si="0"/>
        <v>44</v>
      </c>
      <c r="D9">
        <v>33</v>
      </c>
      <c r="E9">
        <v>13</v>
      </c>
      <c r="F9">
        <v>5</v>
      </c>
      <c r="G9">
        <f t="shared" si="1"/>
        <v>15</v>
      </c>
      <c r="H9">
        <v>56</v>
      </c>
      <c r="I9">
        <v>44</v>
      </c>
      <c r="J9">
        <f t="shared" si="2"/>
        <v>12</v>
      </c>
    </row>
    <row r="10" spans="1:17" x14ac:dyDescent="0.3">
      <c r="A10" t="s">
        <v>7</v>
      </c>
      <c r="B10" t="s">
        <v>1059</v>
      </c>
      <c r="C10" s="3">
        <f t="shared" si="0"/>
        <v>40</v>
      </c>
      <c r="D10">
        <v>33</v>
      </c>
      <c r="E10">
        <v>11</v>
      </c>
      <c r="F10">
        <v>7</v>
      </c>
      <c r="G10">
        <f t="shared" si="1"/>
        <v>15</v>
      </c>
      <c r="H10">
        <v>47</v>
      </c>
      <c r="I10">
        <v>58</v>
      </c>
      <c r="J10">
        <f t="shared" si="2"/>
        <v>-11</v>
      </c>
    </row>
    <row r="11" spans="1:17" x14ac:dyDescent="0.3">
      <c r="A11" t="s">
        <v>8</v>
      </c>
      <c r="B11" t="s">
        <v>1060</v>
      </c>
      <c r="C11" s="3">
        <f t="shared" si="0"/>
        <v>33</v>
      </c>
      <c r="D11">
        <v>33</v>
      </c>
      <c r="E11">
        <v>9</v>
      </c>
      <c r="F11">
        <v>6</v>
      </c>
      <c r="G11">
        <f t="shared" si="1"/>
        <v>18</v>
      </c>
      <c r="H11">
        <v>36</v>
      </c>
      <c r="I11">
        <v>56</v>
      </c>
      <c r="J11">
        <f t="shared" si="2"/>
        <v>-20</v>
      </c>
    </row>
    <row r="12" spans="1:17" x14ac:dyDescent="0.3">
      <c r="A12" t="s">
        <v>9</v>
      </c>
      <c r="B12" t="s">
        <v>1062</v>
      </c>
      <c r="C12" s="3">
        <f t="shared" si="0"/>
        <v>32</v>
      </c>
      <c r="D12">
        <v>33</v>
      </c>
      <c r="E12">
        <v>8</v>
      </c>
      <c r="F12">
        <v>8</v>
      </c>
      <c r="G12">
        <f t="shared" si="1"/>
        <v>17</v>
      </c>
      <c r="H12">
        <v>32</v>
      </c>
      <c r="I12">
        <v>47</v>
      </c>
      <c r="J12">
        <f t="shared" si="2"/>
        <v>-15</v>
      </c>
    </row>
    <row r="13" spans="1:17" x14ac:dyDescent="0.3">
      <c r="A13" t="s">
        <v>10</v>
      </c>
      <c r="B13" t="s">
        <v>1061</v>
      </c>
      <c r="C13" s="3">
        <f t="shared" si="0"/>
        <v>27</v>
      </c>
      <c r="D13">
        <v>33</v>
      </c>
      <c r="E13">
        <v>7</v>
      </c>
      <c r="F13">
        <v>6</v>
      </c>
      <c r="G13">
        <f t="shared" si="1"/>
        <v>20</v>
      </c>
      <c r="H13">
        <v>35</v>
      </c>
      <c r="I13">
        <v>62</v>
      </c>
      <c r="J13">
        <f t="shared" si="2"/>
        <v>-27</v>
      </c>
    </row>
    <row r="14" spans="1:17" x14ac:dyDescent="0.3">
      <c r="A14" t="s">
        <v>11</v>
      </c>
      <c r="B14" t="s">
        <v>1063</v>
      </c>
      <c r="C14" s="3">
        <f t="shared" si="0"/>
        <v>14</v>
      </c>
      <c r="D14">
        <v>33</v>
      </c>
      <c r="E14">
        <v>4</v>
      </c>
      <c r="F14">
        <v>2</v>
      </c>
      <c r="G14">
        <f t="shared" si="1"/>
        <v>27</v>
      </c>
      <c r="H14">
        <v>25</v>
      </c>
      <c r="I14">
        <v>94</v>
      </c>
      <c r="J14">
        <f t="shared" si="2"/>
        <v>-69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EAB2C-3D00-4FCE-8541-4262EA634367}">
  <dimension ref="A1:Q12"/>
  <sheetViews>
    <sheetView workbookViewId="0">
      <selection activeCell="A2" sqref="A2:J9"/>
    </sheetView>
  </sheetViews>
  <sheetFormatPr defaultRowHeight="14.4" x14ac:dyDescent="0.3"/>
  <sheetData>
    <row r="1" spans="1:17" x14ac:dyDescent="0.3">
      <c r="A1" t="s">
        <v>1049</v>
      </c>
      <c r="L1" t="s">
        <v>1050</v>
      </c>
      <c r="P1" t="s">
        <v>48</v>
      </c>
    </row>
    <row r="2" spans="1:17" x14ac:dyDescent="0.3">
      <c r="A2" t="s">
        <v>1042</v>
      </c>
      <c r="L2" t="s">
        <v>46</v>
      </c>
      <c r="P2" t="s">
        <v>1045</v>
      </c>
      <c r="Q2">
        <v>12</v>
      </c>
    </row>
    <row r="3" spans="1:17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20</v>
      </c>
      <c r="I3" t="s">
        <v>21</v>
      </c>
      <c r="J3" t="s">
        <v>19</v>
      </c>
      <c r="L3" t="s">
        <v>1043</v>
      </c>
      <c r="M3" t="s">
        <v>43</v>
      </c>
      <c r="N3" t="s">
        <v>1048</v>
      </c>
      <c r="P3" t="s">
        <v>1043</v>
      </c>
      <c r="Q3">
        <v>2</v>
      </c>
    </row>
    <row r="4" spans="1:17" x14ac:dyDescent="0.3">
      <c r="A4" s="1" t="s">
        <v>0</v>
      </c>
      <c r="B4" t="s">
        <v>1043</v>
      </c>
      <c r="C4" s="3">
        <f t="shared" ref="C4:C9" si="0">E4*3+F4</f>
        <v>29</v>
      </c>
      <c r="D4">
        <v>16</v>
      </c>
      <c r="E4">
        <v>9</v>
      </c>
      <c r="F4">
        <v>2</v>
      </c>
      <c r="G4">
        <f t="shared" ref="G4:G9" si="1">D4-E4-F4</f>
        <v>5</v>
      </c>
      <c r="H4">
        <v>24</v>
      </c>
      <c r="I4">
        <v>18</v>
      </c>
      <c r="J4">
        <f t="shared" ref="J4:J9" si="2">H4-I4</f>
        <v>6</v>
      </c>
    </row>
    <row r="5" spans="1:17" x14ac:dyDescent="0.3">
      <c r="A5" t="s">
        <v>1</v>
      </c>
      <c r="B5" t="s">
        <v>1044</v>
      </c>
      <c r="C5" s="3">
        <f t="shared" si="0"/>
        <v>29</v>
      </c>
      <c r="D5">
        <v>16</v>
      </c>
      <c r="E5">
        <v>8</v>
      </c>
      <c r="F5">
        <v>5</v>
      </c>
      <c r="G5">
        <f t="shared" si="1"/>
        <v>3</v>
      </c>
      <c r="H5">
        <v>24</v>
      </c>
      <c r="I5">
        <v>19</v>
      </c>
      <c r="J5">
        <f t="shared" si="2"/>
        <v>5</v>
      </c>
    </row>
    <row r="6" spans="1:17" x14ac:dyDescent="0.3">
      <c r="A6" t="s">
        <v>2</v>
      </c>
      <c r="B6" t="s">
        <v>1045</v>
      </c>
      <c r="C6" s="3">
        <f t="shared" si="0"/>
        <v>28</v>
      </c>
      <c r="D6">
        <v>16</v>
      </c>
      <c r="E6">
        <v>8</v>
      </c>
      <c r="F6">
        <v>4</v>
      </c>
      <c r="G6">
        <f t="shared" si="1"/>
        <v>4</v>
      </c>
      <c r="H6">
        <v>23</v>
      </c>
      <c r="I6">
        <v>14</v>
      </c>
      <c r="J6">
        <f t="shared" si="2"/>
        <v>9</v>
      </c>
    </row>
    <row r="7" spans="1:17" x14ac:dyDescent="0.3">
      <c r="A7" t="s">
        <v>3</v>
      </c>
      <c r="B7" t="s">
        <v>1046</v>
      </c>
      <c r="C7" s="3">
        <f t="shared" si="0"/>
        <v>28</v>
      </c>
      <c r="D7">
        <v>16</v>
      </c>
      <c r="E7">
        <v>8</v>
      </c>
      <c r="F7">
        <v>4</v>
      </c>
      <c r="G7">
        <f t="shared" si="1"/>
        <v>4</v>
      </c>
      <c r="H7">
        <v>26</v>
      </c>
      <c r="I7">
        <v>19</v>
      </c>
      <c r="J7">
        <f t="shared" si="2"/>
        <v>7</v>
      </c>
    </row>
    <row r="8" spans="1:17" x14ac:dyDescent="0.3">
      <c r="A8" t="s">
        <v>4</v>
      </c>
      <c r="B8" t="s">
        <v>1047</v>
      </c>
      <c r="C8" s="3">
        <f t="shared" si="0"/>
        <v>25</v>
      </c>
      <c r="D8">
        <v>16</v>
      </c>
      <c r="E8">
        <v>7</v>
      </c>
      <c r="F8">
        <v>4</v>
      </c>
      <c r="G8">
        <f t="shared" si="1"/>
        <v>5</v>
      </c>
      <c r="H8">
        <v>32</v>
      </c>
      <c r="I8">
        <v>26</v>
      </c>
      <c r="J8">
        <f t="shared" si="2"/>
        <v>6</v>
      </c>
    </row>
    <row r="9" spans="1:17" x14ac:dyDescent="0.3">
      <c r="A9" t="s">
        <v>5</v>
      </c>
      <c r="B9" t="s">
        <v>1048</v>
      </c>
      <c r="C9" s="3">
        <f t="shared" si="0"/>
        <v>23</v>
      </c>
      <c r="D9">
        <v>16</v>
      </c>
      <c r="E9">
        <v>6</v>
      </c>
      <c r="F9">
        <v>5</v>
      </c>
      <c r="G9">
        <f t="shared" si="1"/>
        <v>5</v>
      </c>
      <c r="H9">
        <v>21</v>
      </c>
      <c r="I9">
        <v>16</v>
      </c>
      <c r="J9">
        <f t="shared" si="2"/>
        <v>5</v>
      </c>
    </row>
    <row r="11" spans="1:17" x14ac:dyDescent="0.3">
      <c r="A11" t="s">
        <v>46</v>
      </c>
    </row>
    <row r="12" spans="1:17" x14ac:dyDescent="0.3">
      <c r="A12" t="s">
        <v>1045</v>
      </c>
      <c r="B12" t="s">
        <v>43</v>
      </c>
      <c r="C12" t="s">
        <v>1043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FCBBA-FABC-4C59-BCD1-3A64BE33E3E1}">
  <dimension ref="A1:U13"/>
  <sheetViews>
    <sheetView workbookViewId="0">
      <selection activeCell="A3" sqref="A3:J9"/>
    </sheetView>
  </sheetViews>
  <sheetFormatPr defaultRowHeight="14.4" x14ac:dyDescent="0.3"/>
  <sheetData>
    <row r="1" spans="1:21" x14ac:dyDescent="0.3">
      <c r="A1" t="s">
        <v>1065</v>
      </c>
      <c r="L1" t="s">
        <v>1072</v>
      </c>
      <c r="T1" t="s">
        <v>48</v>
      </c>
    </row>
    <row r="2" spans="1:21" x14ac:dyDescent="0.3">
      <c r="A2" t="s">
        <v>34</v>
      </c>
      <c r="L2" t="s">
        <v>39</v>
      </c>
      <c r="T2" t="s">
        <v>1068</v>
      </c>
      <c r="U2">
        <v>22</v>
      </c>
    </row>
    <row r="3" spans="1:21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20</v>
      </c>
      <c r="I3" t="s">
        <v>21</v>
      </c>
      <c r="J3" t="s">
        <v>19</v>
      </c>
      <c r="L3" t="s">
        <v>1067</v>
      </c>
      <c r="M3" t="s">
        <v>1075</v>
      </c>
      <c r="N3" t="s">
        <v>1073</v>
      </c>
      <c r="P3" t="s">
        <v>1073</v>
      </c>
      <c r="Q3" t="s">
        <v>205</v>
      </c>
      <c r="R3" t="s">
        <v>1067</v>
      </c>
      <c r="T3" t="s">
        <v>1070</v>
      </c>
      <c r="U3">
        <v>2</v>
      </c>
    </row>
    <row r="4" spans="1:21" x14ac:dyDescent="0.3">
      <c r="A4" s="4" t="s">
        <v>0</v>
      </c>
      <c r="B4" t="s">
        <v>1068</v>
      </c>
      <c r="C4" s="3">
        <f>E4*3+F4+11</f>
        <v>31</v>
      </c>
      <c r="D4">
        <v>10</v>
      </c>
      <c r="E4">
        <v>6</v>
      </c>
      <c r="F4">
        <v>2</v>
      </c>
      <c r="G4">
        <f t="shared" ref="G4:G9" si="0">D4-E4-F4</f>
        <v>2</v>
      </c>
      <c r="H4">
        <v>21</v>
      </c>
      <c r="I4">
        <v>12</v>
      </c>
      <c r="J4">
        <f t="shared" ref="J4:J9" si="1">H4-I4</f>
        <v>9</v>
      </c>
      <c r="L4" t="s">
        <v>1069</v>
      </c>
      <c r="M4" t="s">
        <v>1075</v>
      </c>
      <c r="N4" t="s">
        <v>1074</v>
      </c>
      <c r="P4" t="s">
        <v>1074</v>
      </c>
      <c r="Q4" t="s">
        <v>64</v>
      </c>
      <c r="R4" t="s">
        <v>1069</v>
      </c>
    </row>
    <row r="5" spans="1:21" x14ac:dyDescent="0.3">
      <c r="A5" s="1" t="s">
        <v>1</v>
      </c>
      <c r="B5" t="s">
        <v>1066</v>
      </c>
      <c r="C5" s="3">
        <f>E5*3+F5+15</f>
        <v>31</v>
      </c>
      <c r="D5">
        <v>10</v>
      </c>
      <c r="E5">
        <v>5</v>
      </c>
      <c r="F5">
        <v>1</v>
      </c>
      <c r="G5">
        <f t="shared" si="0"/>
        <v>4</v>
      </c>
      <c r="H5">
        <v>15</v>
      </c>
      <c r="I5">
        <v>13</v>
      </c>
      <c r="J5">
        <f t="shared" si="1"/>
        <v>2</v>
      </c>
      <c r="L5" t="s">
        <v>1066</v>
      </c>
      <c r="M5" t="s">
        <v>42</v>
      </c>
      <c r="N5" t="s">
        <v>1070</v>
      </c>
      <c r="P5" t="s">
        <v>1070</v>
      </c>
      <c r="Q5" t="s">
        <v>91</v>
      </c>
      <c r="R5" t="s">
        <v>1066</v>
      </c>
    </row>
    <row r="6" spans="1:21" x14ac:dyDescent="0.3">
      <c r="A6" s="1" t="s">
        <v>2</v>
      </c>
      <c r="B6" t="s">
        <v>1067</v>
      </c>
      <c r="C6" s="3">
        <f>E6*3+F6+14</f>
        <v>29</v>
      </c>
      <c r="D6">
        <v>10</v>
      </c>
      <c r="E6">
        <v>4</v>
      </c>
      <c r="F6">
        <v>3</v>
      </c>
      <c r="G6">
        <f t="shared" si="0"/>
        <v>3</v>
      </c>
      <c r="H6">
        <v>12</v>
      </c>
      <c r="I6">
        <v>14</v>
      </c>
      <c r="J6">
        <f t="shared" si="1"/>
        <v>-2</v>
      </c>
      <c r="L6" t="s">
        <v>1068</v>
      </c>
      <c r="M6" t="s">
        <v>43</v>
      </c>
      <c r="N6" t="s">
        <v>1071</v>
      </c>
      <c r="P6" t="s">
        <v>1071</v>
      </c>
      <c r="Q6" t="s">
        <v>1076</v>
      </c>
      <c r="R6" t="s">
        <v>1068</v>
      </c>
    </row>
    <row r="7" spans="1:21" x14ac:dyDescent="0.3">
      <c r="A7" t="s">
        <v>3</v>
      </c>
      <c r="B7" t="s">
        <v>1069</v>
      </c>
      <c r="C7" s="3">
        <f>E7*3+F7+10</f>
        <v>21</v>
      </c>
      <c r="D7">
        <v>10</v>
      </c>
      <c r="E7">
        <v>3</v>
      </c>
      <c r="F7">
        <v>2</v>
      </c>
      <c r="G7">
        <f t="shared" si="0"/>
        <v>5</v>
      </c>
      <c r="H7">
        <v>7</v>
      </c>
      <c r="I7">
        <v>14</v>
      </c>
      <c r="J7">
        <f t="shared" si="1"/>
        <v>-7</v>
      </c>
    </row>
    <row r="8" spans="1:21" x14ac:dyDescent="0.3">
      <c r="A8" s="5" t="s">
        <v>4</v>
      </c>
      <c r="B8" t="s">
        <v>1070</v>
      </c>
      <c r="C8" s="3">
        <f>E8*3+F8+8</f>
        <v>18</v>
      </c>
      <c r="D8">
        <v>10</v>
      </c>
      <c r="E8">
        <v>2</v>
      </c>
      <c r="F8">
        <v>4</v>
      </c>
      <c r="G8">
        <f t="shared" si="0"/>
        <v>4</v>
      </c>
      <c r="H8">
        <v>13</v>
      </c>
      <c r="I8">
        <v>14</v>
      </c>
      <c r="J8">
        <f t="shared" si="1"/>
        <v>-1</v>
      </c>
      <c r="L8" t="s">
        <v>40</v>
      </c>
    </row>
    <row r="9" spans="1:21" x14ac:dyDescent="0.3">
      <c r="A9" t="s">
        <v>5</v>
      </c>
      <c r="B9" t="s">
        <v>1071</v>
      </c>
      <c r="C9" s="3">
        <f>E9*3+F9+1</f>
        <v>12</v>
      </c>
      <c r="D9">
        <v>10</v>
      </c>
      <c r="E9">
        <v>3</v>
      </c>
      <c r="F9">
        <v>2</v>
      </c>
      <c r="G9">
        <f t="shared" si="0"/>
        <v>5</v>
      </c>
      <c r="H9">
        <v>16</v>
      </c>
      <c r="I9">
        <v>17</v>
      </c>
      <c r="J9">
        <f t="shared" si="1"/>
        <v>-1</v>
      </c>
      <c r="L9" t="s">
        <v>1069</v>
      </c>
      <c r="M9" t="s">
        <v>44</v>
      </c>
      <c r="N9" t="s">
        <v>1070</v>
      </c>
      <c r="P9" t="s">
        <v>1070</v>
      </c>
      <c r="Q9" t="s">
        <v>37</v>
      </c>
      <c r="R9" t="s">
        <v>1069</v>
      </c>
    </row>
    <row r="10" spans="1:21" x14ac:dyDescent="0.3">
      <c r="L10" t="s">
        <v>1071</v>
      </c>
      <c r="M10" t="s">
        <v>42</v>
      </c>
      <c r="N10" t="s">
        <v>1067</v>
      </c>
      <c r="P10" t="s">
        <v>1067</v>
      </c>
      <c r="Q10" t="s">
        <v>1077</v>
      </c>
      <c r="R10" t="s">
        <v>1071</v>
      </c>
    </row>
    <row r="12" spans="1:21" x14ac:dyDescent="0.3">
      <c r="L12" t="s">
        <v>46</v>
      </c>
    </row>
    <row r="13" spans="1:21" x14ac:dyDescent="0.3">
      <c r="L13" t="s">
        <v>1070</v>
      </c>
      <c r="M13" t="s">
        <v>43</v>
      </c>
      <c r="N13" t="s">
        <v>1071</v>
      </c>
    </row>
  </sheetData>
  <sortState xmlns:xlrd2="http://schemas.microsoft.com/office/spreadsheetml/2017/richdata2" ref="B4:J9">
    <sortCondition descending="1" ref="C4:C9"/>
    <sortCondition descending="1" ref="J4:J9"/>
  </sortState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73324-8970-4CBD-91FB-C69250923EC0}">
  <dimension ref="A1:U12"/>
  <sheetViews>
    <sheetView workbookViewId="0">
      <selection activeCell="U3" sqref="U3"/>
    </sheetView>
  </sheetViews>
  <sheetFormatPr defaultRowHeight="14.4" x14ac:dyDescent="0.3"/>
  <sheetData>
    <row r="1" spans="1:21" x14ac:dyDescent="0.3">
      <c r="A1" t="s">
        <v>1078</v>
      </c>
      <c r="L1" t="s">
        <v>1089</v>
      </c>
      <c r="T1" t="s">
        <v>48</v>
      </c>
    </row>
    <row r="2" spans="1:21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20</v>
      </c>
      <c r="I2" t="s">
        <v>21</v>
      </c>
      <c r="J2" t="s">
        <v>19</v>
      </c>
      <c r="L2" t="s">
        <v>40</v>
      </c>
      <c r="T2" t="s">
        <v>1079</v>
      </c>
      <c r="U2">
        <v>6</v>
      </c>
    </row>
    <row r="3" spans="1:21" x14ac:dyDescent="0.3">
      <c r="A3" s="4" t="s">
        <v>0</v>
      </c>
      <c r="B3" t="s">
        <v>1079</v>
      </c>
      <c r="C3" s="3">
        <f t="shared" ref="C3:C12" si="0">E3*3+F3</f>
        <v>70</v>
      </c>
      <c r="D3">
        <v>36</v>
      </c>
      <c r="E3">
        <v>22</v>
      </c>
      <c r="F3">
        <v>4</v>
      </c>
      <c r="G3">
        <f>D3-E3-F3</f>
        <v>10</v>
      </c>
      <c r="H3">
        <v>63</v>
      </c>
      <c r="I3">
        <v>37</v>
      </c>
      <c r="J3">
        <f>H3-I3</f>
        <v>26</v>
      </c>
      <c r="L3" t="s">
        <v>1085</v>
      </c>
      <c r="M3" t="s">
        <v>64</v>
      </c>
      <c r="N3" t="s">
        <v>1082</v>
      </c>
      <c r="P3" t="s">
        <v>1082</v>
      </c>
      <c r="Q3" t="s">
        <v>38</v>
      </c>
      <c r="R3" t="s">
        <v>1085</v>
      </c>
      <c r="T3" t="s">
        <v>1080</v>
      </c>
      <c r="U3">
        <v>1</v>
      </c>
    </row>
    <row r="4" spans="1:21" x14ac:dyDescent="0.3">
      <c r="A4" s="1" t="s">
        <v>1</v>
      </c>
      <c r="B4" t="s">
        <v>1080</v>
      </c>
      <c r="C4" s="3">
        <f t="shared" si="0"/>
        <v>62</v>
      </c>
      <c r="D4">
        <v>36</v>
      </c>
      <c r="E4">
        <v>18</v>
      </c>
      <c r="F4">
        <v>8</v>
      </c>
      <c r="G4">
        <f t="shared" ref="G4:G12" si="1">D4-E4-F4</f>
        <v>10</v>
      </c>
      <c r="H4">
        <v>52</v>
      </c>
      <c r="I4">
        <v>38</v>
      </c>
      <c r="J4">
        <f t="shared" ref="J4:J12" si="2">H4-I4</f>
        <v>14</v>
      </c>
    </row>
    <row r="5" spans="1:21" x14ac:dyDescent="0.3">
      <c r="A5" s="1" t="s">
        <v>2</v>
      </c>
      <c r="B5" t="s">
        <v>1081</v>
      </c>
      <c r="C5" s="3">
        <f t="shared" si="0"/>
        <v>57</v>
      </c>
      <c r="D5">
        <v>36</v>
      </c>
      <c r="E5">
        <v>17</v>
      </c>
      <c r="F5">
        <v>6</v>
      </c>
      <c r="G5">
        <f t="shared" si="1"/>
        <v>13</v>
      </c>
      <c r="H5">
        <v>49</v>
      </c>
      <c r="I5">
        <v>36</v>
      </c>
      <c r="J5">
        <f t="shared" si="2"/>
        <v>13</v>
      </c>
      <c r="L5" t="s">
        <v>46</v>
      </c>
    </row>
    <row r="6" spans="1:21" x14ac:dyDescent="0.3">
      <c r="A6" s="1" t="s">
        <v>3</v>
      </c>
      <c r="B6" t="s">
        <v>1082</v>
      </c>
      <c r="C6" s="3">
        <f t="shared" si="0"/>
        <v>56</v>
      </c>
      <c r="D6">
        <v>36</v>
      </c>
      <c r="E6">
        <v>16</v>
      </c>
      <c r="F6">
        <v>8</v>
      </c>
      <c r="G6">
        <f t="shared" si="1"/>
        <v>12</v>
      </c>
      <c r="H6">
        <v>48</v>
      </c>
      <c r="I6">
        <v>44</v>
      </c>
      <c r="J6">
        <f t="shared" si="2"/>
        <v>4</v>
      </c>
      <c r="L6" t="s">
        <v>1082</v>
      </c>
      <c r="M6" t="s">
        <v>38</v>
      </c>
      <c r="N6" t="s">
        <v>1080</v>
      </c>
    </row>
    <row r="7" spans="1:21" x14ac:dyDescent="0.3">
      <c r="A7" t="s">
        <v>4</v>
      </c>
      <c r="B7" t="s">
        <v>1083</v>
      </c>
      <c r="C7" s="3">
        <f t="shared" si="0"/>
        <v>52</v>
      </c>
      <c r="D7">
        <v>36</v>
      </c>
      <c r="E7">
        <v>16</v>
      </c>
      <c r="F7">
        <v>4</v>
      </c>
      <c r="G7">
        <f t="shared" si="1"/>
        <v>16</v>
      </c>
      <c r="H7">
        <v>53</v>
      </c>
      <c r="I7">
        <v>53</v>
      </c>
      <c r="J7">
        <f t="shared" si="2"/>
        <v>0</v>
      </c>
    </row>
    <row r="8" spans="1:21" x14ac:dyDescent="0.3">
      <c r="A8" t="s">
        <v>5</v>
      </c>
      <c r="B8" t="s">
        <v>1084</v>
      </c>
      <c r="C8" s="3">
        <f t="shared" si="0"/>
        <v>50</v>
      </c>
      <c r="D8">
        <v>36</v>
      </c>
      <c r="E8">
        <v>14</v>
      </c>
      <c r="F8">
        <v>8</v>
      </c>
      <c r="G8">
        <f t="shared" si="1"/>
        <v>14</v>
      </c>
      <c r="H8">
        <v>42</v>
      </c>
      <c r="I8">
        <v>42</v>
      </c>
      <c r="J8">
        <f t="shared" si="2"/>
        <v>0</v>
      </c>
    </row>
    <row r="9" spans="1:21" x14ac:dyDescent="0.3">
      <c r="A9" t="s">
        <v>6</v>
      </c>
      <c r="B9" t="s">
        <v>1085</v>
      </c>
      <c r="C9" s="3">
        <f t="shared" si="0"/>
        <v>44</v>
      </c>
      <c r="D9">
        <v>36</v>
      </c>
      <c r="E9">
        <v>12</v>
      </c>
      <c r="F9">
        <v>8</v>
      </c>
      <c r="G9">
        <f t="shared" si="1"/>
        <v>16</v>
      </c>
      <c r="H9">
        <v>40</v>
      </c>
      <c r="I9">
        <v>52</v>
      </c>
      <c r="J9">
        <f t="shared" si="2"/>
        <v>-12</v>
      </c>
    </row>
    <row r="10" spans="1:21" x14ac:dyDescent="0.3">
      <c r="A10" t="s">
        <v>7</v>
      </c>
      <c r="B10" t="s">
        <v>1086</v>
      </c>
      <c r="C10" s="3">
        <f t="shared" si="0"/>
        <v>43</v>
      </c>
      <c r="D10">
        <v>36</v>
      </c>
      <c r="E10">
        <v>11</v>
      </c>
      <c r="F10">
        <v>10</v>
      </c>
      <c r="G10">
        <f t="shared" si="1"/>
        <v>15</v>
      </c>
      <c r="H10">
        <v>35</v>
      </c>
      <c r="I10">
        <v>46</v>
      </c>
      <c r="J10">
        <f t="shared" si="2"/>
        <v>-11</v>
      </c>
    </row>
    <row r="11" spans="1:21" x14ac:dyDescent="0.3">
      <c r="A11" t="s">
        <v>8</v>
      </c>
      <c r="B11" t="s">
        <v>1087</v>
      </c>
      <c r="C11" s="3">
        <f t="shared" si="0"/>
        <v>37</v>
      </c>
      <c r="D11">
        <v>36</v>
      </c>
      <c r="E11">
        <v>10</v>
      </c>
      <c r="F11">
        <v>7</v>
      </c>
      <c r="G11">
        <f t="shared" si="1"/>
        <v>19</v>
      </c>
      <c r="H11">
        <v>29</v>
      </c>
      <c r="I11">
        <v>47</v>
      </c>
      <c r="J11">
        <f t="shared" si="2"/>
        <v>-18</v>
      </c>
    </row>
    <row r="12" spans="1:21" x14ac:dyDescent="0.3">
      <c r="A12" t="s">
        <v>9</v>
      </c>
      <c r="B12" t="s">
        <v>1088</v>
      </c>
      <c r="C12" s="3">
        <f t="shared" si="0"/>
        <v>32</v>
      </c>
      <c r="D12">
        <v>36</v>
      </c>
      <c r="E12">
        <v>7</v>
      </c>
      <c r="F12">
        <v>11</v>
      </c>
      <c r="G12">
        <f t="shared" si="1"/>
        <v>18</v>
      </c>
      <c r="H12">
        <v>35</v>
      </c>
      <c r="I12">
        <v>51</v>
      </c>
      <c r="J12">
        <f t="shared" si="2"/>
        <v>-16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F0AD4-1024-4845-AB56-5A5023CAD5D0}">
  <dimension ref="A1:Q18"/>
  <sheetViews>
    <sheetView workbookViewId="0">
      <selection activeCell="A2" sqref="A2:J18"/>
    </sheetView>
  </sheetViews>
  <sheetFormatPr defaultRowHeight="14.4" x14ac:dyDescent="0.3"/>
  <sheetData>
    <row r="1" spans="1:17" x14ac:dyDescent="0.3">
      <c r="A1" t="s">
        <v>207</v>
      </c>
      <c r="L1" t="s">
        <v>224</v>
      </c>
      <c r="P1" t="s">
        <v>48</v>
      </c>
    </row>
    <row r="2" spans="1:17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20</v>
      </c>
      <c r="I2" t="s">
        <v>21</v>
      </c>
      <c r="J2" t="s">
        <v>19</v>
      </c>
      <c r="L2" t="s">
        <v>36</v>
      </c>
      <c r="P2" t="s">
        <v>208</v>
      </c>
      <c r="Q2">
        <v>6</v>
      </c>
    </row>
    <row r="3" spans="1:17" x14ac:dyDescent="0.3">
      <c r="A3" s="4" t="s">
        <v>0</v>
      </c>
      <c r="B3" t="s">
        <v>208</v>
      </c>
      <c r="C3" s="3">
        <v>55</v>
      </c>
      <c r="D3">
        <v>30</v>
      </c>
      <c r="E3">
        <v>17</v>
      </c>
      <c r="F3">
        <v>4</v>
      </c>
      <c r="G3">
        <f>D3-E3-F3</f>
        <v>9</v>
      </c>
      <c r="H3">
        <v>53</v>
      </c>
      <c r="I3">
        <v>39</v>
      </c>
      <c r="J3">
        <f>H3-I3</f>
        <v>14</v>
      </c>
      <c r="L3" t="s">
        <v>213</v>
      </c>
      <c r="M3" t="s">
        <v>44</v>
      </c>
      <c r="N3" t="s">
        <v>215</v>
      </c>
      <c r="P3" t="s">
        <v>219</v>
      </c>
      <c r="Q3">
        <v>7</v>
      </c>
    </row>
    <row r="4" spans="1:17" x14ac:dyDescent="0.3">
      <c r="A4" s="4" t="s">
        <v>1</v>
      </c>
      <c r="B4" t="s">
        <v>209</v>
      </c>
      <c r="C4" s="3">
        <v>49</v>
      </c>
      <c r="D4">
        <v>30</v>
      </c>
      <c r="E4">
        <v>14</v>
      </c>
      <c r="F4">
        <v>7</v>
      </c>
      <c r="G4">
        <f t="shared" ref="G4:G18" si="0">D4-E4-F4</f>
        <v>9</v>
      </c>
      <c r="H4">
        <v>48</v>
      </c>
      <c r="I4">
        <v>37</v>
      </c>
      <c r="J4">
        <f t="shared" ref="J4:J18" si="1">H4-I4</f>
        <v>11</v>
      </c>
    </row>
    <row r="5" spans="1:17" x14ac:dyDescent="0.3">
      <c r="A5" s="5" t="s">
        <v>2</v>
      </c>
      <c r="B5" t="s">
        <v>210</v>
      </c>
      <c r="C5" s="3">
        <v>46</v>
      </c>
      <c r="D5">
        <v>30</v>
      </c>
      <c r="E5">
        <v>13</v>
      </c>
      <c r="F5">
        <v>7</v>
      </c>
      <c r="G5">
        <f t="shared" si="0"/>
        <v>10</v>
      </c>
      <c r="H5">
        <v>42</v>
      </c>
      <c r="I5">
        <v>43</v>
      </c>
      <c r="J5">
        <f t="shared" si="1"/>
        <v>-1</v>
      </c>
      <c r="L5" t="s">
        <v>39</v>
      </c>
    </row>
    <row r="6" spans="1:17" x14ac:dyDescent="0.3">
      <c r="A6" s="1" t="s">
        <v>3</v>
      </c>
      <c r="B6" t="s">
        <v>211</v>
      </c>
      <c r="C6" s="3">
        <v>45</v>
      </c>
      <c r="D6">
        <v>30</v>
      </c>
      <c r="E6">
        <v>13</v>
      </c>
      <c r="F6">
        <v>6</v>
      </c>
      <c r="G6">
        <f t="shared" si="0"/>
        <v>11</v>
      </c>
      <c r="H6">
        <v>40</v>
      </c>
      <c r="I6">
        <v>34</v>
      </c>
      <c r="J6">
        <f t="shared" si="1"/>
        <v>6</v>
      </c>
      <c r="L6" t="s">
        <v>210</v>
      </c>
      <c r="M6" t="s">
        <v>41</v>
      </c>
      <c r="N6" t="s">
        <v>220</v>
      </c>
    </row>
    <row r="7" spans="1:17" x14ac:dyDescent="0.3">
      <c r="A7" t="s">
        <v>4</v>
      </c>
      <c r="B7" t="s">
        <v>212</v>
      </c>
      <c r="C7" s="3">
        <v>45</v>
      </c>
      <c r="D7">
        <v>30</v>
      </c>
      <c r="E7">
        <v>12</v>
      </c>
      <c r="F7">
        <v>9</v>
      </c>
      <c r="G7">
        <f t="shared" si="0"/>
        <v>9</v>
      </c>
      <c r="H7">
        <v>37</v>
      </c>
      <c r="I7">
        <v>35</v>
      </c>
      <c r="J7">
        <f t="shared" si="1"/>
        <v>2</v>
      </c>
      <c r="L7" t="s">
        <v>209</v>
      </c>
      <c r="M7" t="s">
        <v>43</v>
      </c>
      <c r="N7" t="s">
        <v>213</v>
      </c>
    </row>
    <row r="8" spans="1:17" x14ac:dyDescent="0.3">
      <c r="A8" t="s">
        <v>5</v>
      </c>
      <c r="B8" t="s">
        <v>213</v>
      </c>
      <c r="C8" s="3">
        <v>43</v>
      </c>
      <c r="D8">
        <v>30</v>
      </c>
      <c r="E8">
        <v>11</v>
      </c>
      <c r="F8">
        <v>10</v>
      </c>
      <c r="G8">
        <f t="shared" si="0"/>
        <v>9</v>
      </c>
      <c r="H8">
        <v>42</v>
      </c>
      <c r="I8">
        <v>39</v>
      </c>
      <c r="J8">
        <f t="shared" si="1"/>
        <v>3</v>
      </c>
      <c r="L8" t="s">
        <v>221</v>
      </c>
      <c r="M8" t="s">
        <v>91</v>
      </c>
      <c r="N8" t="s">
        <v>223</v>
      </c>
    </row>
    <row r="9" spans="1:17" x14ac:dyDescent="0.3">
      <c r="A9" t="s">
        <v>6</v>
      </c>
      <c r="B9" t="s">
        <v>214</v>
      </c>
      <c r="C9" s="3">
        <v>43</v>
      </c>
      <c r="D9">
        <v>30</v>
      </c>
      <c r="E9">
        <v>13</v>
      </c>
      <c r="F9">
        <v>4</v>
      </c>
      <c r="G9">
        <f t="shared" si="0"/>
        <v>13</v>
      </c>
      <c r="H9">
        <v>42</v>
      </c>
      <c r="I9">
        <v>44</v>
      </c>
      <c r="J9">
        <f t="shared" si="1"/>
        <v>-2</v>
      </c>
      <c r="L9" t="s">
        <v>219</v>
      </c>
      <c r="M9" t="s">
        <v>225</v>
      </c>
      <c r="N9" t="s">
        <v>211</v>
      </c>
    </row>
    <row r="10" spans="1:17" x14ac:dyDescent="0.3">
      <c r="A10" t="s">
        <v>7</v>
      </c>
      <c r="B10" t="s">
        <v>215</v>
      </c>
      <c r="C10" s="3">
        <v>42</v>
      </c>
      <c r="D10">
        <v>30</v>
      </c>
      <c r="E10">
        <v>12</v>
      </c>
      <c r="F10">
        <v>6</v>
      </c>
      <c r="G10">
        <f t="shared" si="0"/>
        <v>12</v>
      </c>
      <c r="H10">
        <v>48</v>
      </c>
      <c r="I10">
        <v>42</v>
      </c>
      <c r="J10">
        <f t="shared" si="1"/>
        <v>6</v>
      </c>
    </row>
    <row r="11" spans="1:17" x14ac:dyDescent="0.3">
      <c r="A11" t="s">
        <v>8</v>
      </c>
      <c r="B11" t="s">
        <v>216</v>
      </c>
      <c r="C11" s="3">
        <v>41</v>
      </c>
      <c r="D11">
        <v>30</v>
      </c>
      <c r="E11">
        <v>11</v>
      </c>
      <c r="F11">
        <v>8</v>
      </c>
      <c r="G11">
        <f t="shared" si="0"/>
        <v>11</v>
      </c>
      <c r="H11">
        <v>42</v>
      </c>
      <c r="I11">
        <v>37</v>
      </c>
      <c r="J11">
        <f t="shared" si="1"/>
        <v>5</v>
      </c>
      <c r="L11" t="s">
        <v>40</v>
      </c>
    </row>
    <row r="12" spans="1:17" x14ac:dyDescent="0.3">
      <c r="A12" t="s">
        <v>9</v>
      </c>
      <c r="B12" t="s">
        <v>217</v>
      </c>
      <c r="C12" s="3">
        <v>41</v>
      </c>
      <c r="D12">
        <v>30</v>
      </c>
      <c r="E12">
        <v>12</v>
      </c>
      <c r="F12">
        <v>5</v>
      </c>
      <c r="G12">
        <f t="shared" si="0"/>
        <v>13</v>
      </c>
      <c r="H12">
        <v>37</v>
      </c>
      <c r="I12">
        <v>40</v>
      </c>
      <c r="J12">
        <f t="shared" si="1"/>
        <v>-3</v>
      </c>
      <c r="L12" t="s">
        <v>209</v>
      </c>
      <c r="M12" t="s">
        <v>44</v>
      </c>
      <c r="N12" t="s">
        <v>220</v>
      </c>
    </row>
    <row r="13" spans="1:17" x14ac:dyDescent="0.3">
      <c r="A13" t="s">
        <v>10</v>
      </c>
      <c r="B13" t="s">
        <v>218</v>
      </c>
      <c r="C13" s="3">
        <v>41</v>
      </c>
      <c r="D13">
        <v>30</v>
      </c>
      <c r="E13">
        <v>12</v>
      </c>
      <c r="F13">
        <v>5</v>
      </c>
      <c r="G13">
        <f t="shared" si="0"/>
        <v>13</v>
      </c>
      <c r="H13">
        <v>43</v>
      </c>
      <c r="I13">
        <v>47</v>
      </c>
      <c r="J13">
        <f t="shared" si="1"/>
        <v>-4</v>
      </c>
      <c r="L13" t="s">
        <v>221</v>
      </c>
      <c r="M13" t="s">
        <v>38</v>
      </c>
      <c r="N13" t="s">
        <v>219</v>
      </c>
    </row>
    <row r="14" spans="1:17" x14ac:dyDescent="0.3">
      <c r="A14" s="5" t="s">
        <v>11</v>
      </c>
      <c r="B14" t="s">
        <v>219</v>
      </c>
      <c r="C14" s="3">
        <v>40</v>
      </c>
      <c r="D14">
        <v>30</v>
      </c>
      <c r="E14">
        <v>12</v>
      </c>
      <c r="F14">
        <v>4</v>
      </c>
      <c r="G14">
        <f t="shared" si="0"/>
        <v>14</v>
      </c>
      <c r="H14">
        <v>43</v>
      </c>
      <c r="I14">
        <v>46</v>
      </c>
      <c r="J14">
        <f t="shared" si="1"/>
        <v>-3</v>
      </c>
    </row>
    <row r="15" spans="1:17" x14ac:dyDescent="0.3">
      <c r="A15" t="s">
        <v>69</v>
      </c>
      <c r="B15" t="s">
        <v>220</v>
      </c>
      <c r="C15" s="3">
        <v>38</v>
      </c>
      <c r="D15">
        <v>30</v>
      </c>
      <c r="E15">
        <v>10</v>
      </c>
      <c r="F15">
        <v>8</v>
      </c>
      <c r="G15">
        <f t="shared" si="0"/>
        <v>12</v>
      </c>
      <c r="H15">
        <v>45</v>
      </c>
      <c r="I15">
        <v>48</v>
      </c>
      <c r="J15">
        <f t="shared" si="1"/>
        <v>-3</v>
      </c>
      <c r="L15" t="s">
        <v>46</v>
      </c>
    </row>
    <row r="16" spans="1:17" x14ac:dyDescent="0.3">
      <c r="A16" t="s">
        <v>70</v>
      </c>
      <c r="B16" t="s">
        <v>221</v>
      </c>
      <c r="C16" s="3">
        <v>37</v>
      </c>
      <c r="D16">
        <v>30</v>
      </c>
      <c r="E16">
        <v>10</v>
      </c>
      <c r="F16">
        <v>7</v>
      </c>
      <c r="G16">
        <f t="shared" si="0"/>
        <v>13</v>
      </c>
      <c r="H16">
        <v>37</v>
      </c>
      <c r="I16">
        <v>48</v>
      </c>
      <c r="J16">
        <f t="shared" si="1"/>
        <v>-11</v>
      </c>
      <c r="L16" t="s">
        <v>209</v>
      </c>
      <c r="M16" t="s">
        <v>226</v>
      </c>
      <c r="N16" t="s">
        <v>219</v>
      </c>
    </row>
    <row r="17" spans="1:10" x14ac:dyDescent="0.3">
      <c r="A17" t="s">
        <v>71</v>
      </c>
      <c r="B17" t="s">
        <v>222</v>
      </c>
      <c r="C17" s="3">
        <v>35</v>
      </c>
      <c r="D17">
        <v>30</v>
      </c>
      <c r="E17">
        <v>9</v>
      </c>
      <c r="F17">
        <v>8</v>
      </c>
      <c r="G17">
        <f t="shared" si="0"/>
        <v>13</v>
      </c>
      <c r="H17">
        <v>31</v>
      </c>
      <c r="I17">
        <v>46</v>
      </c>
      <c r="J17">
        <f t="shared" si="1"/>
        <v>-15</v>
      </c>
    </row>
    <row r="18" spans="1:10" x14ac:dyDescent="0.3">
      <c r="A18" t="s">
        <v>72</v>
      </c>
      <c r="B18" t="s">
        <v>223</v>
      </c>
      <c r="C18" s="3">
        <v>28</v>
      </c>
      <c r="D18">
        <v>30</v>
      </c>
      <c r="E18">
        <v>8</v>
      </c>
      <c r="F18">
        <v>4</v>
      </c>
      <c r="G18">
        <f t="shared" si="0"/>
        <v>18</v>
      </c>
      <c r="H18">
        <v>43</v>
      </c>
      <c r="I18">
        <v>48</v>
      </c>
      <c r="J18">
        <f t="shared" si="1"/>
        <v>-5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2EF10-6749-4BA3-B0D6-D01789608E53}">
  <dimension ref="A1:Q29"/>
  <sheetViews>
    <sheetView workbookViewId="0">
      <selection activeCell="A2" sqref="A2:J18"/>
    </sheetView>
  </sheetViews>
  <sheetFormatPr defaultRowHeight="14.4" x14ac:dyDescent="0.3"/>
  <sheetData>
    <row r="1" spans="1:17" x14ac:dyDescent="0.3">
      <c r="A1" t="s">
        <v>1090</v>
      </c>
      <c r="L1" t="s">
        <v>1091</v>
      </c>
      <c r="P1" t="s">
        <v>48</v>
      </c>
    </row>
    <row r="2" spans="1:17" x14ac:dyDescent="0.3">
      <c r="A2" t="s">
        <v>34</v>
      </c>
      <c r="L2" t="s">
        <v>46</v>
      </c>
      <c r="P2" t="s">
        <v>1094</v>
      </c>
      <c r="Q2">
        <v>18</v>
      </c>
    </row>
    <row r="3" spans="1:17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20</v>
      </c>
      <c r="I3" t="s">
        <v>21</v>
      </c>
      <c r="J3" t="s">
        <v>19</v>
      </c>
      <c r="L3" t="s">
        <v>1092</v>
      </c>
      <c r="M3" t="s">
        <v>42</v>
      </c>
      <c r="N3" t="s">
        <v>1093</v>
      </c>
      <c r="P3" t="s">
        <v>1092</v>
      </c>
      <c r="Q3">
        <v>1</v>
      </c>
    </row>
    <row r="4" spans="1:17" x14ac:dyDescent="0.3">
      <c r="A4" s="4" t="s">
        <v>0</v>
      </c>
      <c r="B4" t="s">
        <v>1094</v>
      </c>
      <c r="C4" s="3">
        <f t="shared" ref="C4:C9" si="0">E4*3+F4</f>
        <v>77</v>
      </c>
      <c r="D4">
        <v>32</v>
      </c>
      <c r="E4">
        <v>25</v>
      </c>
      <c r="F4">
        <v>2</v>
      </c>
      <c r="G4">
        <f t="shared" ref="G4:G9" si="1">D4-E4-F4</f>
        <v>5</v>
      </c>
      <c r="H4">
        <v>80</v>
      </c>
      <c r="I4">
        <v>26</v>
      </c>
      <c r="J4">
        <f t="shared" ref="J4:J9" si="2">H4-I4</f>
        <v>54</v>
      </c>
    </row>
    <row r="5" spans="1:17" x14ac:dyDescent="0.3">
      <c r="A5" s="1" t="s">
        <v>1</v>
      </c>
      <c r="B5" t="s">
        <v>1095</v>
      </c>
      <c r="C5" s="3">
        <f t="shared" si="0"/>
        <v>58</v>
      </c>
      <c r="D5">
        <v>32</v>
      </c>
      <c r="E5">
        <v>16</v>
      </c>
      <c r="F5">
        <v>10</v>
      </c>
      <c r="G5">
        <f t="shared" si="1"/>
        <v>6</v>
      </c>
      <c r="H5">
        <v>60</v>
      </c>
      <c r="I5">
        <v>37</v>
      </c>
      <c r="J5">
        <f t="shared" si="2"/>
        <v>23</v>
      </c>
    </row>
    <row r="6" spans="1:17" x14ac:dyDescent="0.3">
      <c r="A6" s="2" t="s">
        <v>2</v>
      </c>
      <c r="B6" t="s">
        <v>1096</v>
      </c>
      <c r="C6" s="3">
        <f t="shared" si="0"/>
        <v>49</v>
      </c>
      <c r="D6">
        <v>32</v>
      </c>
      <c r="E6">
        <v>13</v>
      </c>
      <c r="F6">
        <v>10</v>
      </c>
      <c r="G6">
        <f t="shared" si="1"/>
        <v>9</v>
      </c>
      <c r="H6">
        <v>44</v>
      </c>
      <c r="I6">
        <v>32</v>
      </c>
      <c r="J6">
        <f t="shared" si="2"/>
        <v>12</v>
      </c>
    </row>
    <row r="7" spans="1:17" x14ac:dyDescent="0.3">
      <c r="A7" s="1" t="s">
        <v>3</v>
      </c>
      <c r="B7" t="s">
        <v>1092</v>
      </c>
      <c r="C7" s="3">
        <f t="shared" si="0"/>
        <v>45</v>
      </c>
      <c r="D7">
        <v>32</v>
      </c>
      <c r="E7">
        <v>12</v>
      </c>
      <c r="F7">
        <v>9</v>
      </c>
      <c r="G7">
        <f t="shared" si="1"/>
        <v>11</v>
      </c>
      <c r="H7">
        <v>55</v>
      </c>
      <c r="I7">
        <v>47</v>
      </c>
      <c r="J7">
        <f t="shared" si="2"/>
        <v>8</v>
      </c>
    </row>
    <row r="8" spans="1:17" x14ac:dyDescent="0.3">
      <c r="A8" s="2" t="s">
        <v>4</v>
      </c>
      <c r="B8" t="s">
        <v>1097</v>
      </c>
      <c r="C8" s="3">
        <f t="shared" si="0"/>
        <v>45</v>
      </c>
      <c r="D8">
        <v>32</v>
      </c>
      <c r="E8">
        <v>12</v>
      </c>
      <c r="F8">
        <v>9</v>
      </c>
      <c r="G8">
        <f t="shared" si="1"/>
        <v>11</v>
      </c>
      <c r="H8">
        <v>40</v>
      </c>
      <c r="I8">
        <v>36</v>
      </c>
      <c r="J8">
        <f t="shared" si="2"/>
        <v>4</v>
      </c>
    </row>
    <row r="9" spans="1:17" x14ac:dyDescent="0.3">
      <c r="A9" s="2" t="s">
        <v>5</v>
      </c>
      <c r="B9" t="s">
        <v>1098</v>
      </c>
      <c r="C9" s="3">
        <f t="shared" si="0"/>
        <v>41</v>
      </c>
      <c r="D9">
        <v>32</v>
      </c>
      <c r="E9">
        <v>11</v>
      </c>
      <c r="F9">
        <v>8</v>
      </c>
      <c r="G9">
        <f t="shared" si="1"/>
        <v>13</v>
      </c>
      <c r="H9">
        <v>39</v>
      </c>
      <c r="I9">
        <v>48</v>
      </c>
      <c r="J9">
        <f t="shared" si="2"/>
        <v>-9</v>
      </c>
    </row>
    <row r="11" spans="1:17" x14ac:dyDescent="0.3">
      <c r="A11" t="s">
        <v>35</v>
      </c>
    </row>
    <row r="12" spans="1:17" x14ac:dyDescent="0.3">
      <c r="A12" t="s">
        <v>12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G12" t="s">
        <v>18</v>
      </c>
      <c r="H12" t="s">
        <v>20</v>
      </c>
      <c r="I12" t="s">
        <v>21</v>
      </c>
      <c r="J12" t="s">
        <v>19</v>
      </c>
    </row>
    <row r="13" spans="1:17" x14ac:dyDescent="0.3">
      <c r="A13" s="2" t="s">
        <v>0</v>
      </c>
      <c r="B13" t="s">
        <v>1099</v>
      </c>
      <c r="C13" s="3">
        <f t="shared" ref="C13:C18" si="3">E13*3+F13</f>
        <v>46</v>
      </c>
      <c r="D13">
        <v>32</v>
      </c>
      <c r="E13">
        <v>13</v>
      </c>
      <c r="F13">
        <v>7</v>
      </c>
      <c r="G13">
        <f t="shared" ref="G13:G18" si="4">D13-E13-F13</f>
        <v>12</v>
      </c>
      <c r="H13">
        <v>42</v>
      </c>
      <c r="I13">
        <v>43</v>
      </c>
      <c r="J13">
        <f t="shared" ref="J13:J18" si="5">H13-I13</f>
        <v>-1</v>
      </c>
    </row>
    <row r="14" spans="1:17" x14ac:dyDescent="0.3">
      <c r="A14" s="2" t="s">
        <v>1</v>
      </c>
      <c r="B14" t="s">
        <v>1100</v>
      </c>
      <c r="C14" s="3">
        <f t="shared" si="3"/>
        <v>42</v>
      </c>
      <c r="D14">
        <v>32</v>
      </c>
      <c r="E14">
        <v>11</v>
      </c>
      <c r="F14">
        <v>9</v>
      </c>
      <c r="G14">
        <f t="shared" si="4"/>
        <v>12</v>
      </c>
      <c r="H14">
        <v>44</v>
      </c>
      <c r="I14">
        <v>48</v>
      </c>
      <c r="J14">
        <f t="shared" si="5"/>
        <v>-4</v>
      </c>
    </row>
    <row r="15" spans="1:17" x14ac:dyDescent="0.3">
      <c r="A15" t="s">
        <v>2</v>
      </c>
      <c r="B15" t="s">
        <v>1101</v>
      </c>
      <c r="C15" s="3">
        <f t="shared" si="3"/>
        <v>40</v>
      </c>
      <c r="D15">
        <v>32</v>
      </c>
      <c r="E15">
        <v>9</v>
      </c>
      <c r="F15">
        <v>13</v>
      </c>
      <c r="G15">
        <f t="shared" si="4"/>
        <v>10</v>
      </c>
      <c r="H15">
        <v>43</v>
      </c>
      <c r="I15">
        <v>49</v>
      </c>
      <c r="J15">
        <f t="shared" si="5"/>
        <v>-6</v>
      </c>
    </row>
    <row r="16" spans="1:17" x14ac:dyDescent="0.3">
      <c r="A16" t="s">
        <v>3</v>
      </c>
      <c r="B16" t="s">
        <v>1102</v>
      </c>
      <c r="C16" s="3">
        <f t="shared" si="3"/>
        <v>35</v>
      </c>
      <c r="D16">
        <v>32</v>
      </c>
      <c r="E16">
        <v>9</v>
      </c>
      <c r="F16">
        <v>8</v>
      </c>
      <c r="G16">
        <f t="shared" si="4"/>
        <v>15</v>
      </c>
      <c r="H16">
        <v>34</v>
      </c>
      <c r="I16">
        <v>43</v>
      </c>
      <c r="J16">
        <f t="shared" si="5"/>
        <v>-9</v>
      </c>
    </row>
    <row r="17" spans="1:10" x14ac:dyDescent="0.3">
      <c r="A17" t="s">
        <v>4</v>
      </c>
      <c r="B17" t="s">
        <v>1093</v>
      </c>
      <c r="C17" s="3">
        <f t="shared" si="3"/>
        <v>34</v>
      </c>
      <c r="D17">
        <v>32</v>
      </c>
      <c r="E17">
        <v>8</v>
      </c>
      <c r="F17">
        <v>10</v>
      </c>
      <c r="G17">
        <f t="shared" si="4"/>
        <v>14</v>
      </c>
      <c r="H17">
        <v>46</v>
      </c>
      <c r="I17">
        <v>59</v>
      </c>
      <c r="J17">
        <f t="shared" si="5"/>
        <v>-13</v>
      </c>
    </row>
    <row r="18" spans="1:10" x14ac:dyDescent="0.3">
      <c r="A18" t="s">
        <v>5</v>
      </c>
      <c r="B18" t="s">
        <v>1103</v>
      </c>
      <c r="C18" s="3">
        <f t="shared" si="3"/>
        <v>14</v>
      </c>
      <c r="D18">
        <v>32</v>
      </c>
      <c r="E18">
        <v>3</v>
      </c>
      <c r="F18">
        <v>5</v>
      </c>
      <c r="G18">
        <f t="shared" si="4"/>
        <v>24</v>
      </c>
      <c r="H18">
        <v>17</v>
      </c>
      <c r="I18">
        <v>76</v>
      </c>
      <c r="J18">
        <f t="shared" si="5"/>
        <v>-59</v>
      </c>
    </row>
    <row r="20" spans="1:10" x14ac:dyDescent="0.3">
      <c r="A20" t="s">
        <v>350</v>
      </c>
    </row>
    <row r="21" spans="1:10" x14ac:dyDescent="0.3">
      <c r="A21" t="s">
        <v>39</v>
      </c>
    </row>
    <row r="22" spans="1:10" x14ac:dyDescent="0.3">
      <c r="A22" t="str">
        <f>B8</f>
        <v>Colwyn Bay</v>
      </c>
      <c r="B22" t="s">
        <v>44</v>
      </c>
      <c r="C22" t="str">
        <f>B14</f>
        <v>Briton Ferry</v>
      </c>
    </row>
    <row r="23" spans="1:10" x14ac:dyDescent="0.3">
      <c r="A23" t="str">
        <f>B9</f>
        <v>Penybont</v>
      </c>
      <c r="B23" t="s">
        <v>253</v>
      </c>
      <c r="C23" t="str">
        <f>B13</f>
        <v>Haverfordwest</v>
      </c>
    </row>
    <row r="25" spans="1:10" x14ac:dyDescent="0.3">
      <c r="A25" t="s">
        <v>40</v>
      </c>
    </row>
    <row r="26" spans="1:10" x14ac:dyDescent="0.3">
      <c r="A26" t="s">
        <v>1097</v>
      </c>
      <c r="B26" t="s">
        <v>65</v>
      </c>
      <c r="C26" t="s">
        <v>1099</v>
      </c>
    </row>
    <row r="28" spans="1:10" x14ac:dyDescent="0.3">
      <c r="A28" t="s">
        <v>46</v>
      </c>
    </row>
    <row r="29" spans="1:10" x14ac:dyDescent="0.3">
      <c r="A29" t="str">
        <f>B6</f>
        <v>Barry Town United</v>
      </c>
      <c r="B29" t="s">
        <v>41</v>
      </c>
      <c r="C29" t="s">
        <v>1097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49B93-7C41-4F3A-97B3-EB50E1E2E07B}">
  <dimension ref="A1:AB27"/>
  <sheetViews>
    <sheetView workbookViewId="0">
      <selection activeCell="D24" sqref="D24"/>
    </sheetView>
  </sheetViews>
  <sheetFormatPr defaultRowHeight="14.4" x14ac:dyDescent="0.3"/>
  <sheetData>
    <row r="1" spans="1:28" x14ac:dyDescent="0.3">
      <c r="A1" t="s">
        <v>1104</v>
      </c>
      <c r="L1" t="s">
        <v>1123</v>
      </c>
      <c r="W1" t="s">
        <v>1142</v>
      </c>
      <c r="AA1" t="s">
        <v>48</v>
      </c>
    </row>
    <row r="2" spans="1:28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20</v>
      </c>
      <c r="I2" t="s">
        <v>21</v>
      </c>
      <c r="J2" t="s">
        <v>19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20</v>
      </c>
      <c r="T2" t="s">
        <v>21</v>
      </c>
      <c r="U2" t="s">
        <v>19</v>
      </c>
      <c r="W2" t="s">
        <v>40</v>
      </c>
      <c r="AA2" t="s">
        <v>1105</v>
      </c>
      <c r="AB2">
        <v>10</v>
      </c>
    </row>
    <row r="3" spans="1:28" x14ac:dyDescent="0.3">
      <c r="A3" s="4" t="s">
        <v>0</v>
      </c>
      <c r="B3" t="s">
        <v>1105</v>
      </c>
      <c r="C3" s="3">
        <f t="shared" ref="C3:C8" si="0">E3*3+F3</f>
        <v>56</v>
      </c>
      <c r="D3">
        <v>34</v>
      </c>
      <c r="E3">
        <v>15</v>
      </c>
      <c r="F3">
        <v>11</v>
      </c>
      <c r="G3">
        <f>D3-E3-F3</f>
        <v>8</v>
      </c>
      <c r="H3">
        <v>57</v>
      </c>
      <c r="I3">
        <v>45</v>
      </c>
      <c r="J3">
        <f>H3-I3</f>
        <v>12</v>
      </c>
      <c r="L3" s="1" t="s">
        <v>0</v>
      </c>
      <c r="M3" t="s">
        <v>1124</v>
      </c>
      <c r="N3" s="3">
        <f t="shared" ref="N3:N8" si="1">P3*3+Q3</f>
        <v>63</v>
      </c>
      <c r="O3">
        <v>34</v>
      </c>
      <c r="P3">
        <v>18</v>
      </c>
      <c r="Q3">
        <v>9</v>
      </c>
      <c r="R3">
        <f>O3-P3-Q3</f>
        <v>7</v>
      </c>
      <c r="S3">
        <v>54</v>
      </c>
      <c r="T3">
        <v>39</v>
      </c>
      <c r="U3">
        <f>S3-T3</f>
        <v>15</v>
      </c>
      <c r="W3" t="s">
        <v>1113</v>
      </c>
      <c r="X3" t="s">
        <v>44</v>
      </c>
      <c r="Y3" t="s">
        <v>1108</v>
      </c>
      <c r="AA3" t="s">
        <v>1124</v>
      </c>
      <c r="AB3">
        <v>3</v>
      </c>
    </row>
    <row r="4" spans="1:28" x14ac:dyDescent="0.3">
      <c r="A4" s="4" t="s">
        <v>1</v>
      </c>
      <c r="B4" t="s">
        <v>1106</v>
      </c>
      <c r="C4" s="3">
        <f t="shared" si="0"/>
        <v>53</v>
      </c>
      <c r="D4">
        <v>34</v>
      </c>
      <c r="E4">
        <v>15</v>
      </c>
      <c r="F4">
        <v>8</v>
      </c>
      <c r="G4">
        <f t="shared" ref="G4:G20" si="2">D4-E4-F4</f>
        <v>11</v>
      </c>
      <c r="H4">
        <v>52</v>
      </c>
      <c r="I4">
        <v>40</v>
      </c>
      <c r="J4">
        <f t="shared" ref="J4:J20" si="3">H4-I4</f>
        <v>12</v>
      </c>
      <c r="L4" s="1" t="s">
        <v>1</v>
      </c>
      <c r="M4" t="s">
        <v>1125</v>
      </c>
      <c r="N4" s="3">
        <f t="shared" si="1"/>
        <v>58</v>
      </c>
      <c r="O4">
        <v>34</v>
      </c>
      <c r="P4">
        <v>16</v>
      </c>
      <c r="Q4">
        <v>10</v>
      </c>
      <c r="R4">
        <f t="shared" ref="R4:R20" si="4">O4-P4-Q4</f>
        <v>8</v>
      </c>
      <c r="S4">
        <v>69</v>
      </c>
      <c r="T4">
        <v>42</v>
      </c>
      <c r="U4">
        <f t="shared" ref="U4:U20" si="5">S4-T4</f>
        <v>27</v>
      </c>
      <c r="AA4" t="s">
        <v>1107</v>
      </c>
      <c r="AB4">
        <v>7</v>
      </c>
    </row>
    <row r="5" spans="1:28" x14ac:dyDescent="0.3">
      <c r="A5" s="5" t="s">
        <v>2</v>
      </c>
      <c r="B5" t="s">
        <v>1107</v>
      </c>
      <c r="C5" s="3">
        <f t="shared" si="0"/>
        <v>53</v>
      </c>
      <c r="D5">
        <v>34</v>
      </c>
      <c r="E5">
        <v>15</v>
      </c>
      <c r="F5">
        <v>8</v>
      </c>
      <c r="G5">
        <f t="shared" si="2"/>
        <v>11</v>
      </c>
      <c r="H5">
        <v>50</v>
      </c>
      <c r="I5">
        <v>43</v>
      </c>
      <c r="J5">
        <f t="shared" si="3"/>
        <v>7</v>
      </c>
      <c r="L5" s="2" t="s">
        <v>2</v>
      </c>
      <c r="M5" t="s">
        <v>1126</v>
      </c>
      <c r="N5" s="3">
        <f t="shared" si="1"/>
        <v>55</v>
      </c>
      <c r="O5">
        <v>34</v>
      </c>
      <c r="P5">
        <v>15</v>
      </c>
      <c r="Q5">
        <v>10</v>
      </c>
      <c r="R5">
        <f t="shared" si="4"/>
        <v>9</v>
      </c>
      <c r="S5">
        <v>56</v>
      </c>
      <c r="T5">
        <v>45</v>
      </c>
      <c r="U5">
        <f t="shared" si="5"/>
        <v>11</v>
      </c>
      <c r="W5" t="s">
        <v>46</v>
      </c>
    </row>
    <row r="6" spans="1:28" x14ac:dyDescent="0.3">
      <c r="A6" s="1" t="s">
        <v>3</v>
      </c>
      <c r="B6" t="s">
        <v>1108</v>
      </c>
      <c r="C6" s="3">
        <f t="shared" si="0"/>
        <v>52</v>
      </c>
      <c r="D6">
        <v>34</v>
      </c>
      <c r="E6">
        <v>16</v>
      </c>
      <c r="F6">
        <v>4</v>
      </c>
      <c r="G6">
        <f t="shared" si="2"/>
        <v>14</v>
      </c>
      <c r="H6">
        <v>53</v>
      </c>
      <c r="I6">
        <v>49</v>
      </c>
      <c r="J6">
        <f t="shared" si="3"/>
        <v>4</v>
      </c>
      <c r="L6" s="2" t="s">
        <v>3</v>
      </c>
      <c r="M6" t="s">
        <v>1127</v>
      </c>
      <c r="N6" s="3">
        <f t="shared" si="1"/>
        <v>54</v>
      </c>
      <c r="O6">
        <v>34</v>
      </c>
      <c r="P6">
        <v>15</v>
      </c>
      <c r="Q6">
        <v>9</v>
      </c>
      <c r="R6">
        <f t="shared" si="4"/>
        <v>10</v>
      </c>
      <c r="S6">
        <v>51</v>
      </c>
      <c r="T6">
        <v>41</v>
      </c>
      <c r="U6">
        <f t="shared" si="5"/>
        <v>10</v>
      </c>
      <c r="W6" t="s">
        <v>1107</v>
      </c>
      <c r="X6" t="s">
        <v>42</v>
      </c>
      <c r="Y6" t="s">
        <v>1113</v>
      </c>
    </row>
    <row r="7" spans="1:28" x14ac:dyDescent="0.3">
      <c r="A7" s="1" t="s">
        <v>4</v>
      </c>
      <c r="B7" t="s">
        <v>1109</v>
      </c>
      <c r="C7" s="3">
        <f t="shared" si="0"/>
        <v>51</v>
      </c>
      <c r="D7">
        <v>34</v>
      </c>
      <c r="E7">
        <v>13</v>
      </c>
      <c r="F7">
        <v>12</v>
      </c>
      <c r="G7">
        <f t="shared" si="2"/>
        <v>9</v>
      </c>
      <c r="H7">
        <v>55</v>
      </c>
      <c r="I7">
        <v>48</v>
      </c>
      <c r="J7">
        <f t="shared" si="3"/>
        <v>7</v>
      </c>
      <c r="L7" s="2" t="s">
        <v>4</v>
      </c>
      <c r="M7" t="s">
        <v>1128</v>
      </c>
      <c r="N7" s="3">
        <f t="shared" si="1"/>
        <v>53</v>
      </c>
      <c r="O7">
        <v>34</v>
      </c>
      <c r="P7">
        <v>15</v>
      </c>
      <c r="Q7">
        <v>8</v>
      </c>
      <c r="R7">
        <f t="shared" si="4"/>
        <v>11</v>
      </c>
      <c r="S7">
        <v>68</v>
      </c>
      <c r="T7">
        <v>50</v>
      </c>
      <c r="U7">
        <f t="shared" si="5"/>
        <v>18</v>
      </c>
    </row>
    <row r="8" spans="1:28" x14ac:dyDescent="0.3">
      <c r="A8" t="s">
        <v>5</v>
      </c>
      <c r="B8" t="s">
        <v>1110</v>
      </c>
      <c r="C8" s="3">
        <f t="shared" si="0"/>
        <v>50</v>
      </c>
      <c r="D8">
        <v>34</v>
      </c>
      <c r="E8">
        <v>14</v>
      </c>
      <c r="F8">
        <v>8</v>
      </c>
      <c r="G8">
        <f t="shared" si="2"/>
        <v>12</v>
      </c>
      <c r="H8">
        <v>55</v>
      </c>
      <c r="I8">
        <v>47</v>
      </c>
      <c r="J8">
        <f t="shared" si="3"/>
        <v>8</v>
      </c>
      <c r="L8" s="2" t="s">
        <v>5</v>
      </c>
      <c r="M8" t="s">
        <v>1129</v>
      </c>
      <c r="N8" s="3">
        <f t="shared" si="1"/>
        <v>52</v>
      </c>
      <c r="O8">
        <v>34</v>
      </c>
      <c r="P8">
        <v>15</v>
      </c>
      <c r="Q8">
        <v>7</v>
      </c>
      <c r="R8">
        <f t="shared" si="4"/>
        <v>12</v>
      </c>
      <c r="S8">
        <v>54</v>
      </c>
      <c r="T8">
        <v>50</v>
      </c>
      <c r="U8">
        <f t="shared" si="5"/>
        <v>4</v>
      </c>
    </row>
    <row r="9" spans="1:28" x14ac:dyDescent="0.3">
      <c r="A9" t="s">
        <v>6</v>
      </c>
      <c r="B9" t="s">
        <v>1111</v>
      </c>
      <c r="C9" s="3">
        <f t="shared" ref="C9:C20" si="6">E9*3+F9</f>
        <v>50</v>
      </c>
      <c r="D9">
        <v>34</v>
      </c>
      <c r="E9">
        <v>14</v>
      </c>
      <c r="F9">
        <v>8</v>
      </c>
      <c r="G9">
        <f t="shared" si="2"/>
        <v>12</v>
      </c>
      <c r="H9">
        <v>65</v>
      </c>
      <c r="I9">
        <v>60</v>
      </c>
      <c r="J9">
        <f t="shared" si="3"/>
        <v>5</v>
      </c>
      <c r="L9" t="s">
        <v>6</v>
      </c>
      <c r="M9" t="s">
        <v>1130</v>
      </c>
      <c r="N9" s="3">
        <f t="shared" ref="N9:N20" si="7">P9*3+Q9</f>
        <v>51</v>
      </c>
      <c r="O9">
        <v>34</v>
      </c>
      <c r="P9">
        <v>13</v>
      </c>
      <c r="Q9">
        <v>12</v>
      </c>
      <c r="R9">
        <f t="shared" si="4"/>
        <v>9</v>
      </c>
      <c r="S9">
        <v>58</v>
      </c>
      <c r="T9">
        <v>55</v>
      </c>
      <c r="U9">
        <f t="shared" si="5"/>
        <v>3</v>
      </c>
    </row>
    <row r="10" spans="1:28" x14ac:dyDescent="0.3">
      <c r="A10" t="s">
        <v>7</v>
      </c>
      <c r="B10" t="s">
        <v>1112</v>
      </c>
      <c r="C10" s="3">
        <f t="shared" si="6"/>
        <v>47</v>
      </c>
      <c r="D10">
        <v>34</v>
      </c>
      <c r="E10">
        <v>12</v>
      </c>
      <c r="F10">
        <v>11</v>
      </c>
      <c r="G10">
        <f t="shared" si="2"/>
        <v>11</v>
      </c>
      <c r="H10">
        <v>41</v>
      </c>
      <c r="I10">
        <v>39</v>
      </c>
      <c r="J10">
        <f t="shared" si="3"/>
        <v>2</v>
      </c>
      <c r="L10" t="s">
        <v>7</v>
      </c>
      <c r="M10" t="s">
        <v>1131</v>
      </c>
      <c r="N10" s="3">
        <f t="shared" si="7"/>
        <v>51</v>
      </c>
      <c r="O10">
        <v>34</v>
      </c>
      <c r="P10">
        <v>14</v>
      </c>
      <c r="Q10">
        <v>9</v>
      </c>
      <c r="R10">
        <f t="shared" si="4"/>
        <v>11</v>
      </c>
      <c r="S10">
        <v>56</v>
      </c>
      <c r="T10">
        <v>53</v>
      </c>
      <c r="U10">
        <f t="shared" si="5"/>
        <v>3</v>
      </c>
    </row>
    <row r="11" spans="1:28" x14ac:dyDescent="0.3">
      <c r="A11" t="s">
        <v>8</v>
      </c>
      <c r="B11" t="s">
        <v>1113</v>
      </c>
      <c r="C11" s="3">
        <f t="shared" si="6"/>
        <v>47</v>
      </c>
      <c r="D11">
        <v>34</v>
      </c>
      <c r="E11">
        <v>13</v>
      </c>
      <c r="F11">
        <v>8</v>
      </c>
      <c r="G11">
        <f t="shared" si="2"/>
        <v>13</v>
      </c>
      <c r="H11">
        <v>45</v>
      </c>
      <c r="I11">
        <v>45</v>
      </c>
      <c r="J11">
        <f t="shared" si="3"/>
        <v>0</v>
      </c>
      <c r="L11" t="s">
        <v>8</v>
      </c>
      <c r="M11" t="s">
        <v>1132</v>
      </c>
      <c r="N11" s="3">
        <f t="shared" si="7"/>
        <v>51</v>
      </c>
      <c r="O11">
        <v>34</v>
      </c>
      <c r="P11">
        <v>14</v>
      </c>
      <c r="Q11">
        <v>9</v>
      </c>
      <c r="R11">
        <f t="shared" si="4"/>
        <v>11</v>
      </c>
      <c r="S11">
        <v>50</v>
      </c>
      <c r="T11">
        <v>47</v>
      </c>
      <c r="U11">
        <f t="shared" si="5"/>
        <v>3</v>
      </c>
    </row>
    <row r="12" spans="1:28" x14ac:dyDescent="0.3">
      <c r="A12" t="s">
        <v>9</v>
      </c>
      <c r="B12" t="s">
        <v>1114</v>
      </c>
      <c r="C12" s="3">
        <f t="shared" si="6"/>
        <v>47</v>
      </c>
      <c r="D12">
        <v>34</v>
      </c>
      <c r="E12">
        <v>11</v>
      </c>
      <c r="F12">
        <v>14</v>
      </c>
      <c r="G12">
        <f t="shared" si="2"/>
        <v>9</v>
      </c>
      <c r="H12">
        <v>44</v>
      </c>
      <c r="I12">
        <v>46</v>
      </c>
      <c r="J12">
        <f t="shared" si="3"/>
        <v>-2</v>
      </c>
      <c r="L12" t="s">
        <v>9</v>
      </c>
      <c r="M12" t="s">
        <v>1133</v>
      </c>
      <c r="N12" s="3">
        <f t="shared" si="7"/>
        <v>49</v>
      </c>
      <c r="O12">
        <v>34</v>
      </c>
      <c r="P12">
        <v>14</v>
      </c>
      <c r="Q12">
        <v>7</v>
      </c>
      <c r="R12">
        <f t="shared" si="4"/>
        <v>13</v>
      </c>
      <c r="S12">
        <v>54</v>
      </c>
      <c r="T12">
        <v>44</v>
      </c>
      <c r="U12">
        <f t="shared" si="5"/>
        <v>10</v>
      </c>
    </row>
    <row r="13" spans="1:28" x14ac:dyDescent="0.3">
      <c r="A13" t="s">
        <v>10</v>
      </c>
      <c r="B13" t="s">
        <v>1115</v>
      </c>
      <c r="C13" s="3">
        <f t="shared" si="6"/>
        <v>45</v>
      </c>
      <c r="D13">
        <v>34</v>
      </c>
      <c r="E13">
        <v>11</v>
      </c>
      <c r="F13">
        <v>12</v>
      </c>
      <c r="G13">
        <f t="shared" si="2"/>
        <v>11</v>
      </c>
      <c r="H13">
        <v>35</v>
      </c>
      <c r="I13">
        <v>35</v>
      </c>
      <c r="J13">
        <f t="shared" si="3"/>
        <v>0</v>
      </c>
      <c r="L13" t="s">
        <v>10</v>
      </c>
      <c r="M13" t="s">
        <v>1134</v>
      </c>
      <c r="N13" s="3">
        <f t="shared" si="7"/>
        <v>48</v>
      </c>
      <c r="O13">
        <v>34</v>
      </c>
      <c r="P13">
        <v>13</v>
      </c>
      <c r="Q13">
        <v>9</v>
      </c>
      <c r="R13">
        <f t="shared" si="4"/>
        <v>12</v>
      </c>
      <c r="S13">
        <v>56</v>
      </c>
      <c r="T13">
        <v>55</v>
      </c>
      <c r="U13">
        <f t="shared" si="5"/>
        <v>1</v>
      </c>
    </row>
    <row r="14" spans="1:28" x14ac:dyDescent="0.3">
      <c r="A14" t="s">
        <v>11</v>
      </c>
      <c r="B14" t="s">
        <v>1116</v>
      </c>
      <c r="C14" s="3">
        <f t="shared" si="6"/>
        <v>44</v>
      </c>
      <c r="D14">
        <v>34</v>
      </c>
      <c r="E14">
        <v>12</v>
      </c>
      <c r="F14">
        <v>8</v>
      </c>
      <c r="G14">
        <f t="shared" si="2"/>
        <v>14</v>
      </c>
      <c r="H14">
        <v>51</v>
      </c>
      <c r="I14">
        <v>51</v>
      </c>
      <c r="J14">
        <f t="shared" si="3"/>
        <v>0</v>
      </c>
      <c r="L14" t="s">
        <v>11</v>
      </c>
      <c r="M14" t="s">
        <v>1135</v>
      </c>
      <c r="N14" s="3">
        <f t="shared" si="7"/>
        <v>45</v>
      </c>
      <c r="O14">
        <v>34</v>
      </c>
      <c r="P14">
        <v>11</v>
      </c>
      <c r="Q14">
        <v>12</v>
      </c>
      <c r="R14">
        <f t="shared" si="4"/>
        <v>11</v>
      </c>
      <c r="S14">
        <v>47</v>
      </c>
      <c r="T14">
        <v>48</v>
      </c>
      <c r="U14">
        <f t="shared" si="5"/>
        <v>-1</v>
      </c>
    </row>
    <row r="15" spans="1:28" x14ac:dyDescent="0.3">
      <c r="A15" t="s">
        <v>69</v>
      </c>
      <c r="B15" t="s">
        <v>1117</v>
      </c>
      <c r="C15" s="3">
        <f t="shared" si="6"/>
        <v>44</v>
      </c>
      <c r="D15">
        <v>34</v>
      </c>
      <c r="E15">
        <v>11</v>
      </c>
      <c r="F15">
        <v>11</v>
      </c>
      <c r="G15">
        <f t="shared" si="2"/>
        <v>12</v>
      </c>
      <c r="H15">
        <v>48</v>
      </c>
      <c r="I15">
        <v>48</v>
      </c>
      <c r="J15">
        <f t="shared" si="3"/>
        <v>0</v>
      </c>
      <c r="L15" t="s">
        <v>69</v>
      </c>
      <c r="M15" t="s">
        <v>1136</v>
      </c>
      <c r="N15" s="3">
        <f t="shared" si="7"/>
        <v>41</v>
      </c>
      <c r="O15">
        <v>34</v>
      </c>
      <c r="P15">
        <v>12</v>
      </c>
      <c r="Q15">
        <v>5</v>
      </c>
      <c r="R15">
        <f t="shared" si="4"/>
        <v>17</v>
      </c>
      <c r="S15">
        <v>52</v>
      </c>
      <c r="T15">
        <v>62</v>
      </c>
      <c r="U15">
        <f t="shared" si="5"/>
        <v>-10</v>
      </c>
    </row>
    <row r="16" spans="1:28" x14ac:dyDescent="0.3">
      <c r="A16" t="s">
        <v>70</v>
      </c>
      <c r="B16" t="s">
        <v>1118</v>
      </c>
      <c r="C16" s="3">
        <f t="shared" si="6"/>
        <v>43</v>
      </c>
      <c r="D16">
        <v>34</v>
      </c>
      <c r="E16">
        <v>10</v>
      </c>
      <c r="F16">
        <v>13</v>
      </c>
      <c r="G16">
        <f t="shared" si="2"/>
        <v>11</v>
      </c>
      <c r="H16">
        <v>42</v>
      </c>
      <c r="I16">
        <v>42</v>
      </c>
      <c r="J16">
        <f t="shared" si="3"/>
        <v>0</v>
      </c>
      <c r="L16" t="s">
        <v>70</v>
      </c>
      <c r="M16" t="s">
        <v>1137</v>
      </c>
      <c r="N16" s="3">
        <f t="shared" si="7"/>
        <v>41</v>
      </c>
      <c r="O16">
        <v>34</v>
      </c>
      <c r="P16">
        <v>10</v>
      </c>
      <c r="Q16">
        <v>11</v>
      </c>
      <c r="R16">
        <f t="shared" si="4"/>
        <v>13</v>
      </c>
      <c r="S16">
        <v>34</v>
      </c>
      <c r="T16">
        <v>44</v>
      </c>
      <c r="U16">
        <f t="shared" si="5"/>
        <v>-10</v>
      </c>
    </row>
    <row r="17" spans="1:21" x14ac:dyDescent="0.3">
      <c r="A17" t="s">
        <v>71</v>
      </c>
      <c r="B17" t="s">
        <v>1119</v>
      </c>
      <c r="C17" s="3">
        <f t="shared" si="6"/>
        <v>41</v>
      </c>
      <c r="D17">
        <v>34</v>
      </c>
      <c r="E17">
        <v>11</v>
      </c>
      <c r="F17">
        <v>8</v>
      </c>
      <c r="G17">
        <f t="shared" si="2"/>
        <v>15</v>
      </c>
      <c r="H17">
        <v>41</v>
      </c>
      <c r="I17">
        <v>42</v>
      </c>
      <c r="J17">
        <f t="shared" si="3"/>
        <v>-1</v>
      </c>
      <c r="L17" t="s">
        <v>71</v>
      </c>
      <c r="M17" t="s">
        <v>1138</v>
      </c>
      <c r="N17" s="3">
        <f t="shared" si="7"/>
        <v>36</v>
      </c>
      <c r="O17">
        <v>34</v>
      </c>
      <c r="P17">
        <v>8</v>
      </c>
      <c r="Q17">
        <v>12</v>
      </c>
      <c r="R17">
        <f t="shared" si="4"/>
        <v>14</v>
      </c>
      <c r="S17">
        <v>40</v>
      </c>
      <c r="T17">
        <v>48</v>
      </c>
      <c r="U17">
        <f t="shared" si="5"/>
        <v>-8</v>
      </c>
    </row>
    <row r="18" spans="1:21" x14ac:dyDescent="0.3">
      <c r="A18" s="7" t="s">
        <v>72</v>
      </c>
      <c r="B18" t="s">
        <v>1120</v>
      </c>
      <c r="C18" s="3">
        <f t="shared" si="6"/>
        <v>39</v>
      </c>
      <c r="D18">
        <v>34</v>
      </c>
      <c r="E18">
        <v>11</v>
      </c>
      <c r="F18">
        <v>6</v>
      </c>
      <c r="G18">
        <f t="shared" si="2"/>
        <v>17</v>
      </c>
      <c r="H18">
        <v>42</v>
      </c>
      <c r="I18">
        <v>52</v>
      </c>
      <c r="J18">
        <f t="shared" si="3"/>
        <v>-10</v>
      </c>
      <c r="L18" t="s">
        <v>72</v>
      </c>
      <c r="M18" t="s">
        <v>1139</v>
      </c>
      <c r="N18" s="3">
        <f t="shared" si="7"/>
        <v>36</v>
      </c>
      <c r="O18">
        <v>34</v>
      </c>
      <c r="P18">
        <v>10</v>
      </c>
      <c r="Q18">
        <v>6</v>
      </c>
      <c r="R18">
        <f t="shared" si="4"/>
        <v>18</v>
      </c>
      <c r="S18">
        <v>37</v>
      </c>
      <c r="T18">
        <v>57</v>
      </c>
      <c r="U18">
        <f t="shared" si="5"/>
        <v>-20</v>
      </c>
    </row>
    <row r="19" spans="1:21" x14ac:dyDescent="0.3">
      <c r="A19" s="7" t="s">
        <v>255</v>
      </c>
      <c r="B19" t="s">
        <v>1121</v>
      </c>
      <c r="C19" s="3">
        <f t="shared" si="6"/>
        <v>37</v>
      </c>
      <c r="D19">
        <v>34</v>
      </c>
      <c r="E19">
        <v>10</v>
      </c>
      <c r="F19">
        <v>7</v>
      </c>
      <c r="G19">
        <f t="shared" si="2"/>
        <v>17</v>
      </c>
      <c r="H19">
        <v>42</v>
      </c>
      <c r="I19">
        <v>61</v>
      </c>
      <c r="J19">
        <f t="shared" si="3"/>
        <v>-19</v>
      </c>
      <c r="L19" t="s">
        <v>255</v>
      </c>
      <c r="M19" t="s">
        <v>1140</v>
      </c>
      <c r="N19" s="3">
        <f t="shared" si="7"/>
        <v>27</v>
      </c>
      <c r="O19">
        <v>34</v>
      </c>
      <c r="P19">
        <v>5</v>
      </c>
      <c r="Q19">
        <v>12</v>
      </c>
      <c r="R19">
        <f t="shared" si="4"/>
        <v>17</v>
      </c>
      <c r="S19">
        <v>39</v>
      </c>
      <c r="T19">
        <v>62</v>
      </c>
      <c r="U19">
        <f t="shared" si="5"/>
        <v>-23</v>
      </c>
    </row>
    <row r="20" spans="1:21" x14ac:dyDescent="0.3">
      <c r="A20" s="7" t="s">
        <v>256</v>
      </c>
      <c r="B20" t="s">
        <v>1122</v>
      </c>
      <c r="C20" s="3">
        <f t="shared" si="6"/>
        <v>37</v>
      </c>
      <c r="D20">
        <v>34</v>
      </c>
      <c r="E20">
        <v>10</v>
      </c>
      <c r="F20">
        <v>7</v>
      </c>
      <c r="G20">
        <f t="shared" si="2"/>
        <v>17</v>
      </c>
      <c r="H20">
        <v>38</v>
      </c>
      <c r="I20">
        <v>63</v>
      </c>
      <c r="J20">
        <f t="shared" si="3"/>
        <v>-25</v>
      </c>
      <c r="L20" t="s">
        <v>256</v>
      </c>
      <c r="M20" t="s">
        <v>1141</v>
      </c>
      <c r="N20" s="3">
        <f t="shared" si="7"/>
        <v>21</v>
      </c>
      <c r="O20">
        <v>34</v>
      </c>
      <c r="P20">
        <v>4</v>
      </c>
      <c r="Q20">
        <v>9</v>
      </c>
      <c r="R20">
        <f t="shared" si="4"/>
        <v>21</v>
      </c>
      <c r="S20">
        <v>39</v>
      </c>
      <c r="T20">
        <v>72</v>
      </c>
      <c r="U20">
        <f t="shared" si="5"/>
        <v>-33</v>
      </c>
    </row>
    <row r="22" spans="1:21" x14ac:dyDescent="0.3">
      <c r="L22" t="s">
        <v>593</v>
      </c>
    </row>
    <row r="23" spans="1:21" x14ac:dyDescent="0.3">
      <c r="L23" t="str">
        <f>M5</f>
        <v>Polonia Varsóvia</v>
      </c>
      <c r="M23" t="s">
        <v>43</v>
      </c>
      <c r="N23" t="str">
        <f>M8</f>
        <v>Stal Rzeszow</v>
      </c>
    </row>
    <row r="24" spans="1:21" x14ac:dyDescent="0.3">
      <c r="L24" t="str">
        <f>M6</f>
        <v>Chrobry Głogów</v>
      </c>
      <c r="M24" t="s">
        <v>42</v>
      </c>
      <c r="N24" t="str">
        <f>M7</f>
        <v>Wieczysta Kraków</v>
      </c>
    </row>
    <row r="26" spans="1:21" x14ac:dyDescent="0.3">
      <c r="L26" t="s">
        <v>46</v>
      </c>
    </row>
    <row r="27" spans="1:21" x14ac:dyDescent="0.3">
      <c r="L27" t="s">
        <v>1126</v>
      </c>
      <c r="M27" t="s">
        <v>93</v>
      </c>
      <c r="N27" t="s">
        <v>1127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2D565-5F89-4231-9A1A-BE4D619E0C59}">
  <dimension ref="A1:AF23"/>
  <sheetViews>
    <sheetView workbookViewId="0">
      <selection activeCell="A2" sqref="A2:J20"/>
    </sheetView>
  </sheetViews>
  <sheetFormatPr defaultRowHeight="14.4" x14ac:dyDescent="0.3"/>
  <sheetData>
    <row r="1" spans="1:32" x14ac:dyDescent="0.3">
      <c r="A1" t="s">
        <v>1143</v>
      </c>
      <c r="L1" t="s">
        <v>1144</v>
      </c>
      <c r="W1" t="s">
        <v>1181</v>
      </c>
      <c r="AE1" t="s">
        <v>48</v>
      </c>
    </row>
    <row r="2" spans="1:3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20</v>
      </c>
      <c r="I2" t="s">
        <v>21</v>
      </c>
      <c r="J2" t="s">
        <v>19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20</v>
      </c>
      <c r="T2" t="s">
        <v>21</v>
      </c>
      <c r="U2" t="s">
        <v>19</v>
      </c>
      <c r="W2" t="s">
        <v>40</v>
      </c>
      <c r="AE2" t="s">
        <v>1164</v>
      </c>
      <c r="AF2">
        <v>31</v>
      </c>
    </row>
    <row r="3" spans="1:32" x14ac:dyDescent="0.3">
      <c r="A3" s="4" t="s">
        <v>0</v>
      </c>
      <c r="B3" t="s">
        <v>1164</v>
      </c>
      <c r="C3" s="3">
        <f t="shared" ref="C3:C20" si="0">E3*3+F3</f>
        <v>81</v>
      </c>
      <c r="D3">
        <v>34</v>
      </c>
      <c r="E3">
        <v>25</v>
      </c>
      <c r="F3">
        <v>6</v>
      </c>
      <c r="G3">
        <f>D3-E3-F3</f>
        <v>3</v>
      </c>
      <c r="H3">
        <v>65</v>
      </c>
      <c r="I3">
        <v>21</v>
      </c>
      <c r="J3">
        <f>H3-I3</f>
        <v>44</v>
      </c>
      <c r="L3" s="1" t="s">
        <v>0</v>
      </c>
      <c r="M3" t="s">
        <v>1145</v>
      </c>
      <c r="N3" s="3">
        <f t="shared" ref="N3:N20" si="1">P3*3+Q3</f>
        <v>66</v>
      </c>
      <c r="O3">
        <v>34</v>
      </c>
      <c r="P3">
        <v>20</v>
      </c>
      <c r="Q3">
        <v>6</v>
      </c>
      <c r="R3">
        <f>O3-P3-Q3</f>
        <v>8</v>
      </c>
      <c r="S3">
        <v>50</v>
      </c>
      <c r="T3">
        <v>31</v>
      </c>
      <c r="U3">
        <f>S3-T3</f>
        <v>19</v>
      </c>
      <c r="W3" t="s">
        <v>1165</v>
      </c>
      <c r="X3" t="s">
        <v>42</v>
      </c>
      <c r="Y3" t="s">
        <v>1164</v>
      </c>
      <c r="AA3" t="s">
        <v>1164</v>
      </c>
      <c r="AB3" t="s">
        <v>253</v>
      </c>
      <c r="AC3" t="s">
        <v>1165</v>
      </c>
      <c r="AE3" t="s">
        <v>1145</v>
      </c>
      <c r="AF3">
        <v>1</v>
      </c>
    </row>
    <row r="4" spans="1:32" x14ac:dyDescent="0.3">
      <c r="A4" s="4" t="s">
        <v>1</v>
      </c>
      <c r="B4" t="s">
        <v>1154</v>
      </c>
      <c r="C4" s="3">
        <f t="shared" si="0"/>
        <v>78</v>
      </c>
      <c r="D4">
        <v>34</v>
      </c>
      <c r="E4">
        <v>23</v>
      </c>
      <c r="F4">
        <v>9</v>
      </c>
      <c r="G4">
        <f t="shared" ref="G4:G20" si="2">D4-E4-F4</f>
        <v>2</v>
      </c>
      <c r="H4">
        <v>70</v>
      </c>
      <c r="I4">
        <v>27</v>
      </c>
      <c r="J4">
        <f t="shared" ref="J4:J20" si="3">H4-I4</f>
        <v>43</v>
      </c>
      <c r="L4" s="5" t="s">
        <v>1</v>
      </c>
      <c r="M4" t="s">
        <v>1146</v>
      </c>
      <c r="N4" s="3">
        <f t="shared" si="1"/>
        <v>58</v>
      </c>
      <c r="O4">
        <v>34</v>
      </c>
      <c r="P4">
        <v>18</v>
      </c>
      <c r="Q4">
        <v>4</v>
      </c>
      <c r="R4">
        <f t="shared" ref="R4:R20" si="4">O4-P4-Q4</f>
        <v>12</v>
      </c>
      <c r="S4">
        <v>47</v>
      </c>
      <c r="T4">
        <v>34</v>
      </c>
      <c r="U4">
        <f t="shared" ref="U4:U20" si="5">S4-T4</f>
        <v>13</v>
      </c>
      <c r="AE4" t="s">
        <v>1146</v>
      </c>
      <c r="AF4">
        <v>1</v>
      </c>
    </row>
    <row r="5" spans="1:32" x14ac:dyDescent="0.3">
      <c r="A5" s="5" t="s">
        <v>2</v>
      </c>
      <c r="B5" t="s">
        <v>1165</v>
      </c>
      <c r="C5" s="3">
        <f t="shared" si="0"/>
        <v>74</v>
      </c>
      <c r="D5">
        <v>34</v>
      </c>
      <c r="E5">
        <v>22</v>
      </c>
      <c r="F5">
        <v>8</v>
      </c>
      <c r="G5">
        <f t="shared" si="2"/>
        <v>4</v>
      </c>
      <c r="H5">
        <v>83</v>
      </c>
      <c r="I5">
        <v>29</v>
      </c>
      <c r="J5">
        <f t="shared" si="3"/>
        <v>54</v>
      </c>
      <c r="L5" s="2" t="s">
        <v>2</v>
      </c>
      <c r="M5" t="s">
        <v>1147</v>
      </c>
      <c r="N5" s="3">
        <f t="shared" si="1"/>
        <v>56</v>
      </c>
      <c r="O5">
        <v>34</v>
      </c>
      <c r="P5">
        <v>16</v>
      </c>
      <c r="Q5">
        <v>8</v>
      </c>
      <c r="R5">
        <f t="shared" si="4"/>
        <v>10</v>
      </c>
      <c r="S5">
        <v>44</v>
      </c>
      <c r="T5">
        <v>36</v>
      </c>
      <c r="U5">
        <f t="shared" si="5"/>
        <v>8</v>
      </c>
      <c r="W5" t="s">
        <v>46</v>
      </c>
    </row>
    <row r="6" spans="1:32" x14ac:dyDescent="0.3">
      <c r="A6" s="1" t="s">
        <v>3</v>
      </c>
      <c r="B6" t="s">
        <v>1166</v>
      </c>
      <c r="C6" s="3">
        <f t="shared" si="0"/>
        <v>60</v>
      </c>
      <c r="D6">
        <v>34</v>
      </c>
      <c r="E6">
        <v>17</v>
      </c>
      <c r="F6">
        <v>9</v>
      </c>
      <c r="G6">
        <f t="shared" si="2"/>
        <v>8</v>
      </c>
      <c r="H6">
        <v>63</v>
      </c>
      <c r="I6">
        <v>33</v>
      </c>
      <c r="J6">
        <f t="shared" si="3"/>
        <v>30</v>
      </c>
      <c r="L6" t="s">
        <v>3</v>
      </c>
      <c r="M6" t="s">
        <v>1148</v>
      </c>
      <c r="N6" s="3">
        <f t="shared" si="1"/>
        <v>55</v>
      </c>
      <c r="O6">
        <v>34</v>
      </c>
      <c r="P6">
        <v>16</v>
      </c>
      <c r="Q6">
        <v>7</v>
      </c>
      <c r="R6">
        <f t="shared" si="4"/>
        <v>11</v>
      </c>
      <c r="S6">
        <v>55</v>
      </c>
      <c r="T6">
        <v>39</v>
      </c>
      <c r="U6">
        <f t="shared" si="5"/>
        <v>16</v>
      </c>
      <c r="W6" t="s">
        <v>1165</v>
      </c>
      <c r="X6" t="s">
        <v>64</v>
      </c>
      <c r="Y6" t="s">
        <v>1146</v>
      </c>
    </row>
    <row r="7" spans="1:32" x14ac:dyDescent="0.3">
      <c r="A7" t="s">
        <v>4</v>
      </c>
      <c r="B7" t="s">
        <v>1167</v>
      </c>
      <c r="C7" s="3">
        <f t="shared" si="0"/>
        <v>53</v>
      </c>
      <c r="D7">
        <v>34</v>
      </c>
      <c r="E7">
        <v>14</v>
      </c>
      <c r="F7">
        <v>11</v>
      </c>
      <c r="G7">
        <f t="shared" si="2"/>
        <v>9</v>
      </c>
      <c r="H7">
        <v>52</v>
      </c>
      <c r="I7">
        <v>38</v>
      </c>
      <c r="J7">
        <f t="shared" si="3"/>
        <v>14</v>
      </c>
      <c r="L7" t="s">
        <v>4</v>
      </c>
      <c r="M7" t="s">
        <v>1149</v>
      </c>
      <c r="N7" s="3">
        <f t="shared" si="1"/>
        <v>51</v>
      </c>
      <c r="O7">
        <v>34</v>
      </c>
      <c r="P7">
        <v>16</v>
      </c>
      <c r="Q7">
        <v>3</v>
      </c>
      <c r="R7">
        <f t="shared" si="4"/>
        <v>15</v>
      </c>
      <c r="S7">
        <v>53</v>
      </c>
      <c r="T7">
        <v>37</v>
      </c>
      <c r="U7">
        <f t="shared" si="5"/>
        <v>16</v>
      </c>
    </row>
    <row r="8" spans="1:32" x14ac:dyDescent="0.3">
      <c r="A8" t="s">
        <v>5</v>
      </c>
      <c r="B8" t="s">
        <v>1168</v>
      </c>
      <c r="C8" s="3">
        <f t="shared" si="0"/>
        <v>48</v>
      </c>
      <c r="D8">
        <v>34</v>
      </c>
      <c r="E8">
        <v>13</v>
      </c>
      <c r="F8">
        <v>9</v>
      </c>
      <c r="G8">
        <f t="shared" si="2"/>
        <v>12</v>
      </c>
      <c r="H8">
        <v>38</v>
      </c>
      <c r="I8">
        <v>34</v>
      </c>
      <c r="J8">
        <f t="shared" si="3"/>
        <v>4</v>
      </c>
      <c r="L8" t="s">
        <v>5</v>
      </c>
      <c r="M8" t="s">
        <v>1150</v>
      </c>
      <c r="N8" s="3">
        <f t="shared" si="1"/>
        <v>51</v>
      </c>
      <c r="O8">
        <v>34</v>
      </c>
      <c r="P8">
        <v>14</v>
      </c>
      <c r="Q8">
        <v>9</v>
      </c>
      <c r="R8">
        <f t="shared" si="4"/>
        <v>11</v>
      </c>
      <c r="S8">
        <v>49</v>
      </c>
      <c r="T8">
        <v>41</v>
      </c>
      <c r="U8">
        <f t="shared" si="5"/>
        <v>8</v>
      </c>
    </row>
    <row r="9" spans="1:32" x14ac:dyDescent="0.3">
      <c r="A9" t="s">
        <v>6</v>
      </c>
      <c r="B9" t="s">
        <v>1169</v>
      </c>
      <c r="C9" s="3">
        <f t="shared" si="0"/>
        <v>46</v>
      </c>
      <c r="D9">
        <v>34</v>
      </c>
      <c r="E9">
        <v>13</v>
      </c>
      <c r="F9">
        <v>7</v>
      </c>
      <c r="G9">
        <f t="shared" si="2"/>
        <v>14</v>
      </c>
      <c r="H9">
        <v>40</v>
      </c>
      <c r="I9">
        <v>47</v>
      </c>
      <c r="J9">
        <f t="shared" si="3"/>
        <v>-7</v>
      </c>
      <c r="L9" t="s">
        <v>6</v>
      </c>
      <c r="M9" t="s">
        <v>1152</v>
      </c>
      <c r="N9" s="3">
        <f t="shared" si="1"/>
        <v>51</v>
      </c>
      <c r="O9">
        <v>34</v>
      </c>
      <c r="P9">
        <v>14</v>
      </c>
      <c r="Q9">
        <v>9</v>
      </c>
      <c r="R9">
        <f t="shared" si="4"/>
        <v>11</v>
      </c>
      <c r="S9">
        <v>45</v>
      </c>
      <c r="T9">
        <v>49</v>
      </c>
      <c r="U9">
        <f t="shared" si="5"/>
        <v>-4</v>
      </c>
    </row>
    <row r="10" spans="1:32" x14ac:dyDescent="0.3">
      <c r="A10" t="s">
        <v>7</v>
      </c>
      <c r="B10" t="s">
        <v>1170</v>
      </c>
      <c r="C10" s="3">
        <f t="shared" si="0"/>
        <v>45</v>
      </c>
      <c r="D10">
        <v>34</v>
      </c>
      <c r="E10">
        <v>12</v>
      </c>
      <c r="F10">
        <v>9</v>
      </c>
      <c r="G10">
        <f t="shared" si="2"/>
        <v>13</v>
      </c>
      <c r="H10">
        <v>60</v>
      </c>
      <c r="I10">
        <v>55</v>
      </c>
      <c r="J10">
        <f t="shared" si="3"/>
        <v>5</v>
      </c>
      <c r="L10" t="s">
        <v>7</v>
      </c>
      <c r="M10" t="s">
        <v>1151</v>
      </c>
      <c r="N10" s="3">
        <f t="shared" si="1"/>
        <v>50</v>
      </c>
      <c r="O10">
        <v>34</v>
      </c>
      <c r="P10">
        <v>15</v>
      </c>
      <c r="Q10">
        <v>5</v>
      </c>
      <c r="R10">
        <f t="shared" si="4"/>
        <v>14</v>
      </c>
      <c r="S10">
        <v>45</v>
      </c>
      <c r="T10">
        <v>45</v>
      </c>
      <c r="U10">
        <f t="shared" si="5"/>
        <v>0</v>
      </c>
    </row>
    <row r="11" spans="1:32" x14ac:dyDescent="0.3">
      <c r="A11" t="s">
        <v>8</v>
      </c>
      <c r="B11" t="s">
        <v>1171</v>
      </c>
      <c r="C11" s="3">
        <f t="shared" si="0"/>
        <v>45</v>
      </c>
      <c r="D11">
        <v>34</v>
      </c>
      <c r="E11">
        <v>12</v>
      </c>
      <c r="F11">
        <v>9</v>
      </c>
      <c r="G11">
        <f t="shared" si="2"/>
        <v>13</v>
      </c>
      <c r="H11">
        <v>41</v>
      </c>
      <c r="I11">
        <v>51</v>
      </c>
      <c r="J11">
        <f t="shared" si="3"/>
        <v>-10</v>
      </c>
      <c r="L11" t="s">
        <v>8</v>
      </c>
      <c r="M11" t="s">
        <v>1153</v>
      </c>
      <c r="N11" s="3">
        <f t="shared" si="1"/>
        <v>50</v>
      </c>
      <c r="O11">
        <v>34</v>
      </c>
      <c r="P11">
        <v>15</v>
      </c>
      <c r="Q11">
        <v>5</v>
      </c>
      <c r="R11">
        <f t="shared" si="4"/>
        <v>14</v>
      </c>
      <c r="S11">
        <v>48</v>
      </c>
      <c r="T11">
        <v>57</v>
      </c>
      <c r="U11">
        <f t="shared" si="5"/>
        <v>-9</v>
      </c>
    </row>
    <row r="12" spans="1:32" x14ac:dyDescent="0.3">
      <c r="A12" t="s">
        <v>9</v>
      </c>
      <c r="B12" t="s">
        <v>1172</v>
      </c>
      <c r="C12" s="3">
        <f t="shared" si="0"/>
        <v>41</v>
      </c>
      <c r="D12">
        <v>34</v>
      </c>
      <c r="E12">
        <v>11</v>
      </c>
      <c r="F12">
        <v>8</v>
      </c>
      <c r="G12">
        <f t="shared" si="2"/>
        <v>15</v>
      </c>
      <c r="H12">
        <v>37</v>
      </c>
      <c r="I12">
        <v>40</v>
      </c>
      <c r="J12">
        <f t="shared" si="3"/>
        <v>-3</v>
      </c>
      <c r="L12" t="s">
        <v>9</v>
      </c>
      <c r="M12" t="s">
        <v>1155</v>
      </c>
      <c r="N12" s="3">
        <f t="shared" si="1"/>
        <v>46</v>
      </c>
      <c r="O12">
        <v>34</v>
      </c>
      <c r="P12">
        <v>12</v>
      </c>
      <c r="Q12">
        <v>10</v>
      </c>
      <c r="R12">
        <f t="shared" si="4"/>
        <v>12</v>
      </c>
      <c r="S12">
        <v>45</v>
      </c>
      <c r="T12">
        <v>40</v>
      </c>
      <c r="U12">
        <f t="shared" si="5"/>
        <v>5</v>
      </c>
    </row>
    <row r="13" spans="1:32" x14ac:dyDescent="0.3">
      <c r="A13" t="s">
        <v>10</v>
      </c>
      <c r="B13" t="s">
        <v>1173</v>
      </c>
      <c r="C13" s="3">
        <f t="shared" si="0"/>
        <v>41</v>
      </c>
      <c r="D13">
        <v>34</v>
      </c>
      <c r="E13">
        <v>12</v>
      </c>
      <c r="F13">
        <v>5</v>
      </c>
      <c r="G13">
        <f t="shared" si="2"/>
        <v>17</v>
      </c>
      <c r="H13">
        <v>44</v>
      </c>
      <c r="I13">
        <v>55</v>
      </c>
      <c r="J13">
        <f t="shared" si="3"/>
        <v>-11</v>
      </c>
      <c r="L13" t="s">
        <v>10</v>
      </c>
      <c r="M13" t="s">
        <v>1156</v>
      </c>
      <c r="N13" s="3">
        <f t="shared" si="1"/>
        <v>45</v>
      </c>
      <c r="O13">
        <v>34</v>
      </c>
      <c r="P13">
        <v>12</v>
      </c>
      <c r="Q13">
        <v>9</v>
      </c>
      <c r="R13">
        <f t="shared" si="4"/>
        <v>13</v>
      </c>
      <c r="S13">
        <v>38</v>
      </c>
      <c r="T13">
        <v>38</v>
      </c>
      <c r="U13">
        <f t="shared" si="5"/>
        <v>0</v>
      </c>
    </row>
    <row r="14" spans="1:32" x14ac:dyDescent="0.3">
      <c r="A14" t="s">
        <v>11</v>
      </c>
      <c r="B14" t="s">
        <v>1174</v>
      </c>
      <c r="C14" s="3">
        <f t="shared" si="0"/>
        <v>37</v>
      </c>
      <c r="D14">
        <v>34</v>
      </c>
      <c r="E14">
        <v>9</v>
      </c>
      <c r="F14">
        <v>10</v>
      </c>
      <c r="G14">
        <f t="shared" si="2"/>
        <v>15</v>
      </c>
      <c r="H14">
        <v>37</v>
      </c>
      <c r="I14">
        <v>60</v>
      </c>
      <c r="J14">
        <f t="shared" si="3"/>
        <v>-23</v>
      </c>
      <c r="L14" t="s">
        <v>11</v>
      </c>
      <c r="M14" t="s">
        <v>1157</v>
      </c>
      <c r="N14" s="3">
        <f t="shared" si="1"/>
        <v>41</v>
      </c>
      <c r="O14">
        <v>34</v>
      </c>
      <c r="P14">
        <v>11</v>
      </c>
      <c r="Q14">
        <v>8</v>
      </c>
      <c r="R14">
        <f t="shared" si="4"/>
        <v>15</v>
      </c>
      <c r="S14">
        <v>32</v>
      </c>
      <c r="T14">
        <v>36</v>
      </c>
      <c r="U14">
        <f t="shared" si="5"/>
        <v>-4</v>
      </c>
    </row>
    <row r="15" spans="1:32" x14ac:dyDescent="0.3">
      <c r="A15" t="s">
        <v>69</v>
      </c>
      <c r="B15" t="s">
        <v>1175</v>
      </c>
      <c r="C15" s="3">
        <f t="shared" si="0"/>
        <v>37</v>
      </c>
      <c r="D15">
        <v>34</v>
      </c>
      <c r="E15">
        <v>10</v>
      </c>
      <c r="F15">
        <v>7</v>
      </c>
      <c r="G15">
        <f t="shared" si="2"/>
        <v>17</v>
      </c>
      <c r="H15">
        <v>42</v>
      </c>
      <c r="I15">
        <v>67</v>
      </c>
      <c r="J15">
        <f t="shared" si="3"/>
        <v>-25</v>
      </c>
      <c r="L15" t="s">
        <v>69</v>
      </c>
      <c r="M15" t="s">
        <v>1158</v>
      </c>
      <c r="N15" s="3">
        <f t="shared" si="1"/>
        <v>41</v>
      </c>
      <c r="O15">
        <v>34</v>
      </c>
      <c r="P15">
        <v>11</v>
      </c>
      <c r="Q15">
        <v>8</v>
      </c>
      <c r="R15">
        <f t="shared" si="4"/>
        <v>15</v>
      </c>
      <c r="S15">
        <v>33</v>
      </c>
      <c r="T15">
        <v>39</v>
      </c>
      <c r="U15">
        <f t="shared" si="5"/>
        <v>-6</v>
      </c>
    </row>
    <row r="16" spans="1:32" x14ac:dyDescent="0.3">
      <c r="A16" t="s">
        <v>70</v>
      </c>
      <c r="B16" t="s">
        <v>1176</v>
      </c>
      <c r="C16" s="3">
        <f t="shared" si="0"/>
        <v>36</v>
      </c>
      <c r="D16">
        <v>34</v>
      </c>
      <c r="E16">
        <v>8</v>
      </c>
      <c r="F16">
        <v>12</v>
      </c>
      <c r="G16">
        <f t="shared" si="2"/>
        <v>14</v>
      </c>
      <c r="H16">
        <v>39</v>
      </c>
      <c r="I16">
        <v>52</v>
      </c>
      <c r="J16">
        <f t="shared" si="3"/>
        <v>-13</v>
      </c>
      <c r="L16" t="s">
        <v>70</v>
      </c>
      <c r="M16" t="s">
        <v>1159</v>
      </c>
      <c r="N16" s="3">
        <f t="shared" si="1"/>
        <v>41</v>
      </c>
      <c r="O16">
        <v>34</v>
      </c>
      <c r="P16">
        <v>10</v>
      </c>
      <c r="Q16">
        <v>11</v>
      </c>
      <c r="R16">
        <f t="shared" si="4"/>
        <v>13</v>
      </c>
      <c r="S16">
        <v>33</v>
      </c>
      <c r="T16">
        <v>44</v>
      </c>
      <c r="U16">
        <f t="shared" si="5"/>
        <v>-11</v>
      </c>
    </row>
    <row r="17" spans="1:21" x14ac:dyDescent="0.3">
      <c r="A17" t="s">
        <v>71</v>
      </c>
      <c r="B17" t="s">
        <v>1177</v>
      </c>
      <c r="C17" s="3">
        <f t="shared" si="0"/>
        <v>33</v>
      </c>
      <c r="D17">
        <v>34</v>
      </c>
      <c r="E17">
        <v>8</v>
      </c>
      <c r="F17">
        <v>9</v>
      </c>
      <c r="G17">
        <f t="shared" si="2"/>
        <v>17</v>
      </c>
      <c r="H17">
        <v>37</v>
      </c>
      <c r="I17">
        <v>46</v>
      </c>
      <c r="J17">
        <f t="shared" si="3"/>
        <v>-9</v>
      </c>
      <c r="L17" t="s">
        <v>71</v>
      </c>
      <c r="M17" t="s">
        <v>1160</v>
      </c>
      <c r="N17" s="3">
        <f t="shared" si="1"/>
        <v>40</v>
      </c>
      <c r="O17">
        <v>34</v>
      </c>
      <c r="P17">
        <v>10</v>
      </c>
      <c r="Q17">
        <v>10</v>
      </c>
      <c r="R17">
        <f t="shared" si="4"/>
        <v>14</v>
      </c>
      <c r="S17">
        <v>28</v>
      </c>
      <c r="T17">
        <v>42</v>
      </c>
      <c r="U17">
        <f t="shared" si="5"/>
        <v>-14</v>
      </c>
    </row>
    <row r="18" spans="1:21" x14ac:dyDescent="0.3">
      <c r="A18" s="8" t="s">
        <v>72</v>
      </c>
      <c r="B18" t="s">
        <v>1178</v>
      </c>
      <c r="C18" s="3">
        <f t="shared" si="0"/>
        <v>33</v>
      </c>
      <c r="D18">
        <v>34</v>
      </c>
      <c r="E18">
        <v>7</v>
      </c>
      <c r="F18">
        <v>12</v>
      </c>
      <c r="G18">
        <f t="shared" si="2"/>
        <v>15</v>
      </c>
      <c r="H18">
        <v>35</v>
      </c>
      <c r="I18">
        <v>59</v>
      </c>
      <c r="J18">
        <f t="shared" si="3"/>
        <v>-24</v>
      </c>
      <c r="L18" t="s">
        <v>72</v>
      </c>
      <c r="M18" t="s">
        <v>1161</v>
      </c>
      <c r="N18" s="3">
        <f t="shared" si="1"/>
        <v>38</v>
      </c>
      <c r="O18">
        <v>34</v>
      </c>
      <c r="P18">
        <v>10</v>
      </c>
      <c r="Q18">
        <v>8</v>
      </c>
      <c r="R18">
        <f t="shared" si="4"/>
        <v>16</v>
      </c>
      <c r="S18">
        <v>38</v>
      </c>
      <c r="T18">
        <v>45</v>
      </c>
      <c r="U18">
        <f t="shared" si="5"/>
        <v>-7</v>
      </c>
    </row>
    <row r="19" spans="1:21" x14ac:dyDescent="0.3">
      <c r="A19" s="7" t="s">
        <v>255</v>
      </c>
      <c r="B19" t="s">
        <v>1179</v>
      </c>
      <c r="C19" s="3">
        <f t="shared" si="0"/>
        <v>26</v>
      </c>
      <c r="D19">
        <v>34</v>
      </c>
      <c r="E19">
        <v>5</v>
      </c>
      <c r="F19">
        <v>11</v>
      </c>
      <c r="G19">
        <f t="shared" si="2"/>
        <v>18</v>
      </c>
      <c r="H19">
        <v>26</v>
      </c>
      <c r="I19">
        <v>54</v>
      </c>
      <c r="J19">
        <f t="shared" si="3"/>
        <v>-28</v>
      </c>
      <c r="L19" t="s">
        <v>255</v>
      </c>
      <c r="M19" t="s">
        <v>1162</v>
      </c>
      <c r="N19" s="3">
        <f t="shared" si="1"/>
        <v>35</v>
      </c>
      <c r="O19">
        <v>34</v>
      </c>
      <c r="P19">
        <v>9</v>
      </c>
      <c r="Q19">
        <v>8</v>
      </c>
      <c r="R19">
        <f t="shared" si="4"/>
        <v>17</v>
      </c>
      <c r="S19">
        <v>36</v>
      </c>
      <c r="T19">
        <v>49</v>
      </c>
      <c r="U19">
        <f t="shared" si="5"/>
        <v>-13</v>
      </c>
    </row>
    <row r="20" spans="1:21" x14ac:dyDescent="0.3">
      <c r="A20" s="7" t="s">
        <v>256</v>
      </c>
      <c r="B20" t="s">
        <v>1180</v>
      </c>
      <c r="C20" s="3">
        <f t="shared" si="0"/>
        <v>24</v>
      </c>
      <c r="D20">
        <v>34</v>
      </c>
      <c r="E20">
        <v>5</v>
      </c>
      <c r="F20">
        <v>9</v>
      </c>
      <c r="G20">
        <f t="shared" si="2"/>
        <v>20</v>
      </c>
      <c r="H20">
        <v>26</v>
      </c>
      <c r="I20">
        <v>67</v>
      </c>
      <c r="J20">
        <f t="shared" si="3"/>
        <v>-41</v>
      </c>
      <c r="L20" t="s">
        <v>256</v>
      </c>
      <c r="M20" t="s">
        <v>1163</v>
      </c>
      <c r="N20" s="3">
        <f t="shared" si="1"/>
        <v>34</v>
      </c>
      <c r="O20">
        <v>34</v>
      </c>
      <c r="P20">
        <v>8</v>
      </c>
      <c r="Q20">
        <v>10</v>
      </c>
      <c r="R20">
        <f t="shared" si="4"/>
        <v>16</v>
      </c>
      <c r="S20">
        <v>33</v>
      </c>
      <c r="T20">
        <v>50</v>
      </c>
      <c r="U20">
        <f t="shared" si="5"/>
        <v>-17</v>
      </c>
    </row>
    <row r="22" spans="1:21" x14ac:dyDescent="0.3">
      <c r="A22" t="s">
        <v>299</v>
      </c>
    </row>
    <row r="23" spans="1:21" x14ac:dyDescent="0.3">
      <c r="A23" t="str">
        <f>B18</f>
        <v>Casa Pia</v>
      </c>
      <c r="B23" t="s">
        <v>38</v>
      </c>
      <c r="C23" t="str">
        <f>M5</f>
        <v>Vizela</v>
      </c>
      <c r="E23" t="str">
        <f>M5</f>
        <v>Vizela</v>
      </c>
      <c r="F23" t="s">
        <v>42</v>
      </c>
      <c r="G23" t="str">
        <f>B18</f>
        <v>Casa Pia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57708-9A67-44D8-8CF8-E7BE13DA6E03}">
  <dimension ref="A1:Q29"/>
  <sheetViews>
    <sheetView workbookViewId="0">
      <selection activeCell="Q4" sqref="Q4"/>
    </sheetView>
  </sheetViews>
  <sheetFormatPr defaultRowHeight="14.4" x14ac:dyDescent="0.3"/>
  <sheetData>
    <row r="1" spans="1:17" x14ac:dyDescent="0.3">
      <c r="A1" t="s">
        <v>1182</v>
      </c>
      <c r="L1" t="s">
        <v>1199</v>
      </c>
      <c r="P1" t="s">
        <v>48</v>
      </c>
    </row>
    <row r="2" spans="1:17" x14ac:dyDescent="0.3">
      <c r="A2" t="s">
        <v>34</v>
      </c>
      <c r="L2" t="s">
        <v>40</v>
      </c>
      <c r="P2" t="s">
        <v>1183</v>
      </c>
      <c r="Q2">
        <v>5</v>
      </c>
    </row>
    <row r="3" spans="1:17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20</v>
      </c>
      <c r="I3" t="s">
        <v>21</v>
      </c>
      <c r="J3" t="s">
        <v>19</v>
      </c>
      <c r="L3" t="s">
        <v>1185</v>
      </c>
      <c r="M3" t="s">
        <v>38</v>
      </c>
      <c r="N3" t="s">
        <v>1184</v>
      </c>
      <c r="P3" t="s">
        <v>1188</v>
      </c>
      <c r="Q3">
        <v>14</v>
      </c>
    </row>
    <row r="4" spans="1:17" x14ac:dyDescent="0.3">
      <c r="A4" s="4" t="s">
        <v>0</v>
      </c>
      <c r="B4" t="s">
        <v>1183</v>
      </c>
      <c r="C4" s="3">
        <f>E4*3+F4+30</f>
        <v>45</v>
      </c>
      <c r="D4">
        <v>10</v>
      </c>
      <c r="E4">
        <v>4</v>
      </c>
      <c r="F4">
        <v>3</v>
      </c>
      <c r="G4">
        <f t="shared" ref="G4:G9" si="0">D4-E4-F4</f>
        <v>3</v>
      </c>
      <c r="H4">
        <v>18</v>
      </c>
      <c r="I4">
        <v>17</v>
      </c>
      <c r="J4">
        <f t="shared" ref="J4:J9" si="1">H4-I4</f>
        <v>1</v>
      </c>
      <c r="L4" t="s">
        <v>1188</v>
      </c>
      <c r="M4" t="s">
        <v>66</v>
      </c>
      <c r="N4" t="s">
        <v>1183</v>
      </c>
    </row>
    <row r="5" spans="1:17" x14ac:dyDescent="0.3">
      <c r="A5" s="1" t="s">
        <v>1</v>
      </c>
      <c r="B5" t="s">
        <v>1184</v>
      </c>
      <c r="C5" s="3">
        <f>E5*3+F5+27</f>
        <v>44</v>
      </c>
      <c r="D5">
        <v>10</v>
      </c>
      <c r="E5">
        <v>5</v>
      </c>
      <c r="F5">
        <v>2</v>
      </c>
      <c r="G5">
        <f t="shared" si="0"/>
        <v>3</v>
      </c>
      <c r="H5">
        <v>15</v>
      </c>
      <c r="I5">
        <v>14</v>
      </c>
      <c r="J5">
        <f t="shared" si="1"/>
        <v>1</v>
      </c>
    </row>
    <row r="6" spans="1:17" x14ac:dyDescent="0.3">
      <c r="A6" s="2" t="s">
        <v>2</v>
      </c>
      <c r="B6" t="s">
        <v>1185</v>
      </c>
      <c r="C6" s="3">
        <f>E6*3+F6+25</f>
        <v>42</v>
      </c>
      <c r="D6">
        <v>10</v>
      </c>
      <c r="E6">
        <v>5</v>
      </c>
      <c r="F6">
        <v>2</v>
      </c>
      <c r="G6">
        <f t="shared" si="0"/>
        <v>3</v>
      </c>
      <c r="H6">
        <v>16</v>
      </c>
      <c r="I6">
        <v>12</v>
      </c>
      <c r="J6">
        <f t="shared" si="1"/>
        <v>4</v>
      </c>
      <c r="L6" t="s">
        <v>46</v>
      </c>
    </row>
    <row r="7" spans="1:17" x14ac:dyDescent="0.3">
      <c r="A7" t="s">
        <v>3</v>
      </c>
      <c r="B7" t="s">
        <v>1186</v>
      </c>
      <c r="C7" s="3">
        <f>E7*3+F7+27</f>
        <v>40</v>
      </c>
      <c r="D7">
        <v>10</v>
      </c>
      <c r="E7">
        <v>4</v>
      </c>
      <c r="F7">
        <v>1</v>
      </c>
      <c r="G7">
        <f t="shared" si="0"/>
        <v>5</v>
      </c>
      <c r="H7">
        <v>14</v>
      </c>
      <c r="I7">
        <v>15</v>
      </c>
      <c r="J7">
        <f t="shared" si="1"/>
        <v>-1</v>
      </c>
      <c r="L7" t="s">
        <v>1188</v>
      </c>
      <c r="M7" t="s">
        <v>1200</v>
      </c>
      <c r="N7" t="s">
        <v>1184</v>
      </c>
    </row>
    <row r="8" spans="1:17" x14ac:dyDescent="0.3">
      <c r="A8" t="s">
        <v>4</v>
      </c>
      <c r="B8" t="s">
        <v>1187</v>
      </c>
      <c r="C8" s="3">
        <f>E8*3+F8+28</f>
        <v>39</v>
      </c>
      <c r="D8">
        <v>10</v>
      </c>
      <c r="E8">
        <v>3</v>
      </c>
      <c r="F8">
        <v>2</v>
      </c>
      <c r="G8">
        <f t="shared" si="0"/>
        <v>5</v>
      </c>
      <c r="H8">
        <v>12</v>
      </c>
      <c r="I8">
        <v>15</v>
      </c>
      <c r="J8">
        <f t="shared" si="1"/>
        <v>-3</v>
      </c>
    </row>
    <row r="9" spans="1:17" x14ac:dyDescent="0.3">
      <c r="A9" s="5" t="s">
        <v>5</v>
      </c>
      <c r="B9" t="s">
        <v>1188</v>
      </c>
      <c r="C9" s="3">
        <f>E9*3+F9+26</f>
        <v>35</v>
      </c>
      <c r="D9">
        <v>10</v>
      </c>
      <c r="E9">
        <v>1</v>
      </c>
      <c r="F9">
        <v>6</v>
      </c>
      <c r="G9">
        <f t="shared" si="0"/>
        <v>3</v>
      </c>
      <c r="H9">
        <v>13</v>
      </c>
      <c r="I9">
        <v>15</v>
      </c>
      <c r="J9">
        <f t="shared" si="1"/>
        <v>-2</v>
      </c>
    </row>
    <row r="11" spans="1:17" x14ac:dyDescent="0.3">
      <c r="A11" t="s">
        <v>35</v>
      </c>
    </row>
    <row r="12" spans="1:17" x14ac:dyDescent="0.3">
      <c r="A12" t="s">
        <v>12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G12" t="s">
        <v>18</v>
      </c>
      <c r="H12" t="s">
        <v>20</v>
      </c>
      <c r="I12" t="s">
        <v>21</v>
      </c>
      <c r="J12" t="s">
        <v>19</v>
      </c>
    </row>
    <row r="13" spans="1:17" x14ac:dyDescent="0.3">
      <c r="A13" s="2" t="s">
        <v>0</v>
      </c>
      <c r="B13" t="s">
        <v>1190</v>
      </c>
      <c r="C13" s="3">
        <f>E13*3+F13+23</f>
        <v>45</v>
      </c>
      <c r="D13">
        <v>9</v>
      </c>
      <c r="E13">
        <v>7</v>
      </c>
      <c r="F13">
        <v>1</v>
      </c>
      <c r="G13">
        <f t="shared" ref="G13:G22" si="2">D13-E13-F13</f>
        <v>1</v>
      </c>
      <c r="H13">
        <v>21</v>
      </c>
      <c r="I13">
        <v>6</v>
      </c>
      <c r="J13">
        <f t="shared" ref="J13:J22" si="3">H13-I13</f>
        <v>15</v>
      </c>
    </row>
    <row r="14" spans="1:17" x14ac:dyDescent="0.3">
      <c r="A14" s="2" t="s">
        <v>1</v>
      </c>
      <c r="B14" t="s">
        <v>1189</v>
      </c>
      <c r="C14" s="3">
        <f>E14*3+F14+22</f>
        <v>37</v>
      </c>
      <c r="D14">
        <v>9</v>
      </c>
      <c r="E14">
        <v>5</v>
      </c>
      <c r="F14">
        <v>0</v>
      </c>
      <c r="G14">
        <f t="shared" si="2"/>
        <v>4</v>
      </c>
      <c r="H14">
        <v>20</v>
      </c>
      <c r="I14">
        <v>13</v>
      </c>
      <c r="J14">
        <f t="shared" si="3"/>
        <v>7</v>
      </c>
    </row>
    <row r="15" spans="1:17" x14ac:dyDescent="0.3">
      <c r="A15" t="s">
        <v>2</v>
      </c>
      <c r="B15" t="s">
        <v>1192</v>
      </c>
      <c r="C15" s="3">
        <f>E15*3+F15+21</f>
        <v>34</v>
      </c>
      <c r="D15">
        <v>9</v>
      </c>
      <c r="E15">
        <v>4</v>
      </c>
      <c r="F15">
        <v>1</v>
      </c>
      <c r="G15">
        <f t="shared" si="2"/>
        <v>4</v>
      </c>
      <c r="H15">
        <v>15</v>
      </c>
      <c r="I15">
        <v>14</v>
      </c>
      <c r="J15">
        <f t="shared" si="3"/>
        <v>1</v>
      </c>
    </row>
    <row r="16" spans="1:17" x14ac:dyDescent="0.3">
      <c r="A16" t="s">
        <v>3</v>
      </c>
      <c r="B16" t="s">
        <v>1191</v>
      </c>
      <c r="C16" s="3">
        <f>E16*3+F16+21</f>
        <v>33</v>
      </c>
      <c r="D16">
        <v>9</v>
      </c>
      <c r="E16">
        <v>4</v>
      </c>
      <c r="F16">
        <v>0</v>
      </c>
      <c r="G16">
        <f t="shared" si="2"/>
        <v>5</v>
      </c>
      <c r="H16">
        <v>11</v>
      </c>
      <c r="I16">
        <v>18</v>
      </c>
      <c r="J16">
        <f t="shared" si="3"/>
        <v>-7</v>
      </c>
    </row>
    <row r="17" spans="1:10" x14ac:dyDescent="0.3">
      <c r="A17" t="s">
        <v>4</v>
      </c>
      <c r="B17" t="s">
        <v>1195</v>
      </c>
      <c r="C17" s="3">
        <f>E17*3+F17+13</f>
        <v>32</v>
      </c>
      <c r="D17">
        <v>9</v>
      </c>
      <c r="E17">
        <v>6</v>
      </c>
      <c r="F17">
        <v>1</v>
      </c>
      <c r="G17">
        <f t="shared" si="2"/>
        <v>2</v>
      </c>
      <c r="H17">
        <v>16</v>
      </c>
      <c r="I17">
        <v>9</v>
      </c>
      <c r="J17">
        <f t="shared" si="3"/>
        <v>7</v>
      </c>
    </row>
    <row r="18" spans="1:10" x14ac:dyDescent="0.3">
      <c r="A18" t="s">
        <v>5</v>
      </c>
      <c r="B18" t="s">
        <v>1193</v>
      </c>
      <c r="C18" s="3">
        <f>E18*3+F18+19</f>
        <v>28</v>
      </c>
      <c r="D18">
        <v>9</v>
      </c>
      <c r="E18">
        <v>2</v>
      </c>
      <c r="F18">
        <v>3</v>
      </c>
      <c r="G18">
        <f t="shared" si="2"/>
        <v>4</v>
      </c>
      <c r="H18">
        <v>10</v>
      </c>
      <c r="I18">
        <v>14</v>
      </c>
      <c r="J18">
        <f t="shared" si="3"/>
        <v>-4</v>
      </c>
    </row>
    <row r="19" spans="1:10" x14ac:dyDescent="0.3">
      <c r="A19" t="s">
        <v>6</v>
      </c>
      <c r="B19" t="s">
        <v>1196</v>
      </c>
      <c r="C19" s="3">
        <f>E19*3+F19+16</f>
        <v>26</v>
      </c>
      <c r="D19">
        <v>9</v>
      </c>
      <c r="E19">
        <v>3</v>
      </c>
      <c r="F19">
        <v>1</v>
      </c>
      <c r="G19">
        <f t="shared" si="2"/>
        <v>5</v>
      </c>
      <c r="H19">
        <v>12</v>
      </c>
      <c r="I19">
        <v>13</v>
      </c>
      <c r="J19">
        <f t="shared" si="3"/>
        <v>-1</v>
      </c>
    </row>
    <row r="20" spans="1:10" x14ac:dyDescent="0.3">
      <c r="A20" t="s">
        <v>7</v>
      </c>
      <c r="B20" t="s">
        <v>1198</v>
      </c>
      <c r="C20" s="3">
        <f>E20*3+F20+6</f>
        <v>21</v>
      </c>
      <c r="D20">
        <v>9</v>
      </c>
      <c r="E20">
        <v>4</v>
      </c>
      <c r="F20">
        <v>3</v>
      </c>
      <c r="G20">
        <f t="shared" si="2"/>
        <v>2</v>
      </c>
      <c r="H20">
        <v>14</v>
      </c>
      <c r="I20">
        <v>12</v>
      </c>
      <c r="J20">
        <f t="shared" si="3"/>
        <v>2</v>
      </c>
    </row>
    <row r="21" spans="1:10" x14ac:dyDescent="0.3">
      <c r="A21" t="s">
        <v>8</v>
      </c>
      <c r="B21" t="s">
        <v>1194</v>
      </c>
      <c r="C21" s="3">
        <f>E21*3+F21+16</f>
        <v>21</v>
      </c>
      <c r="D21">
        <v>9</v>
      </c>
      <c r="E21">
        <v>1</v>
      </c>
      <c r="F21">
        <v>2</v>
      </c>
      <c r="G21">
        <f t="shared" si="2"/>
        <v>6</v>
      </c>
      <c r="H21">
        <v>7</v>
      </c>
      <c r="I21">
        <v>20</v>
      </c>
      <c r="J21">
        <f t="shared" si="3"/>
        <v>-13</v>
      </c>
    </row>
    <row r="22" spans="1:10" x14ac:dyDescent="0.3">
      <c r="A22" t="s">
        <v>9</v>
      </c>
      <c r="B22" t="s">
        <v>1197</v>
      </c>
      <c r="C22" s="3">
        <f>E22*3+F22+12</f>
        <v>20</v>
      </c>
      <c r="D22">
        <v>9</v>
      </c>
      <c r="E22">
        <v>2</v>
      </c>
      <c r="F22">
        <v>2</v>
      </c>
      <c r="G22">
        <f t="shared" si="2"/>
        <v>5</v>
      </c>
      <c r="H22">
        <v>12</v>
      </c>
      <c r="I22">
        <v>19</v>
      </c>
      <c r="J22">
        <f t="shared" si="3"/>
        <v>-7</v>
      </c>
    </row>
    <row r="24" spans="1:10" x14ac:dyDescent="0.3">
      <c r="A24" t="s">
        <v>350</v>
      </c>
    </row>
    <row r="25" spans="1:10" x14ac:dyDescent="0.3">
      <c r="A25" t="s">
        <v>40</v>
      </c>
    </row>
    <row r="26" spans="1:10" x14ac:dyDescent="0.3">
      <c r="A26" t="str">
        <f>B13</f>
        <v>FCSB</v>
      </c>
      <c r="B26" t="s">
        <v>93</v>
      </c>
      <c r="C26" t="str">
        <f>B14</f>
        <v>UTA Arad</v>
      </c>
    </row>
    <row r="28" spans="1:10" x14ac:dyDescent="0.3">
      <c r="A28" t="s">
        <v>46</v>
      </c>
    </row>
    <row r="29" spans="1:10" x14ac:dyDescent="0.3">
      <c r="A29" t="str">
        <f>B6</f>
        <v>Argeș Pitești</v>
      </c>
      <c r="B29" t="s">
        <v>41</v>
      </c>
      <c r="C29" t="s">
        <v>1190</v>
      </c>
    </row>
  </sheetData>
  <sortState xmlns:xlrd2="http://schemas.microsoft.com/office/spreadsheetml/2017/richdata2" ref="B13:J22">
    <sortCondition descending="1" ref="C13:C22"/>
    <sortCondition descending="1" ref="J13:J22"/>
  </sortState>
  <pageMargins left="0.7" right="0.7" top="0.75" bottom="0.75" header="0.3" footer="0.3"/>
  <ignoredErrors>
    <ignoredError sqref="C6 C20" formula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EEE20-E69F-4D29-9F73-315B1EC29ECE}">
  <dimension ref="A1:U18"/>
  <sheetViews>
    <sheetView workbookViewId="0">
      <selection activeCell="C3" sqref="C3:C18"/>
    </sheetView>
  </sheetViews>
  <sheetFormatPr defaultRowHeight="14.4" x14ac:dyDescent="0.3"/>
  <sheetData>
    <row r="1" spans="1:21" x14ac:dyDescent="0.3">
      <c r="A1" t="s">
        <v>1201</v>
      </c>
      <c r="L1" t="s">
        <v>1218</v>
      </c>
      <c r="T1" t="s">
        <v>48</v>
      </c>
    </row>
    <row r="2" spans="1:21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20</v>
      </c>
      <c r="I2" t="s">
        <v>21</v>
      </c>
      <c r="J2" t="s">
        <v>19</v>
      </c>
      <c r="L2" t="s">
        <v>1219</v>
      </c>
      <c r="T2" t="s">
        <v>1202</v>
      </c>
      <c r="U2">
        <v>2</v>
      </c>
    </row>
    <row r="3" spans="1:21" x14ac:dyDescent="0.3">
      <c r="A3" t="s">
        <v>0</v>
      </c>
      <c r="B3" t="s">
        <v>1202</v>
      </c>
      <c r="C3" s="3">
        <f t="shared" ref="C3:C18" si="0">E3*3+F3</f>
        <v>64</v>
      </c>
      <c r="D3">
        <v>30</v>
      </c>
      <c r="E3">
        <v>19</v>
      </c>
      <c r="F3">
        <v>7</v>
      </c>
      <c r="G3">
        <f>D3-E3-F3</f>
        <v>4</v>
      </c>
      <c r="H3">
        <v>58</v>
      </c>
      <c r="I3">
        <v>23</v>
      </c>
      <c r="J3">
        <f>H3-I3</f>
        <v>35</v>
      </c>
      <c r="L3" t="s">
        <v>1210</v>
      </c>
      <c r="M3" t="s">
        <v>206</v>
      </c>
      <c r="N3" t="s">
        <v>1202</v>
      </c>
      <c r="P3" t="s">
        <v>1202</v>
      </c>
      <c r="Q3" t="s">
        <v>225</v>
      </c>
      <c r="R3" t="s">
        <v>1210</v>
      </c>
      <c r="T3" t="s">
        <v>1206</v>
      </c>
      <c r="U3">
        <v>5</v>
      </c>
    </row>
    <row r="4" spans="1:21" x14ac:dyDescent="0.3">
      <c r="A4" t="s">
        <v>1</v>
      </c>
      <c r="B4" t="s">
        <v>1203</v>
      </c>
      <c r="C4" s="3">
        <f t="shared" si="0"/>
        <v>58</v>
      </c>
      <c r="D4">
        <v>30</v>
      </c>
      <c r="E4">
        <v>17</v>
      </c>
      <c r="F4">
        <v>7</v>
      </c>
      <c r="G4">
        <f t="shared" ref="G4:G18" si="1">D4-E4-F4</f>
        <v>6</v>
      </c>
      <c r="H4">
        <v>49</v>
      </c>
      <c r="I4">
        <v>25</v>
      </c>
      <c r="J4">
        <f t="shared" ref="J4:J18" si="2">H4-I4</f>
        <v>24</v>
      </c>
    </row>
    <row r="5" spans="1:21" x14ac:dyDescent="0.3">
      <c r="A5" t="s">
        <v>2</v>
      </c>
      <c r="B5" t="s">
        <v>1204</v>
      </c>
      <c r="C5" s="3">
        <f t="shared" si="0"/>
        <v>55</v>
      </c>
      <c r="D5">
        <v>30</v>
      </c>
      <c r="E5">
        <v>15</v>
      </c>
      <c r="F5">
        <v>10</v>
      </c>
      <c r="G5">
        <f t="shared" si="1"/>
        <v>5</v>
      </c>
      <c r="H5">
        <v>62</v>
      </c>
      <c r="I5">
        <v>42</v>
      </c>
      <c r="J5">
        <f t="shared" si="2"/>
        <v>20</v>
      </c>
      <c r="L5" t="s">
        <v>1220</v>
      </c>
    </row>
    <row r="6" spans="1:21" x14ac:dyDescent="0.3">
      <c r="A6" t="s">
        <v>3</v>
      </c>
      <c r="B6" t="s">
        <v>1205</v>
      </c>
      <c r="C6" s="3">
        <f t="shared" si="0"/>
        <v>53</v>
      </c>
      <c r="D6">
        <v>30</v>
      </c>
      <c r="E6">
        <v>14</v>
      </c>
      <c r="F6">
        <v>11</v>
      </c>
      <c r="G6">
        <f t="shared" si="1"/>
        <v>5</v>
      </c>
      <c r="H6">
        <v>39</v>
      </c>
      <c r="I6">
        <v>21</v>
      </c>
      <c r="J6">
        <f t="shared" si="2"/>
        <v>18</v>
      </c>
      <c r="L6" t="s">
        <v>1206</v>
      </c>
      <c r="M6" t="s">
        <v>42</v>
      </c>
      <c r="N6" t="s">
        <v>1208</v>
      </c>
    </row>
    <row r="7" spans="1:21" x14ac:dyDescent="0.3">
      <c r="A7" t="s">
        <v>4</v>
      </c>
      <c r="B7" t="s">
        <v>1206</v>
      </c>
      <c r="C7" s="3">
        <f t="shared" si="0"/>
        <v>52</v>
      </c>
      <c r="D7">
        <v>30</v>
      </c>
      <c r="E7">
        <v>15</v>
      </c>
      <c r="F7">
        <v>7</v>
      </c>
      <c r="G7">
        <f t="shared" si="1"/>
        <v>8</v>
      </c>
      <c r="H7">
        <v>49</v>
      </c>
      <c r="I7">
        <v>41</v>
      </c>
      <c r="J7">
        <f t="shared" si="2"/>
        <v>8</v>
      </c>
    </row>
    <row r="8" spans="1:21" x14ac:dyDescent="0.3">
      <c r="A8" t="s">
        <v>5</v>
      </c>
      <c r="B8" t="s">
        <v>1207</v>
      </c>
      <c r="C8" s="3">
        <f t="shared" si="0"/>
        <v>49</v>
      </c>
      <c r="D8">
        <v>30</v>
      </c>
      <c r="E8">
        <v>14</v>
      </c>
      <c r="F8">
        <v>7</v>
      </c>
      <c r="G8">
        <f t="shared" si="1"/>
        <v>9</v>
      </c>
      <c r="H8">
        <v>41</v>
      </c>
      <c r="I8">
        <v>33</v>
      </c>
      <c r="J8">
        <f t="shared" si="2"/>
        <v>8</v>
      </c>
      <c r="L8" t="s">
        <v>46</v>
      </c>
    </row>
    <row r="9" spans="1:21" x14ac:dyDescent="0.3">
      <c r="A9" t="s">
        <v>6</v>
      </c>
      <c r="B9" t="s">
        <v>1208</v>
      </c>
      <c r="C9" s="3">
        <f t="shared" si="0"/>
        <v>48</v>
      </c>
      <c r="D9">
        <v>30</v>
      </c>
      <c r="E9">
        <v>14</v>
      </c>
      <c r="F9">
        <v>6</v>
      </c>
      <c r="G9">
        <f t="shared" si="1"/>
        <v>10</v>
      </c>
      <c r="H9">
        <v>45</v>
      </c>
      <c r="I9">
        <v>40</v>
      </c>
      <c r="J9">
        <f t="shared" si="2"/>
        <v>5</v>
      </c>
      <c r="L9" t="s">
        <v>1202</v>
      </c>
      <c r="M9" t="s">
        <v>38</v>
      </c>
      <c r="N9" t="s">
        <v>1206</v>
      </c>
    </row>
    <row r="10" spans="1:21" x14ac:dyDescent="0.3">
      <c r="A10" t="s">
        <v>7</v>
      </c>
      <c r="B10" t="s">
        <v>1209</v>
      </c>
      <c r="C10" s="3">
        <f t="shared" si="0"/>
        <v>41</v>
      </c>
      <c r="D10">
        <v>30</v>
      </c>
      <c r="E10">
        <v>11</v>
      </c>
      <c r="F10">
        <v>8</v>
      </c>
      <c r="G10">
        <f t="shared" si="1"/>
        <v>11</v>
      </c>
      <c r="H10">
        <v>37</v>
      </c>
      <c r="I10">
        <v>36</v>
      </c>
      <c r="J10">
        <f t="shared" si="2"/>
        <v>1</v>
      </c>
    </row>
    <row r="11" spans="1:21" x14ac:dyDescent="0.3">
      <c r="A11" t="s">
        <v>8</v>
      </c>
      <c r="B11" t="s">
        <v>1210</v>
      </c>
      <c r="C11" s="3">
        <f t="shared" si="0"/>
        <v>37</v>
      </c>
      <c r="D11">
        <v>30</v>
      </c>
      <c r="E11">
        <v>10</v>
      </c>
      <c r="F11">
        <v>7</v>
      </c>
      <c r="G11">
        <f t="shared" si="1"/>
        <v>13</v>
      </c>
      <c r="H11">
        <v>50</v>
      </c>
      <c r="I11">
        <v>47</v>
      </c>
      <c r="J11">
        <f t="shared" si="2"/>
        <v>3</v>
      </c>
    </row>
    <row r="12" spans="1:21" x14ac:dyDescent="0.3">
      <c r="A12" t="s">
        <v>9</v>
      </c>
      <c r="B12" t="s">
        <v>1211</v>
      </c>
      <c r="C12" s="3">
        <f t="shared" si="0"/>
        <v>36</v>
      </c>
      <c r="D12">
        <v>30</v>
      </c>
      <c r="E12">
        <v>9</v>
      </c>
      <c r="F12">
        <v>9</v>
      </c>
      <c r="G12">
        <f t="shared" si="1"/>
        <v>12</v>
      </c>
      <c r="H12">
        <v>38</v>
      </c>
      <c r="I12">
        <v>50</v>
      </c>
      <c r="J12">
        <f t="shared" si="2"/>
        <v>-12</v>
      </c>
    </row>
    <row r="13" spans="1:21" x14ac:dyDescent="0.3">
      <c r="A13" t="s">
        <v>10</v>
      </c>
      <c r="B13" t="s">
        <v>1212</v>
      </c>
      <c r="C13" s="3">
        <f t="shared" si="0"/>
        <v>35</v>
      </c>
      <c r="D13">
        <v>30</v>
      </c>
      <c r="E13">
        <v>9</v>
      </c>
      <c r="F13">
        <v>8</v>
      </c>
      <c r="G13">
        <f t="shared" si="1"/>
        <v>13</v>
      </c>
      <c r="H13">
        <v>30</v>
      </c>
      <c r="I13">
        <v>40</v>
      </c>
      <c r="J13">
        <f t="shared" si="2"/>
        <v>-10</v>
      </c>
    </row>
    <row r="14" spans="1:21" x14ac:dyDescent="0.3">
      <c r="A14" t="s">
        <v>11</v>
      </c>
      <c r="B14" t="s">
        <v>1213</v>
      </c>
      <c r="C14" s="3">
        <f t="shared" si="0"/>
        <v>35</v>
      </c>
      <c r="D14">
        <v>30</v>
      </c>
      <c r="E14">
        <v>9</v>
      </c>
      <c r="F14">
        <v>8</v>
      </c>
      <c r="G14">
        <f t="shared" si="1"/>
        <v>13</v>
      </c>
      <c r="H14">
        <v>26</v>
      </c>
      <c r="I14">
        <v>36</v>
      </c>
      <c r="J14">
        <f t="shared" si="2"/>
        <v>-10</v>
      </c>
    </row>
    <row r="15" spans="1:21" x14ac:dyDescent="0.3">
      <c r="A15" t="s">
        <v>69</v>
      </c>
      <c r="B15" t="s">
        <v>1214</v>
      </c>
      <c r="C15" s="3">
        <f t="shared" si="0"/>
        <v>29</v>
      </c>
      <c r="D15">
        <v>30</v>
      </c>
      <c r="E15">
        <v>7</v>
      </c>
      <c r="F15">
        <v>8</v>
      </c>
      <c r="G15">
        <f t="shared" si="1"/>
        <v>15</v>
      </c>
      <c r="H15">
        <v>39</v>
      </c>
      <c r="I15">
        <v>51</v>
      </c>
      <c r="J15">
        <f t="shared" si="2"/>
        <v>-12</v>
      </c>
    </row>
    <row r="16" spans="1:21" x14ac:dyDescent="0.3">
      <c r="A16" t="s">
        <v>70</v>
      </c>
      <c r="B16" t="s">
        <v>1215</v>
      </c>
      <c r="C16" s="3">
        <f t="shared" si="0"/>
        <v>26</v>
      </c>
      <c r="D16">
        <v>30</v>
      </c>
      <c r="E16">
        <v>6</v>
      </c>
      <c r="F16">
        <v>8</v>
      </c>
      <c r="G16">
        <f t="shared" si="1"/>
        <v>16</v>
      </c>
      <c r="H16">
        <v>32</v>
      </c>
      <c r="I16">
        <v>49</v>
      </c>
      <c r="J16">
        <f t="shared" si="2"/>
        <v>-17</v>
      </c>
    </row>
    <row r="17" spans="1:10" x14ac:dyDescent="0.3">
      <c r="A17" t="s">
        <v>71</v>
      </c>
      <c r="B17" t="s">
        <v>1216</v>
      </c>
      <c r="C17" s="3">
        <f t="shared" si="0"/>
        <v>24</v>
      </c>
      <c r="D17">
        <v>30</v>
      </c>
      <c r="E17">
        <v>7</v>
      </c>
      <c r="F17">
        <v>3</v>
      </c>
      <c r="G17">
        <f t="shared" si="1"/>
        <v>20</v>
      </c>
      <c r="H17">
        <v>23</v>
      </c>
      <c r="I17">
        <v>51</v>
      </c>
      <c r="J17">
        <f t="shared" si="2"/>
        <v>-28</v>
      </c>
    </row>
    <row r="18" spans="1:10" x14ac:dyDescent="0.3">
      <c r="A18" t="s">
        <v>72</v>
      </c>
      <c r="B18" t="s">
        <v>1217</v>
      </c>
      <c r="C18" s="3">
        <f t="shared" si="0"/>
        <v>19</v>
      </c>
      <c r="D18">
        <v>30</v>
      </c>
      <c r="E18">
        <v>5</v>
      </c>
      <c r="F18">
        <v>4</v>
      </c>
      <c r="G18">
        <f t="shared" si="1"/>
        <v>21</v>
      </c>
      <c r="H18">
        <v>29</v>
      </c>
      <c r="I18">
        <v>62</v>
      </c>
      <c r="J18">
        <f t="shared" si="2"/>
        <v>-33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99D6A-054A-4164-8999-BBAE8F1F3C31}">
  <dimension ref="A1:Q39"/>
  <sheetViews>
    <sheetView workbookViewId="0">
      <selection activeCell="Q3" sqref="Q3"/>
    </sheetView>
  </sheetViews>
  <sheetFormatPr defaultRowHeight="14.4" x14ac:dyDescent="0.3"/>
  <sheetData>
    <row r="1" spans="1:17" x14ac:dyDescent="0.3">
      <c r="A1" t="s">
        <v>1221</v>
      </c>
      <c r="L1" t="s">
        <v>1224</v>
      </c>
      <c r="P1" t="s">
        <v>48</v>
      </c>
    </row>
    <row r="2" spans="1:17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20</v>
      </c>
      <c r="I2" t="s">
        <v>21</v>
      </c>
      <c r="J2" t="s">
        <v>19</v>
      </c>
      <c r="L2" t="s">
        <v>46</v>
      </c>
      <c r="P2" t="s">
        <v>1247</v>
      </c>
      <c r="Q2">
        <v>6</v>
      </c>
    </row>
    <row r="3" spans="1:17" x14ac:dyDescent="0.3">
      <c r="A3" s="4" t="s">
        <v>0</v>
      </c>
      <c r="B3" t="s">
        <v>1247</v>
      </c>
      <c r="C3" s="3">
        <f t="shared" ref="C3:C18" si="0">E3*3+F3</f>
        <v>70</v>
      </c>
      <c r="D3">
        <v>30</v>
      </c>
      <c r="E3">
        <v>21</v>
      </c>
      <c r="F3">
        <v>7</v>
      </c>
      <c r="G3">
        <f>D3-E3-F3</f>
        <v>2</v>
      </c>
      <c r="H3">
        <v>70</v>
      </c>
      <c r="I3">
        <v>19</v>
      </c>
      <c r="J3">
        <f>H3-I3</f>
        <v>51</v>
      </c>
      <c r="L3" t="s">
        <v>1225</v>
      </c>
      <c r="M3" t="s">
        <v>1227</v>
      </c>
      <c r="N3" t="s">
        <v>1226</v>
      </c>
      <c r="P3" t="s">
        <v>1226</v>
      </c>
      <c r="Q3">
        <v>8</v>
      </c>
    </row>
    <row r="4" spans="1:17" x14ac:dyDescent="0.3">
      <c r="A4" s="2" t="s">
        <v>1</v>
      </c>
      <c r="B4" t="s">
        <v>1225</v>
      </c>
      <c r="C4" s="3">
        <f t="shared" si="0"/>
        <v>69</v>
      </c>
      <c r="D4">
        <v>30</v>
      </c>
      <c r="E4">
        <v>21</v>
      </c>
      <c r="F4">
        <v>6</v>
      </c>
      <c r="G4">
        <f t="shared" ref="G4:G18" si="1">D4-E4-F4</f>
        <v>3</v>
      </c>
      <c r="H4">
        <v>64</v>
      </c>
      <c r="I4">
        <v>18</v>
      </c>
      <c r="J4">
        <f t="shared" ref="J4:J18" si="2">H4-I4</f>
        <v>46</v>
      </c>
    </row>
    <row r="5" spans="1:17" x14ac:dyDescent="0.3">
      <c r="A5" s="2" t="s">
        <v>2</v>
      </c>
      <c r="B5" t="s">
        <v>1248</v>
      </c>
      <c r="C5" s="3">
        <f t="shared" si="0"/>
        <v>64</v>
      </c>
      <c r="D5">
        <v>30</v>
      </c>
      <c r="E5">
        <v>19</v>
      </c>
      <c r="F5">
        <v>7</v>
      </c>
      <c r="G5">
        <f t="shared" si="1"/>
        <v>4</v>
      </c>
      <c r="H5">
        <v>60</v>
      </c>
      <c r="I5">
        <v>25</v>
      </c>
      <c r="J5">
        <f t="shared" si="2"/>
        <v>35</v>
      </c>
    </row>
    <row r="6" spans="1:17" x14ac:dyDescent="0.3">
      <c r="A6" s="2" t="s">
        <v>3</v>
      </c>
      <c r="B6" t="s">
        <v>1226</v>
      </c>
      <c r="C6" s="3">
        <f t="shared" si="0"/>
        <v>62</v>
      </c>
      <c r="D6">
        <v>30</v>
      </c>
      <c r="E6">
        <v>17</v>
      </c>
      <c r="F6">
        <v>11</v>
      </c>
      <c r="G6">
        <f t="shared" si="1"/>
        <v>2</v>
      </c>
      <c r="H6">
        <v>64</v>
      </c>
      <c r="I6">
        <v>25</v>
      </c>
      <c r="J6">
        <f t="shared" si="2"/>
        <v>39</v>
      </c>
    </row>
    <row r="7" spans="1:17" x14ac:dyDescent="0.3">
      <c r="A7" s="2" t="s">
        <v>4</v>
      </c>
      <c r="B7" t="s">
        <v>1249</v>
      </c>
      <c r="C7" s="3">
        <f t="shared" si="0"/>
        <v>56</v>
      </c>
      <c r="D7">
        <v>30</v>
      </c>
      <c r="E7">
        <v>16</v>
      </c>
      <c r="F7">
        <v>8</v>
      </c>
      <c r="G7">
        <f t="shared" si="1"/>
        <v>6</v>
      </c>
      <c r="H7">
        <v>59</v>
      </c>
      <c r="I7">
        <v>31</v>
      </c>
      <c r="J7">
        <f t="shared" si="2"/>
        <v>28</v>
      </c>
    </row>
    <row r="8" spans="1:17" x14ac:dyDescent="0.3">
      <c r="A8" s="2" t="s">
        <v>5</v>
      </c>
      <c r="B8" t="s">
        <v>1250</v>
      </c>
      <c r="C8" s="3">
        <f t="shared" si="0"/>
        <v>50</v>
      </c>
      <c r="D8">
        <v>30</v>
      </c>
      <c r="E8">
        <v>14</v>
      </c>
      <c r="F8">
        <v>8</v>
      </c>
      <c r="G8">
        <f t="shared" si="1"/>
        <v>8</v>
      </c>
      <c r="H8">
        <v>58</v>
      </c>
      <c r="I8">
        <v>31</v>
      </c>
      <c r="J8">
        <f t="shared" si="2"/>
        <v>27</v>
      </c>
    </row>
    <row r="9" spans="1:17" x14ac:dyDescent="0.3">
      <c r="A9" s="2" t="s">
        <v>6</v>
      </c>
      <c r="B9" t="s">
        <v>1251</v>
      </c>
      <c r="C9" s="3">
        <f t="shared" si="0"/>
        <v>45</v>
      </c>
      <c r="D9">
        <v>30</v>
      </c>
      <c r="E9">
        <v>12</v>
      </c>
      <c r="F9">
        <v>9</v>
      </c>
      <c r="G9">
        <f t="shared" si="1"/>
        <v>9</v>
      </c>
      <c r="H9">
        <v>32</v>
      </c>
      <c r="I9">
        <v>23</v>
      </c>
      <c r="J9">
        <f t="shared" si="2"/>
        <v>9</v>
      </c>
    </row>
    <row r="10" spans="1:17" x14ac:dyDescent="0.3">
      <c r="A10" s="2" t="s">
        <v>7</v>
      </c>
      <c r="B10" t="s">
        <v>1252</v>
      </c>
      <c r="C10" s="3">
        <f t="shared" si="0"/>
        <v>44</v>
      </c>
      <c r="D10">
        <v>30</v>
      </c>
      <c r="E10">
        <v>13</v>
      </c>
      <c r="F10">
        <v>5</v>
      </c>
      <c r="G10">
        <f t="shared" si="1"/>
        <v>12</v>
      </c>
      <c r="H10">
        <v>35</v>
      </c>
      <c r="I10">
        <v>44</v>
      </c>
      <c r="J10">
        <f t="shared" si="2"/>
        <v>-9</v>
      </c>
    </row>
    <row r="11" spans="1:17" x14ac:dyDescent="0.3">
      <c r="A11" s="2" t="s">
        <v>8</v>
      </c>
      <c r="B11" t="s">
        <v>1253</v>
      </c>
      <c r="C11" s="3">
        <f t="shared" si="0"/>
        <v>38</v>
      </c>
      <c r="D11">
        <v>30</v>
      </c>
      <c r="E11">
        <v>10</v>
      </c>
      <c r="F11">
        <v>8</v>
      </c>
      <c r="G11">
        <f t="shared" si="1"/>
        <v>12</v>
      </c>
      <c r="H11">
        <v>35</v>
      </c>
      <c r="I11">
        <v>57</v>
      </c>
      <c r="J11">
        <f t="shared" si="2"/>
        <v>-22</v>
      </c>
    </row>
    <row r="12" spans="1:17" x14ac:dyDescent="0.3">
      <c r="A12" s="2" t="s">
        <v>9</v>
      </c>
      <c r="B12" t="s">
        <v>1254</v>
      </c>
      <c r="C12" s="3">
        <f t="shared" si="0"/>
        <v>35</v>
      </c>
      <c r="D12">
        <v>30</v>
      </c>
      <c r="E12">
        <v>9</v>
      </c>
      <c r="F12">
        <v>8</v>
      </c>
      <c r="G12">
        <f t="shared" si="1"/>
        <v>13</v>
      </c>
      <c r="H12">
        <v>30</v>
      </c>
      <c r="I12">
        <v>37</v>
      </c>
      <c r="J12">
        <f t="shared" si="2"/>
        <v>-7</v>
      </c>
    </row>
    <row r="13" spans="1:17" x14ac:dyDescent="0.3">
      <c r="A13" s="2" t="s">
        <v>10</v>
      </c>
      <c r="B13" t="s">
        <v>1255</v>
      </c>
      <c r="C13" s="3">
        <f t="shared" si="0"/>
        <v>33</v>
      </c>
      <c r="D13">
        <v>30</v>
      </c>
      <c r="E13">
        <v>9</v>
      </c>
      <c r="F13">
        <v>6</v>
      </c>
      <c r="G13">
        <f t="shared" si="1"/>
        <v>15</v>
      </c>
      <c r="H13">
        <v>33</v>
      </c>
      <c r="I13">
        <v>55</v>
      </c>
      <c r="J13">
        <f t="shared" si="2"/>
        <v>-22</v>
      </c>
    </row>
    <row r="14" spans="1:17" x14ac:dyDescent="0.3">
      <c r="A14" t="s">
        <v>11</v>
      </c>
      <c r="B14" t="s">
        <v>1256</v>
      </c>
      <c r="C14" s="3">
        <f t="shared" si="0"/>
        <v>32</v>
      </c>
      <c r="D14">
        <v>30</v>
      </c>
      <c r="E14">
        <v>7</v>
      </c>
      <c r="F14">
        <v>11</v>
      </c>
      <c r="G14">
        <f t="shared" si="1"/>
        <v>12</v>
      </c>
      <c r="H14">
        <v>27</v>
      </c>
      <c r="I14">
        <v>41</v>
      </c>
      <c r="J14">
        <f t="shared" si="2"/>
        <v>-14</v>
      </c>
    </row>
    <row r="15" spans="1:17" x14ac:dyDescent="0.3">
      <c r="A15" t="s">
        <v>69</v>
      </c>
      <c r="B15" t="s">
        <v>1257</v>
      </c>
      <c r="C15" s="3">
        <f t="shared" si="0"/>
        <v>25</v>
      </c>
      <c r="D15">
        <v>30</v>
      </c>
      <c r="E15">
        <v>7</v>
      </c>
      <c r="F15">
        <v>4</v>
      </c>
      <c r="G15">
        <f t="shared" si="1"/>
        <v>19</v>
      </c>
      <c r="H15">
        <v>25</v>
      </c>
      <c r="I15">
        <v>55</v>
      </c>
      <c r="J15">
        <f t="shared" si="2"/>
        <v>-30</v>
      </c>
    </row>
    <row r="16" spans="1:17" x14ac:dyDescent="0.3">
      <c r="A16" t="s">
        <v>70</v>
      </c>
      <c r="B16" t="s">
        <v>1258</v>
      </c>
      <c r="C16" s="3">
        <f t="shared" si="0"/>
        <v>16</v>
      </c>
      <c r="D16">
        <v>30</v>
      </c>
      <c r="E16">
        <v>4</v>
      </c>
      <c r="F16">
        <v>4</v>
      </c>
      <c r="G16">
        <f t="shared" si="1"/>
        <v>22</v>
      </c>
      <c r="H16">
        <v>25</v>
      </c>
      <c r="I16">
        <v>64</v>
      </c>
      <c r="J16">
        <f t="shared" si="2"/>
        <v>-39</v>
      </c>
    </row>
    <row r="17" spans="1:10" x14ac:dyDescent="0.3">
      <c r="A17" t="s">
        <v>71</v>
      </c>
      <c r="B17" t="s">
        <v>1259</v>
      </c>
      <c r="C17" s="3">
        <f t="shared" si="0"/>
        <v>15</v>
      </c>
      <c r="D17">
        <v>30</v>
      </c>
      <c r="E17">
        <v>3</v>
      </c>
      <c r="F17">
        <v>6</v>
      </c>
      <c r="G17">
        <f t="shared" si="1"/>
        <v>21</v>
      </c>
      <c r="H17">
        <v>23</v>
      </c>
      <c r="I17">
        <v>60</v>
      </c>
      <c r="J17">
        <f t="shared" si="2"/>
        <v>-37</v>
      </c>
    </row>
    <row r="18" spans="1:10" x14ac:dyDescent="0.3">
      <c r="A18" t="s">
        <v>72</v>
      </c>
      <c r="B18" t="s">
        <v>1260</v>
      </c>
      <c r="C18" s="3">
        <f t="shared" si="0"/>
        <v>9</v>
      </c>
      <c r="D18">
        <v>30</v>
      </c>
      <c r="E18">
        <v>1</v>
      </c>
      <c r="F18">
        <v>6</v>
      </c>
      <c r="G18">
        <f t="shared" si="1"/>
        <v>23</v>
      </c>
      <c r="H18">
        <v>20</v>
      </c>
      <c r="I18">
        <v>75</v>
      </c>
      <c r="J18">
        <f t="shared" si="2"/>
        <v>-55</v>
      </c>
    </row>
    <row r="20" spans="1:10" x14ac:dyDescent="0.3">
      <c r="A20" t="s">
        <v>1222</v>
      </c>
    </row>
    <row r="21" spans="1:10" x14ac:dyDescent="0.3">
      <c r="A21" t="s">
        <v>1223</v>
      </c>
    </row>
    <row r="22" spans="1:10" x14ac:dyDescent="0.3">
      <c r="A22" t="str">
        <f>B10</f>
        <v>Fiorentino</v>
      </c>
      <c r="B22" t="s">
        <v>93</v>
      </c>
      <c r="C22" t="str">
        <f>B13</f>
        <v>Pennarossa</v>
      </c>
    </row>
    <row r="23" spans="1:10" x14ac:dyDescent="0.3">
      <c r="A23" t="str">
        <f>B11</f>
        <v>Libertas</v>
      </c>
      <c r="B23" t="s">
        <v>44</v>
      </c>
      <c r="C23" t="str">
        <f>B12</f>
        <v>Juvenes/Dogana</v>
      </c>
    </row>
    <row r="25" spans="1:10" x14ac:dyDescent="0.3">
      <c r="A25" t="s">
        <v>39</v>
      </c>
    </row>
    <row r="26" spans="1:10" x14ac:dyDescent="0.3">
      <c r="A26" t="str">
        <f>B4</f>
        <v>Tre Fiori</v>
      </c>
      <c r="B26" t="s">
        <v>205</v>
      </c>
      <c r="C26" t="s">
        <v>1253</v>
      </c>
      <c r="E26" t="s">
        <v>1253</v>
      </c>
      <c r="F26" t="s">
        <v>205</v>
      </c>
      <c r="G26" t="str">
        <f>B4</f>
        <v>Tre Fiori</v>
      </c>
    </row>
    <row r="27" spans="1:10" x14ac:dyDescent="0.3">
      <c r="A27" t="str">
        <f>B5</f>
        <v>Virtus</v>
      </c>
      <c r="B27" t="s">
        <v>42</v>
      </c>
      <c r="C27" t="s">
        <v>1252</v>
      </c>
      <c r="E27" t="s">
        <v>1252</v>
      </c>
      <c r="F27" t="s">
        <v>64</v>
      </c>
      <c r="G27" t="str">
        <f>B5</f>
        <v>Virtus</v>
      </c>
    </row>
    <row r="28" spans="1:10" x14ac:dyDescent="0.3">
      <c r="A28" t="str">
        <f>B6</f>
        <v>La Fiorita</v>
      </c>
      <c r="B28" t="s">
        <v>205</v>
      </c>
      <c r="C28" t="str">
        <f>B9</f>
        <v>Cosmos</v>
      </c>
      <c r="E28" t="str">
        <f>B9</f>
        <v>Cosmos</v>
      </c>
      <c r="F28" t="s">
        <v>43</v>
      </c>
      <c r="G28" t="str">
        <f>B6</f>
        <v>La Fiorita</v>
      </c>
    </row>
    <row r="29" spans="1:10" x14ac:dyDescent="0.3">
      <c r="A29" t="str">
        <f>B7</f>
        <v>Folgore</v>
      </c>
      <c r="B29" t="s">
        <v>42</v>
      </c>
      <c r="C29" t="str">
        <f>B8</f>
        <v>Domagnano</v>
      </c>
      <c r="E29" t="str">
        <f>B8</f>
        <v>Domagnano</v>
      </c>
      <c r="F29" t="s">
        <v>42</v>
      </c>
      <c r="G29" t="str">
        <f>B7</f>
        <v>Folgore</v>
      </c>
    </row>
    <row r="31" spans="1:10" x14ac:dyDescent="0.3">
      <c r="A31" t="s">
        <v>40</v>
      </c>
    </row>
    <row r="32" spans="1:10" x14ac:dyDescent="0.3">
      <c r="A32" t="s">
        <v>1225</v>
      </c>
      <c r="B32" t="s">
        <v>38</v>
      </c>
      <c r="C32" t="s">
        <v>1249</v>
      </c>
      <c r="E32" t="s">
        <v>1249</v>
      </c>
      <c r="F32" t="s">
        <v>38</v>
      </c>
      <c r="G32" t="s">
        <v>1225</v>
      </c>
    </row>
    <row r="33" spans="1:7" x14ac:dyDescent="0.3">
      <c r="A33" t="s">
        <v>1248</v>
      </c>
      <c r="B33" t="s">
        <v>44</v>
      </c>
      <c r="C33" t="s">
        <v>1251</v>
      </c>
      <c r="E33" t="s">
        <v>1251</v>
      </c>
      <c r="F33" t="s">
        <v>206</v>
      </c>
      <c r="G33" t="s">
        <v>1248</v>
      </c>
    </row>
    <row r="35" spans="1:7" x14ac:dyDescent="0.3">
      <c r="A35" t="s">
        <v>1261</v>
      </c>
    </row>
    <row r="36" spans="1:7" x14ac:dyDescent="0.3">
      <c r="A36" t="s">
        <v>1251</v>
      </c>
      <c r="B36" t="s">
        <v>43</v>
      </c>
      <c r="C36" t="s">
        <v>1249</v>
      </c>
    </row>
    <row r="38" spans="1:7" x14ac:dyDescent="0.3">
      <c r="A38" t="s">
        <v>46</v>
      </c>
    </row>
    <row r="39" spans="1:7" x14ac:dyDescent="0.3">
      <c r="A39" t="s">
        <v>1248</v>
      </c>
      <c r="B39" t="s">
        <v>253</v>
      </c>
      <c r="C39" t="s">
        <v>1225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C91F2-246C-4720-811D-0B195F8666EA}">
  <dimension ref="A1:Q11"/>
  <sheetViews>
    <sheetView workbookViewId="0">
      <selection activeCell="A3" sqref="A3:J11"/>
    </sheetView>
  </sheetViews>
  <sheetFormatPr defaultRowHeight="14.4" x14ac:dyDescent="0.3"/>
  <sheetData>
    <row r="1" spans="1:17" x14ac:dyDescent="0.3">
      <c r="A1" t="s">
        <v>1228</v>
      </c>
      <c r="L1" t="s">
        <v>1237</v>
      </c>
      <c r="P1" t="s">
        <v>48</v>
      </c>
    </row>
    <row r="2" spans="1:17" x14ac:dyDescent="0.3">
      <c r="A2" t="s">
        <v>34</v>
      </c>
      <c r="L2" t="s">
        <v>46</v>
      </c>
      <c r="P2" t="s">
        <v>1229</v>
      </c>
      <c r="Q2">
        <v>12</v>
      </c>
    </row>
    <row r="3" spans="1:17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20</v>
      </c>
      <c r="I3" t="s">
        <v>21</v>
      </c>
      <c r="J3" t="s">
        <v>19</v>
      </c>
      <c r="L3" t="s">
        <v>1229</v>
      </c>
      <c r="M3" t="s">
        <v>42</v>
      </c>
      <c r="N3" t="s">
        <v>1230</v>
      </c>
      <c r="P3" t="s">
        <v>1229</v>
      </c>
      <c r="Q3">
        <v>9</v>
      </c>
    </row>
    <row r="4" spans="1:17" x14ac:dyDescent="0.3">
      <c r="A4" s="4" t="s">
        <v>0</v>
      </c>
      <c r="B4" t="s">
        <v>1229</v>
      </c>
      <c r="C4" s="3">
        <f t="shared" ref="C4:C11" si="0">E4*3+F4</f>
        <v>81</v>
      </c>
      <c r="D4">
        <v>37</v>
      </c>
      <c r="E4">
        <v>26</v>
      </c>
      <c r="F4">
        <v>3</v>
      </c>
      <c r="G4">
        <f t="shared" ref="G4:G11" si="1">D4-E4-F4</f>
        <v>8</v>
      </c>
      <c r="H4">
        <v>96</v>
      </c>
      <c r="I4">
        <v>38</v>
      </c>
      <c r="J4">
        <f t="shared" ref="J4:J11" si="2">H4-I4</f>
        <v>58</v>
      </c>
    </row>
    <row r="5" spans="1:17" x14ac:dyDescent="0.3">
      <c r="A5" s="5" t="s">
        <v>1</v>
      </c>
      <c r="B5" t="s">
        <v>1231</v>
      </c>
      <c r="C5" s="3">
        <f t="shared" si="0"/>
        <v>73</v>
      </c>
      <c r="D5">
        <v>37</v>
      </c>
      <c r="E5">
        <v>23</v>
      </c>
      <c r="F5">
        <v>4</v>
      </c>
      <c r="G5">
        <f t="shared" si="1"/>
        <v>10</v>
      </c>
      <c r="H5">
        <v>76</v>
      </c>
      <c r="I5">
        <v>51</v>
      </c>
      <c r="J5">
        <f t="shared" si="2"/>
        <v>25</v>
      </c>
    </row>
    <row r="6" spans="1:17" x14ac:dyDescent="0.3">
      <c r="A6" s="1" t="s">
        <v>2</v>
      </c>
      <c r="B6" t="s">
        <v>1230</v>
      </c>
      <c r="C6" s="3">
        <f t="shared" si="0"/>
        <v>69</v>
      </c>
      <c r="D6">
        <v>37</v>
      </c>
      <c r="E6">
        <v>21</v>
      </c>
      <c r="F6">
        <v>6</v>
      </c>
      <c r="G6">
        <f t="shared" si="1"/>
        <v>10</v>
      </c>
      <c r="H6">
        <v>68</v>
      </c>
      <c r="I6">
        <v>46</v>
      </c>
      <c r="J6">
        <f t="shared" si="2"/>
        <v>22</v>
      </c>
    </row>
    <row r="7" spans="1:17" x14ac:dyDescent="0.3">
      <c r="A7" s="1" t="s">
        <v>3</v>
      </c>
      <c r="B7" t="s">
        <v>1233</v>
      </c>
      <c r="C7" s="3">
        <f t="shared" si="0"/>
        <v>65</v>
      </c>
      <c r="D7">
        <v>37</v>
      </c>
      <c r="E7">
        <v>19</v>
      </c>
      <c r="F7">
        <v>8</v>
      </c>
      <c r="G7">
        <f t="shared" si="1"/>
        <v>10</v>
      </c>
      <c r="H7">
        <v>54</v>
      </c>
      <c r="I7">
        <v>41</v>
      </c>
      <c r="J7">
        <f t="shared" si="2"/>
        <v>13</v>
      </c>
    </row>
    <row r="8" spans="1:17" x14ac:dyDescent="0.3">
      <c r="A8" t="s">
        <v>4</v>
      </c>
      <c r="B8" t="s">
        <v>1235</v>
      </c>
      <c r="C8" s="3">
        <f t="shared" si="0"/>
        <v>55</v>
      </c>
      <c r="D8">
        <v>37</v>
      </c>
      <c r="E8">
        <v>15</v>
      </c>
      <c r="F8">
        <v>10</v>
      </c>
      <c r="G8">
        <f t="shared" si="1"/>
        <v>12</v>
      </c>
      <c r="H8">
        <v>54</v>
      </c>
      <c r="I8">
        <v>54</v>
      </c>
      <c r="J8">
        <f t="shared" si="2"/>
        <v>0</v>
      </c>
    </row>
    <row r="9" spans="1:17" x14ac:dyDescent="0.3">
      <c r="A9" t="s">
        <v>5</v>
      </c>
      <c r="B9" t="s">
        <v>1234</v>
      </c>
      <c r="C9" s="3">
        <f t="shared" si="0"/>
        <v>53</v>
      </c>
      <c r="D9">
        <v>37</v>
      </c>
      <c r="E9">
        <v>14</v>
      </c>
      <c r="F9">
        <v>11</v>
      </c>
      <c r="G9">
        <f t="shared" si="1"/>
        <v>12</v>
      </c>
      <c r="H9">
        <v>52</v>
      </c>
      <c r="I9">
        <v>50</v>
      </c>
      <c r="J9">
        <f t="shared" si="2"/>
        <v>2</v>
      </c>
    </row>
    <row r="10" spans="1:17" x14ac:dyDescent="0.3">
      <c r="A10" t="s">
        <v>6</v>
      </c>
      <c r="B10" t="s">
        <v>1236</v>
      </c>
      <c r="C10" s="3">
        <f t="shared" si="0"/>
        <v>51</v>
      </c>
      <c r="D10">
        <v>37</v>
      </c>
      <c r="E10">
        <v>14</v>
      </c>
      <c r="F10">
        <v>9</v>
      </c>
      <c r="G10">
        <f t="shared" si="1"/>
        <v>14</v>
      </c>
      <c r="H10">
        <v>57</v>
      </c>
      <c r="I10">
        <v>43</v>
      </c>
      <c r="J10">
        <f t="shared" si="2"/>
        <v>14</v>
      </c>
    </row>
    <row r="11" spans="1:17" x14ac:dyDescent="0.3">
      <c r="A11" t="s">
        <v>7</v>
      </c>
      <c r="B11" t="s">
        <v>1232</v>
      </c>
      <c r="C11" s="3">
        <f t="shared" si="0"/>
        <v>51</v>
      </c>
      <c r="D11">
        <v>37</v>
      </c>
      <c r="E11">
        <v>15</v>
      </c>
      <c r="F11">
        <v>6</v>
      </c>
      <c r="G11">
        <f t="shared" si="1"/>
        <v>16</v>
      </c>
      <c r="H11">
        <v>47</v>
      </c>
      <c r="I11">
        <v>44</v>
      </c>
      <c r="J11">
        <f t="shared" si="2"/>
        <v>3</v>
      </c>
    </row>
  </sheetData>
  <sortState xmlns:xlrd2="http://schemas.microsoft.com/office/spreadsheetml/2017/richdata2" ref="B4:J11">
    <sortCondition descending="1" ref="C4:C11"/>
    <sortCondition descending="1" ref="J4:J11"/>
  </sortState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9176B-CE97-4838-B58C-8F386B788695}">
  <dimension ref="A1:Q23"/>
  <sheetViews>
    <sheetView workbookViewId="0">
      <selection activeCell="A2" sqref="A2:J18"/>
    </sheetView>
  </sheetViews>
  <sheetFormatPr defaultRowHeight="14.4" x14ac:dyDescent="0.3"/>
  <sheetData>
    <row r="1" spans="1:17" x14ac:dyDescent="0.3">
      <c r="A1" t="s">
        <v>152</v>
      </c>
      <c r="L1" t="s">
        <v>169</v>
      </c>
      <c r="P1" t="s">
        <v>48</v>
      </c>
    </row>
    <row r="2" spans="1:17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20</v>
      </c>
      <c r="I2" t="s">
        <v>21</v>
      </c>
      <c r="J2" t="s">
        <v>19</v>
      </c>
      <c r="L2" t="s">
        <v>90</v>
      </c>
      <c r="P2" t="s">
        <v>153</v>
      </c>
      <c r="Q2">
        <v>1</v>
      </c>
    </row>
    <row r="3" spans="1:17" x14ac:dyDescent="0.3">
      <c r="A3" s="4" t="s">
        <v>0</v>
      </c>
      <c r="B3" t="s">
        <v>153</v>
      </c>
      <c r="C3" s="3">
        <v>50</v>
      </c>
      <c r="D3">
        <v>30</v>
      </c>
      <c r="E3">
        <v>14</v>
      </c>
      <c r="F3">
        <v>8</v>
      </c>
      <c r="G3">
        <f>D3-E3-F3</f>
        <v>8</v>
      </c>
      <c r="H3">
        <v>58</v>
      </c>
      <c r="I3">
        <v>43</v>
      </c>
      <c r="J3">
        <f>H3-I3</f>
        <v>15</v>
      </c>
      <c r="L3" t="s">
        <v>164</v>
      </c>
      <c r="M3" t="s">
        <v>41</v>
      </c>
      <c r="N3" s="6" t="s">
        <v>166</v>
      </c>
      <c r="P3" t="s">
        <v>156</v>
      </c>
      <c r="Q3">
        <v>2</v>
      </c>
    </row>
    <row r="4" spans="1:17" x14ac:dyDescent="0.3">
      <c r="A4" s="1" t="s">
        <v>1</v>
      </c>
      <c r="B4" t="s">
        <v>154</v>
      </c>
      <c r="C4" s="3">
        <v>49</v>
      </c>
      <c r="D4">
        <v>30</v>
      </c>
      <c r="E4">
        <v>14</v>
      </c>
      <c r="F4">
        <v>7</v>
      </c>
      <c r="G4">
        <f t="shared" ref="G4:G18" si="0">D4-E4-F4</f>
        <v>9</v>
      </c>
      <c r="H4">
        <v>48</v>
      </c>
      <c r="I4">
        <v>43</v>
      </c>
      <c r="J4">
        <f t="shared" ref="J4:J18" si="1">H4-I4</f>
        <v>5</v>
      </c>
      <c r="L4" t="s">
        <v>154</v>
      </c>
      <c r="M4" t="s">
        <v>95</v>
      </c>
      <c r="N4" t="s">
        <v>159</v>
      </c>
    </row>
    <row r="5" spans="1:17" x14ac:dyDescent="0.3">
      <c r="A5" s="1" t="s">
        <v>2</v>
      </c>
      <c r="B5" t="s">
        <v>155</v>
      </c>
      <c r="C5" s="3">
        <v>46</v>
      </c>
      <c r="D5">
        <v>30</v>
      </c>
      <c r="E5">
        <v>13</v>
      </c>
      <c r="F5">
        <v>7</v>
      </c>
      <c r="G5">
        <f t="shared" si="0"/>
        <v>10</v>
      </c>
      <c r="H5">
        <v>52</v>
      </c>
      <c r="I5">
        <v>46</v>
      </c>
      <c r="J5">
        <f t="shared" si="1"/>
        <v>6</v>
      </c>
      <c r="L5" t="s">
        <v>168</v>
      </c>
      <c r="M5" t="s">
        <v>93</v>
      </c>
      <c r="N5" t="s">
        <v>165</v>
      </c>
    </row>
    <row r="6" spans="1:17" x14ac:dyDescent="0.3">
      <c r="A6" s="1" t="s">
        <v>3</v>
      </c>
      <c r="B6" t="s">
        <v>156</v>
      </c>
      <c r="C6" s="3">
        <v>45</v>
      </c>
      <c r="D6">
        <v>30</v>
      </c>
      <c r="E6">
        <v>13</v>
      </c>
      <c r="F6">
        <v>6</v>
      </c>
      <c r="G6">
        <f t="shared" si="0"/>
        <v>11</v>
      </c>
      <c r="H6">
        <v>52</v>
      </c>
      <c r="I6">
        <v>42</v>
      </c>
      <c r="J6">
        <f t="shared" si="1"/>
        <v>10</v>
      </c>
      <c r="L6" t="s">
        <v>160</v>
      </c>
      <c r="M6" t="s">
        <v>170</v>
      </c>
      <c r="N6" s="6" t="s">
        <v>158</v>
      </c>
    </row>
    <row r="7" spans="1:17" x14ac:dyDescent="0.3">
      <c r="A7" t="s">
        <v>4</v>
      </c>
      <c r="B7" t="s">
        <v>157</v>
      </c>
      <c r="C7" s="3">
        <v>44</v>
      </c>
      <c r="D7">
        <v>30</v>
      </c>
      <c r="E7">
        <v>11</v>
      </c>
      <c r="F7">
        <v>11</v>
      </c>
      <c r="G7">
        <f t="shared" si="0"/>
        <v>8</v>
      </c>
      <c r="H7">
        <v>61</v>
      </c>
      <c r="I7">
        <v>52</v>
      </c>
      <c r="J7">
        <f t="shared" si="1"/>
        <v>9</v>
      </c>
      <c r="L7" t="s">
        <v>157</v>
      </c>
      <c r="M7" t="s">
        <v>42</v>
      </c>
      <c r="N7" t="s">
        <v>155</v>
      </c>
    </row>
    <row r="8" spans="1:17" x14ac:dyDescent="0.3">
      <c r="A8" t="s">
        <v>5</v>
      </c>
      <c r="B8" s="6" t="s">
        <v>158</v>
      </c>
      <c r="C8" s="3">
        <v>44</v>
      </c>
      <c r="D8">
        <v>30</v>
      </c>
      <c r="E8">
        <v>12</v>
      </c>
      <c r="F8">
        <v>8</v>
      </c>
      <c r="G8">
        <f t="shared" si="0"/>
        <v>10</v>
      </c>
      <c r="H8">
        <v>48</v>
      </c>
      <c r="I8">
        <v>46</v>
      </c>
      <c r="J8">
        <f t="shared" si="1"/>
        <v>2</v>
      </c>
      <c r="L8" t="s">
        <v>161</v>
      </c>
      <c r="M8" t="s">
        <v>43</v>
      </c>
      <c r="N8" t="s">
        <v>162</v>
      </c>
    </row>
    <row r="9" spans="1:17" x14ac:dyDescent="0.3">
      <c r="A9" t="s">
        <v>6</v>
      </c>
      <c r="B9" t="s">
        <v>159</v>
      </c>
      <c r="C9" s="3">
        <v>44</v>
      </c>
      <c r="D9">
        <v>30</v>
      </c>
      <c r="E9">
        <v>13</v>
      </c>
      <c r="F9">
        <v>5</v>
      </c>
      <c r="G9">
        <f t="shared" si="0"/>
        <v>12</v>
      </c>
      <c r="H9">
        <v>43</v>
      </c>
      <c r="I9">
        <v>47</v>
      </c>
      <c r="J9">
        <f t="shared" si="1"/>
        <v>-4</v>
      </c>
      <c r="L9" t="s">
        <v>163</v>
      </c>
      <c r="M9" t="s">
        <v>136</v>
      </c>
      <c r="N9" t="s">
        <v>156</v>
      </c>
    </row>
    <row r="10" spans="1:17" x14ac:dyDescent="0.3">
      <c r="A10" t="s">
        <v>7</v>
      </c>
      <c r="B10" t="s">
        <v>160</v>
      </c>
      <c r="C10" s="3">
        <v>42</v>
      </c>
      <c r="D10">
        <v>30</v>
      </c>
      <c r="E10">
        <v>11</v>
      </c>
      <c r="F10">
        <v>9</v>
      </c>
      <c r="G10">
        <f t="shared" si="0"/>
        <v>10</v>
      </c>
      <c r="H10">
        <v>51</v>
      </c>
      <c r="I10">
        <v>50</v>
      </c>
      <c r="J10">
        <f t="shared" si="1"/>
        <v>1</v>
      </c>
      <c r="L10" t="s">
        <v>167</v>
      </c>
      <c r="M10" t="s">
        <v>65</v>
      </c>
      <c r="N10" t="s">
        <v>153</v>
      </c>
    </row>
    <row r="11" spans="1:17" x14ac:dyDescent="0.3">
      <c r="A11" t="s">
        <v>8</v>
      </c>
      <c r="B11" t="s">
        <v>161</v>
      </c>
      <c r="C11" s="3">
        <v>41</v>
      </c>
      <c r="D11">
        <v>30</v>
      </c>
      <c r="E11">
        <v>11</v>
      </c>
      <c r="F11">
        <v>8</v>
      </c>
      <c r="G11">
        <f t="shared" si="0"/>
        <v>11</v>
      </c>
      <c r="H11">
        <v>52</v>
      </c>
      <c r="I11">
        <v>49</v>
      </c>
      <c r="J11">
        <f t="shared" si="1"/>
        <v>3</v>
      </c>
    </row>
    <row r="12" spans="1:17" x14ac:dyDescent="0.3">
      <c r="A12" t="s">
        <v>9</v>
      </c>
      <c r="B12" t="s">
        <v>162</v>
      </c>
      <c r="C12" s="3">
        <v>41</v>
      </c>
      <c r="D12">
        <v>30</v>
      </c>
      <c r="E12">
        <v>10</v>
      </c>
      <c r="F12">
        <v>11</v>
      </c>
      <c r="G12">
        <f t="shared" si="0"/>
        <v>9</v>
      </c>
      <c r="H12">
        <v>56</v>
      </c>
      <c r="I12">
        <v>55</v>
      </c>
      <c r="J12">
        <f t="shared" si="1"/>
        <v>1</v>
      </c>
      <c r="L12" t="s">
        <v>39</v>
      </c>
    </row>
    <row r="13" spans="1:17" x14ac:dyDescent="0.3">
      <c r="A13" t="s">
        <v>10</v>
      </c>
      <c r="B13" t="s">
        <v>163</v>
      </c>
      <c r="C13" s="3">
        <v>41</v>
      </c>
      <c r="D13">
        <v>30</v>
      </c>
      <c r="E13">
        <v>12</v>
      </c>
      <c r="F13">
        <v>5</v>
      </c>
      <c r="G13">
        <f t="shared" si="0"/>
        <v>13</v>
      </c>
      <c r="H13">
        <v>41</v>
      </c>
      <c r="I13">
        <v>46</v>
      </c>
      <c r="J13">
        <f t="shared" si="1"/>
        <v>-5</v>
      </c>
      <c r="L13" s="6" t="s">
        <v>166</v>
      </c>
      <c r="M13" t="s">
        <v>171</v>
      </c>
      <c r="N13" t="s">
        <v>159</v>
      </c>
    </row>
    <row r="14" spans="1:17" x14ac:dyDescent="0.3">
      <c r="A14" t="s">
        <v>11</v>
      </c>
      <c r="B14" t="s">
        <v>164</v>
      </c>
      <c r="C14" s="3">
        <v>37</v>
      </c>
      <c r="D14">
        <v>30</v>
      </c>
      <c r="E14">
        <v>10</v>
      </c>
      <c r="F14">
        <v>7</v>
      </c>
      <c r="G14">
        <f t="shared" si="0"/>
        <v>13</v>
      </c>
      <c r="H14">
        <v>45</v>
      </c>
      <c r="I14">
        <v>49</v>
      </c>
      <c r="J14">
        <f t="shared" si="1"/>
        <v>-4</v>
      </c>
      <c r="L14" s="6" t="s">
        <v>158</v>
      </c>
      <c r="M14" t="s">
        <v>42</v>
      </c>
      <c r="N14" t="s">
        <v>168</v>
      </c>
    </row>
    <row r="15" spans="1:17" x14ac:dyDescent="0.3">
      <c r="A15" t="s">
        <v>69</v>
      </c>
      <c r="B15" t="s">
        <v>165</v>
      </c>
      <c r="C15" s="3">
        <v>37</v>
      </c>
      <c r="D15">
        <v>30</v>
      </c>
      <c r="E15">
        <v>10</v>
      </c>
      <c r="F15">
        <v>7</v>
      </c>
      <c r="G15">
        <f t="shared" si="0"/>
        <v>13</v>
      </c>
      <c r="H15">
        <v>40</v>
      </c>
      <c r="I15">
        <v>54</v>
      </c>
      <c r="J15">
        <f t="shared" si="1"/>
        <v>-14</v>
      </c>
      <c r="L15" t="s">
        <v>161</v>
      </c>
      <c r="M15" t="s">
        <v>172</v>
      </c>
      <c r="N15" t="s">
        <v>157</v>
      </c>
    </row>
    <row r="16" spans="1:17" x14ac:dyDescent="0.3">
      <c r="A16" t="s">
        <v>70</v>
      </c>
      <c r="B16" s="6" t="s">
        <v>166</v>
      </c>
      <c r="C16" s="3">
        <v>36</v>
      </c>
      <c r="D16">
        <v>30</v>
      </c>
      <c r="E16">
        <v>9</v>
      </c>
      <c r="F16">
        <v>9</v>
      </c>
      <c r="G16">
        <f t="shared" si="0"/>
        <v>12</v>
      </c>
      <c r="H16">
        <v>42</v>
      </c>
      <c r="I16">
        <v>50</v>
      </c>
      <c r="J16">
        <f t="shared" si="1"/>
        <v>-8</v>
      </c>
      <c r="L16" t="s">
        <v>167</v>
      </c>
      <c r="M16" t="s">
        <v>173</v>
      </c>
      <c r="N16" t="s">
        <v>156</v>
      </c>
    </row>
    <row r="17" spans="1:14" x14ac:dyDescent="0.3">
      <c r="A17" t="s">
        <v>71</v>
      </c>
      <c r="B17" t="s">
        <v>167</v>
      </c>
      <c r="C17" s="3">
        <v>30</v>
      </c>
      <c r="D17">
        <v>30</v>
      </c>
      <c r="E17">
        <v>7</v>
      </c>
      <c r="F17">
        <v>9</v>
      </c>
      <c r="G17">
        <f t="shared" si="0"/>
        <v>14</v>
      </c>
      <c r="H17">
        <v>41</v>
      </c>
      <c r="I17">
        <v>49</v>
      </c>
      <c r="J17">
        <f t="shared" si="1"/>
        <v>-8</v>
      </c>
    </row>
    <row r="18" spans="1:14" x14ac:dyDescent="0.3">
      <c r="A18" t="s">
        <v>72</v>
      </c>
      <c r="B18" t="s">
        <v>168</v>
      </c>
      <c r="C18" s="3">
        <v>28</v>
      </c>
      <c r="D18">
        <v>30</v>
      </c>
      <c r="E18">
        <v>5</v>
      </c>
      <c r="F18">
        <v>13</v>
      </c>
      <c r="G18">
        <f t="shared" si="0"/>
        <v>12</v>
      </c>
      <c r="H18">
        <v>44</v>
      </c>
      <c r="I18">
        <v>53</v>
      </c>
      <c r="J18">
        <f t="shared" si="1"/>
        <v>-9</v>
      </c>
      <c r="L18" t="s">
        <v>40</v>
      </c>
    </row>
    <row r="19" spans="1:14" x14ac:dyDescent="0.3">
      <c r="L19" t="s">
        <v>159</v>
      </c>
      <c r="M19" t="s">
        <v>42</v>
      </c>
      <c r="N19" s="6" t="s">
        <v>158</v>
      </c>
    </row>
    <row r="20" spans="1:14" x14ac:dyDescent="0.3">
      <c r="L20" t="s">
        <v>156</v>
      </c>
      <c r="M20" t="s">
        <v>42</v>
      </c>
      <c r="N20" t="s">
        <v>161</v>
      </c>
    </row>
    <row r="22" spans="1:14" x14ac:dyDescent="0.3">
      <c r="L22" t="s">
        <v>46</v>
      </c>
    </row>
    <row r="23" spans="1:14" x14ac:dyDescent="0.3">
      <c r="L23" t="s">
        <v>159</v>
      </c>
      <c r="M23" t="s">
        <v>64</v>
      </c>
      <c r="N23" t="s">
        <v>156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01BB0-AA07-43E3-A940-C3DBED19DD20}">
  <dimension ref="A1:Q9"/>
  <sheetViews>
    <sheetView workbookViewId="0">
      <selection activeCell="D10" sqref="D10"/>
    </sheetView>
  </sheetViews>
  <sheetFormatPr defaultRowHeight="14.4" x14ac:dyDescent="0.3"/>
  <sheetData>
    <row r="1" spans="1:17" x14ac:dyDescent="0.3">
      <c r="A1" t="s">
        <v>1238</v>
      </c>
      <c r="L1" t="s">
        <v>1245</v>
      </c>
      <c r="P1" t="s">
        <v>48</v>
      </c>
    </row>
    <row r="2" spans="1:17" x14ac:dyDescent="0.3">
      <c r="A2" t="s">
        <v>34</v>
      </c>
      <c r="L2" t="s">
        <v>46</v>
      </c>
      <c r="P2" t="s">
        <v>1239</v>
      </c>
      <c r="Q2">
        <v>1</v>
      </c>
    </row>
    <row r="3" spans="1:17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20</v>
      </c>
      <c r="I3" t="s">
        <v>21</v>
      </c>
      <c r="J3" t="s">
        <v>19</v>
      </c>
      <c r="L3" t="s">
        <v>1246</v>
      </c>
      <c r="M3" t="s">
        <v>42</v>
      </c>
      <c r="N3" t="s">
        <v>1240</v>
      </c>
      <c r="P3" t="s">
        <v>1246</v>
      </c>
      <c r="Q3">
        <v>20</v>
      </c>
    </row>
    <row r="4" spans="1:17" x14ac:dyDescent="0.3">
      <c r="A4" s="4" t="s">
        <v>0</v>
      </c>
      <c r="B4" t="s">
        <v>1239</v>
      </c>
      <c r="C4" s="3">
        <f t="shared" ref="C4:C9" si="0">E4*3+F4</f>
        <v>83</v>
      </c>
      <c r="D4">
        <v>38</v>
      </c>
      <c r="E4">
        <v>27</v>
      </c>
      <c r="F4">
        <v>2</v>
      </c>
      <c r="G4">
        <f t="shared" ref="G4:G9" si="1">D4-E4-F4</f>
        <v>9</v>
      </c>
      <c r="H4">
        <v>80</v>
      </c>
      <c r="I4">
        <v>41</v>
      </c>
      <c r="J4">
        <f t="shared" ref="J4:J9" si="2">H4-I4</f>
        <v>39</v>
      </c>
    </row>
    <row r="5" spans="1:17" x14ac:dyDescent="0.3">
      <c r="A5" s="1" t="s">
        <v>1</v>
      </c>
      <c r="B5" t="s">
        <v>1240</v>
      </c>
      <c r="C5" s="3">
        <f t="shared" si="0"/>
        <v>63</v>
      </c>
      <c r="D5">
        <v>38</v>
      </c>
      <c r="E5">
        <v>18</v>
      </c>
      <c r="F5">
        <v>9</v>
      </c>
      <c r="G5">
        <f t="shared" si="1"/>
        <v>11</v>
      </c>
      <c r="H5">
        <v>68</v>
      </c>
      <c r="I5">
        <v>47</v>
      </c>
      <c r="J5">
        <f t="shared" si="2"/>
        <v>21</v>
      </c>
    </row>
    <row r="6" spans="1:17" x14ac:dyDescent="0.3">
      <c r="A6" s="1" t="s">
        <v>2</v>
      </c>
      <c r="B6" t="s">
        <v>1243</v>
      </c>
      <c r="C6" s="3">
        <f t="shared" si="0"/>
        <v>62</v>
      </c>
      <c r="D6">
        <v>38</v>
      </c>
      <c r="E6">
        <v>16</v>
      </c>
      <c r="F6">
        <v>14</v>
      </c>
      <c r="G6">
        <f t="shared" si="1"/>
        <v>8</v>
      </c>
      <c r="H6">
        <v>59</v>
      </c>
      <c r="I6">
        <v>44</v>
      </c>
      <c r="J6">
        <f t="shared" si="2"/>
        <v>15</v>
      </c>
    </row>
    <row r="7" spans="1:17" x14ac:dyDescent="0.3">
      <c r="A7" t="s">
        <v>3</v>
      </c>
      <c r="B7" t="s">
        <v>1242</v>
      </c>
      <c r="C7" s="3">
        <f t="shared" si="0"/>
        <v>62</v>
      </c>
      <c r="D7">
        <v>38</v>
      </c>
      <c r="E7">
        <v>18</v>
      </c>
      <c r="F7">
        <v>8</v>
      </c>
      <c r="G7">
        <f t="shared" si="1"/>
        <v>12</v>
      </c>
      <c r="H7">
        <v>54</v>
      </c>
      <c r="I7">
        <v>47</v>
      </c>
      <c r="J7">
        <f t="shared" si="2"/>
        <v>7</v>
      </c>
    </row>
    <row r="8" spans="1:17" x14ac:dyDescent="0.3">
      <c r="A8" t="s">
        <v>4</v>
      </c>
      <c r="B8" t="s">
        <v>1241</v>
      </c>
      <c r="C8" s="3">
        <f t="shared" si="0"/>
        <v>61</v>
      </c>
      <c r="D8">
        <v>38</v>
      </c>
      <c r="E8">
        <v>17</v>
      </c>
      <c r="F8">
        <v>10</v>
      </c>
      <c r="G8">
        <f t="shared" si="1"/>
        <v>11</v>
      </c>
      <c r="H8">
        <v>59</v>
      </c>
      <c r="I8">
        <v>47</v>
      </c>
      <c r="J8">
        <f t="shared" si="2"/>
        <v>12</v>
      </c>
    </row>
    <row r="9" spans="1:17" x14ac:dyDescent="0.3">
      <c r="A9" t="s">
        <v>5</v>
      </c>
      <c r="B9" t="s">
        <v>1244</v>
      </c>
      <c r="C9" s="3">
        <f t="shared" si="0"/>
        <v>52</v>
      </c>
      <c r="D9">
        <v>38</v>
      </c>
      <c r="E9">
        <v>14</v>
      </c>
      <c r="F9">
        <v>10</v>
      </c>
      <c r="G9">
        <f t="shared" si="1"/>
        <v>14</v>
      </c>
      <c r="H9">
        <v>73</v>
      </c>
      <c r="I9">
        <v>71</v>
      </c>
      <c r="J9">
        <f t="shared" si="2"/>
        <v>2</v>
      </c>
    </row>
  </sheetData>
  <sortState xmlns:xlrd2="http://schemas.microsoft.com/office/spreadsheetml/2017/richdata2" ref="B4:J9">
    <sortCondition descending="1" ref="C4:C9"/>
    <sortCondition descending="1" ref="J4:J9"/>
  </sortState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6DCA7-16E6-4AFD-BF0F-C8A2ECE733E8}">
  <dimension ref="A1:Q27"/>
  <sheetViews>
    <sheetView workbookViewId="0">
      <selection activeCell="C3" sqref="C3:C18"/>
    </sheetView>
  </sheetViews>
  <sheetFormatPr defaultRowHeight="14.4" x14ac:dyDescent="0.3"/>
  <sheetData>
    <row r="1" spans="1:17" x14ac:dyDescent="0.3">
      <c r="A1" t="s">
        <v>1262</v>
      </c>
      <c r="L1" t="s">
        <v>1278</v>
      </c>
      <c r="P1" t="s">
        <v>48</v>
      </c>
    </row>
    <row r="2" spans="1:17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20</v>
      </c>
      <c r="I2" t="s">
        <v>21</v>
      </c>
      <c r="J2" t="s">
        <v>19</v>
      </c>
      <c r="L2" t="s">
        <v>40</v>
      </c>
      <c r="P2" t="s">
        <v>1263</v>
      </c>
      <c r="Q2">
        <v>9</v>
      </c>
    </row>
    <row r="3" spans="1:17" x14ac:dyDescent="0.3">
      <c r="A3" s="1" t="s">
        <v>0</v>
      </c>
      <c r="B3" t="s">
        <v>1263</v>
      </c>
      <c r="C3" s="3">
        <f t="shared" ref="C3:C18" si="0">E3*3+F3</f>
        <v>76</v>
      </c>
      <c r="D3">
        <v>30</v>
      </c>
      <c r="E3">
        <v>23</v>
      </c>
      <c r="F3">
        <v>7</v>
      </c>
      <c r="G3">
        <f>D3-E3-F3</f>
        <v>0</v>
      </c>
      <c r="H3">
        <v>66</v>
      </c>
      <c r="I3">
        <v>22</v>
      </c>
      <c r="J3">
        <f>H3-I3</f>
        <v>44</v>
      </c>
      <c r="L3" t="s">
        <v>1265</v>
      </c>
      <c r="M3" t="s">
        <v>47</v>
      </c>
      <c r="N3" t="s">
        <v>1274</v>
      </c>
      <c r="P3" t="s">
        <v>1276</v>
      </c>
      <c r="Q3">
        <v>2</v>
      </c>
    </row>
    <row r="4" spans="1:17" x14ac:dyDescent="0.3">
      <c r="A4" s="1" t="s">
        <v>1</v>
      </c>
      <c r="B4" t="s">
        <v>1264</v>
      </c>
      <c r="C4" s="3">
        <f t="shared" si="0"/>
        <v>60</v>
      </c>
      <c r="D4">
        <v>30</v>
      </c>
      <c r="E4">
        <v>18</v>
      </c>
      <c r="F4">
        <v>6</v>
      </c>
      <c r="G4">
        <f t="shared" ref="G4:G18" si="1">D4-E4-F4</f>
        <v>6</v>
      </c>
      <c r="H4">
        <v>58</v>
      </c>
      <c r="I4">
        <v>34</v>
      </c>
      <c r="J4">
        <f t="shared" ref="J4:J18" si="2">H4-I4</f>
        <v>24</v>
      </c>
      <c r="L4" t="s">
        <v>1271</v>
      </c>
      <c r="M4" t="s">
        <v>38</v>
      </c>
      <c r="N4" t="s">
        <v>1276</v>
      </c>
    </row>
    <row r="5" spans="1:17" x14ac:dyDescent="0.3">
      <c r="A5" s="1" t="s">
        <v>2</v>
      </c>
      <c r="B5" t="s">
        <v>1265</v>
      </c>
      <c r="C5" s="3">
        <f t="shared" si="0"/>
        <v>54</v>
      </c>
      <c r="D5">
        <v>30</v>
      </c>
      <c r="E5">
        <v>16</v>
      </c>
      <c r="F5">
        <v>6</v>
      </c>
      <c r="G5">
        <f t="shared" si="1"/>
        <v>8</v>
      </c>
      <c r="H5">
        <v>43</v>
      </c>
      <c r="I5">
        <v>30</v>
      </c>
      <c r="J5">
        <f t="shared" si="2"/>
        <v>13</v>
      </c>
    </row>
    <row r="6" spans="1:17" x14ac:dyDescent="0.3">
      <c r="A6" s="1" t="s">
        <v>3</v>
      </c>
      <c r="B6" t="s">
        <v>1266</v>
      </c>
      <c r="C6" s="3">
        <f t="shared" si="0"/>
        <v>52</v>
      </c>
      <c r="D6">
        <v>30</v>
      </c>
      <c r="E6">
        <v>15</v>
      </c>
      <c r="F6">
        <v>7</v>
      </c>
      <c r="G6">
        <f t="shared" si="1"/>
        <v>8</v>
      </c>
      <c r="H6">
        <v>53</v>
      </c>
      <c r="I6">
        <v>41</v>
      </c>
      <c r="J6">
        <f t="shared" si="2"/>
        <v>12</v>
      </c>
      <c r="L6" t="s">
        <v>46</v>
      </c>
    </row>
    <row r="7" spans="1:17" x14ac:dyDescent="0.3">
      <c r="A7" s="1" t="s">
        <v>4</v>
      </c>
      <c r="B7" t="s">
        <v>1267</v>
      </c>
      <c r="C7" s="3">
        <f t="shared" si="0"/>
        <v>45</v>
      </c>
      <c r="D7">
        <v>30</v>
      </c>
      <c r="E7">
        <v>12</v>
      </c>
      <c r="F7">
        <v>9</v>
      </c>
      <c r="G7">
        <f t="shared" si="1"/>
        <v>9</v>
      </c>
      <c r="H7">
        <v>43</v>
      </c>
      <c r="I7">
        <v>32</v>
      </c>
      <c r="J7">
        <f t="shared" si="2"/>
        <v>11</v>
      </c>
      <c r="L7" t="s">
        <v>1276</v>
      </c>
      <c r="M7" t="s">
        <v>43</v>
      </c>
      <c r="N7" t="s">
        <v>1274</v>
      </c>
    </row>
    <row r="8" spans="1:17" x14ac:dyDescent="0.3">
      <c r="A8" s="1" t="s">
        <v>5</v>
      </c>
      <c r="B8" t="s">
        <v>1268</v>
      </c>
      <c r="C8" s="3">
        <f t="shared" si="0"/>
        <v>43</v>
      </c>
      <c r="D8">
        <v>30</v>
      </c>
      <c r="E8">
        <v>12</v>
      </c>
      <c r="F8">
        <v>7</v>
      </c>
      <c r="G8">
        <f t="shared" si="1"/>
        <v>11</v>
      </c>
      <c r="H8">
        <v>33</v>
      </c>
      <c r="I8">
        <v>32</v>
      </c>
      <c r="J8">
        <f t="shared" si="2"/>
        <v>1</v>
      </c>
    </row>
    <row r="9" spans="1:17" x14ac:dyDescent="0.3">
      <c r="A9" t="s">
        <v>6</v>
      </c>
      <c r="B9" t="s">
        <v>1269</v>
      </c>
      <c r="C9" s="3">
        <f t="shared" si="0"/>
        <v>41</v>
      </c>
      <c r="D9">
        <v>30</v>
      </c>
      <c r="E9">
        <v>11</v>
      </c>
      <c r="F9">
        <v>8</v>
      </c>
      <c r="G9">
        <f t="shared" si="1"/>
        <v>11</v>
      </c>
      <c r="H9">
        <v>42</v>
      </c>
      <c r="I9">
        <v>46</v>
      </c>
      <c r="J9">
        <f t="shared" si="2"/>
        <v>-4</v>
      </c>
    </row>
    <row r="10" spans="1:17" x14ac:dyDescent="0.3">
      <c r="A10" t="s">
        <v>7</v>
      </c>
      <c r="B10" t="s">
        <v>1270</v>
      </c>
      <c r="C10" s="3">
        <f t="shared" si="0"/>
        <v>40</v>
      </c>
      <c r="D10">
        <v>30</v>
      </c>
      <c r="E10">
        <v>11</v>
      </c>
      <c r="F10">
        <v>7</v>
      </c>
      <c r="G10">
        <f t="shared" si="1"/>
        <v>12</v>
      </c>
      <c r="H10">
        <v>40</v>
      </c>
      <c r="I10">
        <v>41</v>
      </c>
      <c r="J10">
        <f t="shared" si="2"/>
        <v>-1</v>
      </c>
    </row>
    <row r="11" spans="1:17" x14ac:dyDescent="0.3">
      <c r="A11" t="s">
        <v>8</v>
      </c>
      <c r="B11" t="s">
        <v>1271</v>
      </c>
      <c r="C11" s="3">
        <f t="shared" si="0"/>
        <v>38</v>
      </c>
      <c r="D11">
        <v>30</v>
      </c>
      <c r="E11">
        <v>11</v>
      </c>
      <c r="F11">
        <v>5</v>
      </c>
      <c r="G11">
        <f t="shared" si="1"/>
        <v>14</v>
      </c>
      <c r="H11">
        <v>45</v>
      </c>
      <c r="I11">
        <v>51</v>
      </c>
      <c r="J11">
        <f t="shared" si="2"/>
        <v>-6</v>
      </c>
    </row>
    <row r="12" spans="1:17" x14ac:dyDescent="0.3">
      <c r="A12" t="s">
        <v>9</v>
      </c>
      <c r="B12" t="s">
        <v>1272</v>
      </c>
      <c r="C12" s="3">
        <f t="shared" si="0"/>
        <v>35</v>
      </c>
      <c r="D12">
        <v>30</v>
      </c>
      <c r="E12">
        <v>8</v>
      </c>
      <c r="F12">
        <v>11</v>
      </c>
      <c r="G12">
        <f t="shared" si="1"/>
        <v>11</v>
      </c>
      <c r="H12">
        <v>33</v>
      </c>
      <c r="I12">
        <v>37</v>
      </c>
      <c r="J12">
        <f t="shared" si="2"/>
        <v>-4</v>
      </c>
    </row>
    <row r="13" spans="1:17" x14ac:dyDescent="0.3">
      <c r="A13" t="s">
        <v>10</v>
      </c>
      <c r="B13" t="s">
        <v>1273</v>
      </c>
      <c r="C13" s="3">
        <f t="shared" si="0"/>
        <v>34</v>
      </c>
      <c r="D13">
        <v>30</v>
      </c>
      <c r="E13">
        <v>9</v>
      </c>
      <c r="F13">
        <v>7</v>
      </c>
      <c r="G13">
        <f t="shared" si="1"/>
        <v>14</v>
      </c>
      <c r="H13">
        <v>35</v>
      </c>
      <c r="I13">
        <v>45</v>
      </c>
      <c r="J13">
        <f t="shared" si="2"/>
        <v>-10</v>
      </c>
    </row>
    <row r="14" spans="1:17" x14ac:dyDescent="0.3">
      <c r="A14" t="s">
        <v>11</v>
      </c>
      <c r="B14" t="s">
        <v>1274</v>
      </c>
      <c r="C14" s="3">
        <f t="shared" si="0"/>
        <v>34</v>
      </c>
      <c r="D14">
        <v>30</v>
      </c>
      <c r="E14">
        <v>8</v>
      </c>
      <c r="F14">
        <v>10</v>
      </c>
      <c r="G14">
        <f t="shared" si="1"/>
        <v>12</v>
      </c>
      <c r="H14">
        <v>43</v>
      </c>
      <c r="I14">
        <v>55</v>
      </c>
      <c r="J14">
        <f t="shared" si="2"/>
        <v>-12</v>
      </c>
    </row>
    <row r="15" spans="1:17" x14ac:dyDescent="0.3">
      <c r="A15" t="s">
        <v>69</v>
      </c>
      <c r="B15" t="s">
        <v>97</v>
      </c>
      <c r="C15" s="3">
        <f t="shared" si="0"/>
        <v>33</v>
      </c>
      <c r="D15">
        <v>30</v>
      </c>
      <c r="E15">
        <v>9</v>
      </c>
      <c r="F15">
        <v>6</v>
      </c>
      <c r="G15">
        <f t="shared" si="1"/>
        <v>15</v>
      </c>
      <c r="H15">
        <v>25</v>
      </c>
      <c r="I15">
        <v>37</v>
      </c>
      <c r="J15">
        <f t="shared" si="2"/>
        <v>-12</v>
      </c>
    </row>
    <row r="16" spans="1:17" x14ac:dyDescent="0.3">
      <c r="A16" t="s">
        <v>70</v>
      </c>
      <c r="B16" t="s">
        <v>1275</v>
      </c>
      <c r="C16" s="3">
        <f t="shared" si="0"/>
        <v>29</v>
      </c>
      <c r="D16">
        <v>30</v>
      </c>
      <c r="E16">
        <v>7</v>
      </c>
      <c r="F16">
        <v>8</v>
      </c>
      <c r="G16">
        <f t="shared" si="1"/>
        <v>15</v>
      </c>
      <c r="H16">
        <v>28</v>
      </c>
      <c r="I16">
        <v>42</v>
      </c>
      <c r="J16">
        <f t="shared" si="2"/>
        <v>-14</v>
      </c>
    </row>
    <row r="17" spans="1:10" x14ac:dyDescent="0.3">
      <c r="A17" s="5" t="s">
        <v>71</v>
      </c>
      <c r="B17" t="s">
        <v>1276</v>
      </c>
      <c r="C17" s="3">
        <f t="shared" si="0"/>
        <v>25</v>
      </c>
      <c r="D17">
        <v>30</v>
      </c>
      <c r="E17">
        <v>6</v>
      </c>
      <c r="F17">
        <v>7</v>
      </c>
      <c r="G17">
        <f t="shared" si="1"/>
        <v>17</v>
      </c>
      <c r="H17">
        <v>28</v>
      </c>
      <c r="I17">
        <v>45</v>
      </c>
      <c r="J17">
        <f t="shared" si="2"/>
        <v>-17</v>
      </c>
    </row>
    <row r="18" spans="1:10" x14ac:dyDescent="0.3">
      <c r="A18" t="s">
        <v>72</v>
      </c>
      <c r="B18" t="s">
        <v>1277</v>
      </c>
      <c r="C18" s="3">
        <f t="shared" si="0"/>
        <v>20</v>
      </c>
      <c r="D18">
        <v>30</v>
      </c>
      <c r="E18">
        <v>3</v>
      </c>
      <c r="F18">
        <v>11</v>
      </c>
      <c r="G18">
        <f t="shared" si="1"/>
        <v>16</v>
      </c>
      <c r="H18">
        <v>20</v>
      </c>
      <c r="I18">
        <v>45</v>
      </c>
      <c r="J18">
        <f t="shared" si="2"/>
        <v>-25</v>
      </c>
    </row>
    <row r="20" spans="1:10" x14ac:dyDescent="0.3">
      <c r="A20" t="s">
        <v>34</v>
      </c>
    </row>
    <row r="21" spans="1:10" x14ac:dyDescent="0.3">
      <c r="A21" t="s">
        <v>12</v>
      </c>
      <c r="B21" t="s">
        <v>13</v>
      </c>
      <c r="C21" t="s">
        <v>14</v>
      </c>
      <c r="D21" t="s">
        <v>15</v>
      </c>
      <c r="E21" t="s">
        <v>16</v>
      </c>
      <c r="F21" t="s">
        <v>17</v>
      </c>
      <c r="G21" t="s">
        <v>18</v>
      </c>
      <c r="H21" t="s">
        <v>20</v>
      </c>
      <c r="I21" t="s">
        <v>21</v>
      </c>
      <c r="J21" t="s">
        <v>19</v>
      </c>
    </row>
    <row r="22" spans="1:10" x14ac:dyDescent="0.3">
      <c r="A22" s="4" t="s">
        <v>0</v>
      </c>
      <c r="B22" t="s">
        <v>1263</v>
      </c>
      <c r="C22" s="3">
        <f t="shared" ref="C22:C23" si="3">E22*3+F22</f>
        <v>85</v>
      </c>
      <c r="D22">
        <v>35</v>
      </c>
      <c r="E22">
        <v>26</v>
      </c>
      <c r="F22">
        <v>7</v>
      </c>
      <c r="G22">
        <f>D22-E22-F22</f>
        <v>2</v>
      </c>
      <c r="H22">
        <v>77</v>
      </c>
      <c r="I22">
        <v>31</v>
      </c>
      <c r="J22">
        <f>H22-I22</f>
        <v>46</v>
      </c>
    </row>
    <row r="23" spans="1:10" x14ac:dyDescent="0.3">
      <c r="A23" s="4" t="s">
        <v>1</v>
      </c>
      <c r="B23" t="s">
        <v>1264</v>
      </c>
      <c r="C23" s="3">
        <f t="shared" si="3"/>
        <v>67</v>
      </c>
      <c r="D23">
        <v>35</v>
      </c>
      <c r="E23">
        <v>20</v>
      </c>
      <c r="F23">
        <v>7</v>
      </c>
      <c r="G23">
        <f t="shared" ref="G23" si="4">D23-E23-F23</f>
        <v>8</v>
      </c>
      <c r="H23">
        <v>64</v>
      </c>
      <c r="I23">
        <v>40</v>
      </c>
      <c r="J23">
        <f t="shared" ref="J23" si="5">H23-I23</f>
        <v>24</v>
      </c>
    </row>
    <row r="24" spans="1:10" x14ac:dyDescent="0.3">
      <c r="A24" s="5" t="s">
        <v>2</v>
      </c>
      <c r="B24" t="s">
        <v>1266</v>
      </c>
      <c r="C24" s="3">
        <f>E24*3+F24</f>
        <v>61</v>
      </c>
      <c r="D24">
        <v>35</v>
      </c>
      <c r="E24">
        <v>18</v>
      </c>
      <c r="F24">
        <v>7</v>
      </c>
      <c r="G24">
        <f>D24-E24-F24</f>
        <v>10</v>
      </c>
      <c r="H24">
        <v>62</v>
      </c>
      <c r="I24">
        <v>49</v>
      </c>
      <c r="J24">
        <f>H24-I24</f>
        <v>13</v>
      </c>
    </row>
    <row r="25" spans="1:10" x14ac:dyDescent="0.3">
      <c r="A25" s="1" t="s">
        <v>3</v>
      </c>
      <c r="B25" t="s">
        <v>1265</v>
      </c>
      <c r="C25" s="3">
        <f>E25*3+F25</f>
        <v>60</v>
      </c>
      <c r="D25">
        <v>35</v>
      </c>
      <c r="E25">
        <v>18</v>
      </c>
      <c r="F25">
        <v>6</v>
      </c>
      <c r="G25">
        <f>D25-E25-F25</f>
        <v>11</v>
      </c>
      <c r="H25">
        <v>47</v>
      </c>
      <c r="I25">
        <v>35</v>
      </c>
      <c r="J25">
        <f>H25-I25</f>
        <v>12</v>
      </c>
    </row>
    <row r="26" spans="1:10" x14ac:dyDescent="0.3">
      <c r="A26" t="s">
        <v>4</v>
      </c>
      <c r="B26" t="s">
        <v>1268</v>
      </c>
      <c r="C26" s="3">
        <f>E26*3+F26</f>
        <v>53</v>
      </c>
      <c r="D26">
        <v>35</v>
      </c>
      <c r="E26">
        <v>15</v>
      </c>
      <c r="F26">
        <v>8</v>
      </c>
      <c r="G26">
        <f>D26-E26-F26</f>
        <v>12</v>
      </c>
      <c r="H26">
        <v>44</v>
      </c>
      <c r="I26">
        <v>40</v>
      </c>
      <c r="J26">
        <f>H26-I26</f>
        <v>4</v>
      </c>
    </row>
    <row r="27" spans="1:10" x14ac:dyDescent="0.3">
      <c r="A27" t="s">
        <v>5</v>
      </c>
      <c r="B27" t="s">
        <v>1267</v>
      </c>
      <c r="C27" s="3">
        <f>E27*3+F27</f>
        <v>48</v>
      </c>
      <c r="D27">
        <v>35</v>
      </c>
      <c r="E27">
        <v>13</v>
      </c>
      <c r="F27">
        <v>9</v>
      </c>
      <c r="G27">
        <f>D27-E27-F27</f>
        <v>13</v>
      </c>
      <c r="H27">
        <v>52</v>
      </c>
      <c r="I27">
        <v>46</v>
      </c>
      <c r="J27">
        <f>H27-I27</f>
        <v>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D120D-5A9C-49B1-88FA-E3FFCEB93151}">
  <dimension ref="A1:AB33"/>
  <sheetViews>
    <sheetView workbookViewId="0">
      <selection activeCell="AB5" sqref="AB5"/>
    </sheetView>
  </sheetViews>
  <sheetFormatPr defaultRowHeight="14.4" x14ac:dyDescent="0.3"/>
  <sheetData>
    <row r="1" spans="1:28" x14ac:dyDescent="0.3">
      <c r="A1" t="s">
        <v>1279</v>
      </c>
      <c r="L1" t="s">
        <v>1298</v>
      </c>
      <c r="W1" t="s">
        <v>1320</v>
      </c>
      <c r="AA1" t="s">
        <v>48</v>
      </c>
    </row>
    <row r="2" spans="1:28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20</v>
      </c>
      <c r="I2" t="s">
        <v>21</v>
      </c>
      <c r="J2" t="s">
        <v>19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20</v>
      </c>
      <c r="T2" t="s">
        <v>21</v>
      </c>
      <c r="U2" t="s">
        <v>19</v>
      </c>
      <c r="W2" t="s">
        <v>39</v>
      </c>
      <c r="AA2" t="s">
        <v>1280</v>
      </c>
      <c r="AB2">
        <v>26</v>
      </c>
    </row>
    <row r="3" spans="1:28" x14ac:dyDescent="0.3">
      <c r="A3" s="4" t="s">
        <v>0</v>
      </c>
      <c r="B3" t="s">
        <v>1280</v>
      </c>
      <c r="C3" s="3">
        <f t="shared" ref="C3:C20" si="0">E3*3+F3</f>
        <v>77</v>
      </c>
      <c r="D3">
        <v>34</v>
      </c>
      <c r="E3">
        <v>24</v>
      </c>
      <c r="F3">
        <v>5</v>
      </c>
      <c r="G3">
        <f>D3-E3-F3</f>
        <v>5</v>
      </c>
      <c r="H3">
        <v>73</v>
      </c>
      <c r="I3">
        <v>27</v>
      </c>
      <c r="J3">
        <f>H3-I3</f>
        <v>46</v>
      </c>
      <c r="L3" s="9" t="s">
        <v>0</v>
      </c>
      <c r="M3" t="s">
        <v>1299</v>
      </c>
      <c r="N3" s="3">
        <f t="shared" ref="N3:N20" si="1">P3*3+Q3</f>
        <v>84</v>
      </c>
      <c r="O3">
        <v>38</v>
      </c>
      <c r="P3">
        <v>25</v>
      </c>
      <c r="Q3">
        <v>9</v>
      </c>
      <c r="R3">
        <f>O3-P3-Q3</f>
        <v>4</v>
      </c>
      <c r="S3">
        <v>86</v>
      </c>
      <c r="T3">
        <v>30</v>
      </c>
      <c r="U3">
        <f>S3-T3</f>
        <v>56</v>
      </c>
      <c r="W3" t="s">
        <v>1290</v>
      </c>
      <c r="X3" t="s">
        <v>136</v>
      </c>
      <c r="Y3" t="s">
        <v>1281</v>
      </c>
      <c r="AA3" t="s">
        <v>1299</v>
      </c>
      <c r="AB3">
        <v>1</v>
      </c>
    </row>
    <row r="4" spans="1:28" x14ac:dyDescent="0.3">
      <c r="A4" s="4" t="s">
        <v>1</v>
      </c>
      <c r="B4" t="s">
        <v>1281</v>
      </c>
      <c r="C4" s="3">
        <f t="shared" si="0"/>
        <v>70</v>
      </c>
      <c r="D4">
        <v>34</v>
      </c>
      <c r="E4">
        <v>20</v>
      </c>
      <c r="F4">
        <v>10</v>
      </c>
      <c r="G4">
        <f t="shared" ref="G4:G20" si="2">D4-E4-F4</f>
        <v>4</v>
      </c>
      <c r="H4">
        <v>72</v>
      </c>
      <c r="I4">
        <v>35</v>
      </c>
      <c r="J4">
        <f t="shared" ref="J4:J20" si="3">H4-I4</f>
        <v>37</v>
      </c>
      <c r="L4" s="9" t="s">
        <v>1</v>
      </c>
      <c r="M4" t="s">
        <v>1300</v>
      </c>
      <c r="N4" s="3">
        <f t="shared" si="1"/>
        <v>77</v>
      </c>
      <c r="O4">
        <v>38</v>
      </c>
      <c r="P4">
        <v>22</v>
      </c>
      <c r="Q4">
        <v>11</v>
      </c>
      <c r="R4">
        <f t="shared" ref="R4:R22" si="4">O4-P4-Q4</f>
        <v>5</v>
      </c>
      <c r="S4">
        <v>88</v>
      </c>
      <c r="T4">
        <v>36</v>
      </c>
      <c r="U4">
        <f t="shared" ref="U4:U22" si="5">S4-T4</f>
        <v>52</v>
      </c>
      <c r="W4" t="s">
        <v>1280</v>
      </c>
      <c r="X4" t="s">
        <v>38</v>
      </c>
      <c r="Y4" t="s">
        <v>1295</v>
      </c>
      <c r="AA4" t="s">
        <v>1295</v>
      </c>
      <c r="AB4">
        <v>3</v>
      </c>
    </row>
    <row r="5" spans="1:28" x14ac:dyDescent="0.3">
      <c r="A5" s="5" t="s">
        <v>2</v>
      </c>
      <c r="B5" t="s">
        <v>1282</v>
      </c>
      <c r="C5" s="3">
        <f t="shared" si="0"/>
        <v>67</v>
      </c>
      <c r="D5">
        <v>34</v>
      </c>
      <c r="E5">
        <v>20</v>
      </c>
      <c r="F5">
        <v>7</v>
      </c>
      <c r="G5">
        <f t="shared" si="2"/>
        <v>7</v>
      </c>
      <c r="H5">
        <v>60</v>
      </c>
      <c r="I5">
        <v>38</v>
      </c>
      <c r="J5">
        <f t="shared" si="3"/>
        <v>22</v>
      </c>
      <c r="L5" s="11" t="s">
        <v>2</v>
      </c>
      <c r="M5" t="s">
        <v>1301</v>
      </c>
      <c r="N5" s="3">
        <f t="shared" si="1"/>
        <v>75</v>
      </c>
      <c r="O5">
        <v>38</v>
      </c>
      <c r="P5">
        <v>22</v>
      </c>
      <c r="Q5">
        <v>9</v>
      </c>
      <c r="R5">
        <f t="shared" si="4"/>
        <v>7</v>
      </c>
      <c r="S5">
        <v>81</v>
      </c>
      <c r="T5">
        <v>43</v>
      </c>
      <c r="U5">
        <f t="shared" si="5"/>
        <v>38</v>
      </c>
      <c r="W5" t="s">
        <v>1288</v>
      </c>
      <c r="X5" t="s">
        <v>37</v>
      </c>
      <c r="Y5" t="s">
        <v>1282</v>
      </c>
    </row>
    <row r="6" spans="1:28" x14ac:dyDescent="0.3">
      <c r="A6" s="1" t="s">
        <v>3</v>
      </c>
      <c r="B6" t="s">
        <v>1283</v>
      </c>
      <c r="C6" s="3">
        <f t="shared" si="0"/>
        <v>64</v>
      </c>
      <c r="D6">
        <v>34</v>
      </c>
      <c r="E6">
        <v>19</v>
      </c>
      <c r="F6">
        <v>7</v>
      </c>
      <c r="G6">
        <f t="shared" si="2"/>
        <v>8</v>
      </c>
      <c r="H6">
        <v>59</v>
      </c>
      <c r="I6">
        <v>40</v>
      </c>
      <c r="J6">
        <f t="shared" si="3"/>
        <v>19</v>
      </c>
      <c r="L6" s="11" t="s">
        <v>3</v>
      </c>
      <c r="M6" t="s">
        <v>1302</v>
      </c>
      <c r="N6" s="3">
        <f t="shared" si="1"/>
        <v>68</v>
      </c>
      <c r="O6">
        <v>38</v>
      </c>
      <c r="P6">
        <v>20</v>
      </c>
      <c r="Q6">
        <v>8</v>
      </c>
      <c r="R6">
        <f t="shared" si="4"/>
        <v>10</v>
      </c>
      <c r="S6">
        <v>74</v>
      </c>
      <c r="T6">
        <v>39</v>
      </c>
      <c r="U6">
        <f t="shared" si="5"/>
        <v>35</v>
      </c>
      <c r="W6" t="s">
        <v>1283</v>
      </c>
      <c r="X6" t="s">
        <v>42</v>
      </c>
      <c r="Y6" t="s">
        <v>1291</v>
      </c>
    </row>
    <row r="7" spans="1:28" x14ac:dyDescent="0.3">
      <c r="A7" t="s">
        <v>4</v>
      </c>
      <c r="B7" t="s">
        <v>1284</v>
      </c>
      <c r="C7" s="3">
        <f t="shared" si="0"/>
        <v>58</v>
      </c>
      <c r="D7">
        <v>34</v>
      </c>
      <c r="E7">
        <v>16</v>
      </c>
      <c r="F7">
        <v>10</v>
      </c>
      <c r="G7">
        <f t="shared" si="2"/>
        <v>8</v>
      </c>
      <c r="H7">
        <v>42</v>
      </c>
      <c r="I7">
        <v>28</v>
      </c>
      <c r="J7">
        <f t="shared" si="3"/>
        <v>14</v>
      </c>
      <c r="L7" s="11" t="s">
        <v>4</v>
      </c>
      <c r="M7" t="s">
        <v>1303</v>
      </c>
      <c r="N7" s="3">
        <f t="shared" si="1"/>
        <v>67</v>
      </c>
      <c r="O7">
        <v>38</v>
      </c>
      <c r="P7">
        <v>20</v>
      </c>
      <c r="Q7">
        <v>7</v>
      </c>
      <c r="R7">
        <f t="shared" si="4"/>
        <v>11</v>
      </c>
      <c r="S7">
        <v>61</v>
      </c>
      <c r="T7">
        <v>45</v>
      </c>
      <c r="U7">
        <f t="shared" si="5"/>
        <v>16</v>
      </c>
    </row>
    <row r="8" spans="1:28" x14ac:dyDescent="0.3">
      <c r="A8" t="s">
        <v>5</v>
      </c>
      <c r="B8" t="s">
        <v>1285</v>
      </c>
      <c r="C8" s="3">
        <f t="shared" si="0"/>
        <v>57</v>
      </c>
      <c r="D8">
        <v>34</v>
      </c>
      <c r="E8">
        <v>16</v>
      </c>
      <c r="F8">
        <v>9</v>
      </c>
      <c r="G8">
        <f t="shared" si="2"/>
        <v>9</v>
      </c>
      <c r="H8">
        <v>57</v>
      </c>
      <c r="I8">
        <v>37</v>
      </c>
      <c r="J8">
        <f t="shared" si="3"/>
        <v>20</v>
      </c>
      <c r="L8" s="11" t="s">
        <v>5</v>
      </c>
      <c r="M8" t="s">
        <v>1304</v>
      </c>
      <c r="N8" s="3">
        <f t="shared" si="1"/>
        <v>61</v>
      </c>
      <c r="O8">
        <v>38</v>
      </c>
      <c r="P8">
        <v>16</v>
      </c>
      <c r="Q8">
        <v>13</v>
      </c>
      <c r="R8">
        <f t="shared" si="4"/>
        <v>9</v>
      </c>
      <c r="S8">
        <v>58</v>
      </c>
      <c r="T8">
        <v>35</v>
      </c>
      <c r="U8">
        <f t="shared" si="5"/>
        <v>23</v>
      </c>
      <c r="W8" t="s">
        <v>40</v>
      </c>
    </row>
    <row r="9" spans="1:28" x14ac:dyDescent="0.3">
      <c r="A9" t="s">
        <v>6</v>
      </c>
      <c r="B9" t="s">
        <v>1286</v>
      </c>
      <c r="C9" s="3">
        <f t="shared" si="0"/>
        <v>44</v>
      </c>
      <c r="D9">
        <v>34</v>
      </c>
      <c r="E9">
        <v>12</v>
      </c>
      <c r="F9">
        <v>8</v>
      </c>
      <c r="G9">
        <f t="shared" si="2"/>
        <v>14</v>
      </c>
      <c r="H9">
        <v>33</v>
      </c>
      <c r="I9">
        <v>40</v>
      </c>
      <c r="J9">
        <f t="shared" si="3"/>
        <v>-7</v>
      </c>
      <c r="L9" s="11" t="s">
        <v>6</v>
      </c>
      <c r="M9" t="s">
        <v>1305</v>
      </c>
      <c r="N9" s="3">
        <f t="shared" si="1"/>
        <v>57</v>
      </c>
      <c r="O9">
        <v>38</v>
      </c>
      <c r="P9">
        <v>15</v>
      </c>
      <c r="Q9">
        <v>12</v>
      </c>
      <c r="R9">
        <f t="shared" si="4"/>
        <v>11</v>
      </c>
      <c r="S9">
        <v>71</v>
      </c>
      <c r="T9">
        <v>48</v>
      </c>
      <c r="U9">
        <f t="shared" si="5"/>
        <v>23</v>
      </c>
      <c r="W9" t="s">
        <v>1281</v>
      </c>
      <c r="X9" t="s">
        <v>92</v>
      </c>
      <c r="Y9" t="s">
        <v>1283</v>
      </c>
    </row>
    <row r="10" spans="1:28" x14ac:dyDescent="0.3">
      <c r="A10" t="s">
        <v>7</v>
      </c>
      <c r="B10" t="s">
        <v>1287</v>
      </c>
      <c r="C10" s="3">
        <f t="shared" si="0"/>
        <v>43</v>
      </c>
      <c r="D10">
        <v>34</v>
      </c>
      <c r="E10">
        <v>11</v>
      </c>
      <c r="F10">
        <v>10</v>
      </c>
      <c r="G10">
        <f t="shared" si="2"/>
        <v>13</v>
      </c>
      <c r="H10">
        <v>51</v>
      </c>
      <c r="I10">
        <v>49</v>
      </c>
      <c r="J10">
        <f t="shared" si="3"/>
        <v>2</v>
      </c>
      <c r="L10" s="10" t="s">
        <v>7</v>
      </c>
      <c r="M10" t="s">
        <v>1306</v>
      </c>
      <c r="N10" s="3">
        <f t="shared" si="1"/>
        <v>57</v>
      </c>
      <c r="O10">
        <v>38</v>
      </c>
      <c r="P10">
        <v>15</v>
      </c>
      <c r="Q10">
        <v>12</v>
      </c>
      <c r="R10">
        <f t="shared" si="4"/>
        <v>11</v>
      </c>
      <c r="S10">
        <v>48</v>
      </c>
      <c r="T10">
        <v>37</v>
      </c>
      <c r="U10">
        <f t="shared" si="5"/>
        <v>11</v>
      </c>
      <c r="W10" t="s">
        <v>1288</v>
      </c>
      <c r="X10" t="s">
        <v>38</v>
      </c>
      <c r="Y10" t="s">
        <v>1295</v>
      </c>
    </row>
    <row r="11" spans="1:28" x14ac:dyDescent="0.3">
      <c r="A11" t="s">
        <v>8</v>
      </c>
      <c r="B11" t="s">
        <v>1288</v>
      </c>
      <c r="C11" s="3">
        <f t="shared" si="0"/>
        <v>43</v>
      </c>
      <c r="D11">
        <v>34</v>
      </c>
      <c r="E11">
        <v>10</v>
      </c>
      <c r="F11">
        <v>13</v>
      </c>
      <c r="G11">
        <f t="shared" si="2"/>
        <v>11</v>
      </c>
      <c r="H11">
        <v>38</v>
      </c>
      <c r="I11">
        <v>44</v>
      </c>
      <c r="J11">
        <f t="shared" si="3"/>
        <v>-6</v>
      </c>
      <c r="L11" s="10" t="s">
        <v>8</v>
      </c>
      <c r="M11" t="s">
        <v>1307</v>
      </c>
      <c r="N11" s="3">
        <f t="shared" si="1"/>
        <v>55</v>
      </c>
      <c r="O11">
        <v>38</v>
      </c>
      <c r="P11">
        <v>14</v>
      </c>
      <c r="Q11">
        <v>13</v>
      </c>
      <c r="R11">
        <f t="shared" si="4"/>
        <v>11</v>
      </c>
      <c r="S11">
        <v>50</v>
      </c>
      <c r="T11">
        <v>42</v>
      </c>
      <c r="U11">
        <f t="shared" si="5"/>
        <v>8</v>
      </c>
    </row>
    <row r="12" spans="1:28" x14ac:dyDescent="0.3">
      <c r="A12" t="s">
        <v>9</v>
      </c>
      <c r="B12" t="s">
        <v>1289</v>
      </c>
      <c r="C12" s="3">
        <f t="shared" si="0"/>
        <v>43</v>
      </c>
      <c r="D12">
        <v>34</v>
      </c>
      <c r="E12">
        <v>11</v>
      </c>
      <c r="F12">
        <v>10</v>
      </c>
      <c r="G12">
        <f t="shared" si="2"/>
        <v>13</v>
      </c>
      <c r="H12">
        <v>45</v>
      </c>
      <c r="I12">
        <v>55</v>
      </c>
      <c r="J12">
        <f t="shared" si="3"/>
        <v>-10</v>
      </c>
      <c r="L12" s="10" t="s">
        <v>9</v>
      </c>
      <c r="M12" t="s">
        <v>1308</v>
      </c>
      <c r="N12" s="3">
        <f t="shared" si="1"/>
        <v>55</v>
      </c>
      <c r="O12">
        <v>38</v>
      </c>
      <c r="P12">
        <v>16</v>
      </c>
      <c r="Q12">
        <v>7</v>
      </c>
      <c r="R12">
        <f t="shared" si="4"/>
        <v>15</v>
      </c>
      <c r="S12">
        <v>55</v>
      </c>
      <c r="T12">
        <v>57</v>
      </c>
      <c r="U12">
        <f t="shared" si="5"/>
        <v>-2</v>
      </c>
      <c r="W12" t="s">
        <v>46</v>
      </c>
    </row>
    <row r="13" spans="1:28" x14ac:dyDescent="0.3">
      <c r="A13" t="s">
        <v>10</v>
      </c>
      <c r="B13" t="s">
        <v>1290</v>
      </c>
      <c r="C13" s="3">
        <f t="shared" si="0"/>
        <v>42</v>
      </c>
      <c r="D13">
        <v>34</v>
      </c>
      <c r="E13">
        <v>10</v>
      </c>
      <c r="F13">
        <v>12</v>
      </c>
      <c r="G13">
        <f t="shared" si="2"/>
        <v>12</v>
      </c>
      <c r="H13">
        <v>40</v>
      </c>
      <c r="I13">
        <v>47</v>
      </c>
      <c r="J13">
        <f t="shared" si="3"/>
        <v>-7</v>
      </c>
      <c r="L13" s="10" t="s">
        <v>10</v>
      </c>
      <c r="M13" t="s">
        <v>1309</v>
      </c>
      <c r="N13" s="3">
        <f t="shared" si="1"/>
        <v>54</v>
      </c>
      <c r="O13">
        <v>38</v>
      </c>
      <c r="P13">
        <v>16</v>
      </c>
      <c r="Q13">
        <v>6</v>
      </c>
      <c r="R13">
        <f t="shared" si="4"/>
        <v>16</v>
      </c>
      <c r="S13">
        <v>53</v>
      </c>
      <c r="T13">
        <v>45</v>
      </c>
      <c r="U13">
        <f t="shared" si="5"/>
        <v>8</v>
      </c>
      <c r="W13" t="s">
        <v>1281</v>
      </c>
      <c r="X13" t="s">
        <v>1321</v>
      </c>
      <c r="Y13" t="s">
        <v>1295</v>
      </c>
    </row>
    <row r="14" spans="1:28" x14ac:dyDescent="0.3">
      <c r="A14" t="s">
        <v>11</v>
      </c>
      <c r="B14" t="s">
        <v>1291</v>
      </c>
      <c r="C14" s="3">
        <f t="shared" si="0"/>
        <v>39</v>
      </c>
      <c r="D14">
        <v>34</v>
      </c>
      <c r="E14">
        <v>8</v>
      </c>
      <c r="F14">
        <v>15</v>
      </c>
      <c r="G14">
        <f t="shared" si="2"/>
        <v>11</v>
      </c>
      <c r="H14">
        <v>40</v>
      </c>
      <c r="I14">
        <v>39</v>
      </c>
      <c r="J14">
        <f t="shared" si="3"/>
        <v>1</v>
      </c>
      <c r="L14" s="10" t="s">
        <v>11</v>
      </c>
      <c r="M14" t="s">
        <v>1310</v>
      </c>
      <c r="N14" s="3">
        <f t="shared" si="1"/>
        <v>49</v>
      </c>
      <c r="O14">
        <v>38</v>
      </c>
      <c r="P14">
        <v>13</v>
      </c>
      <c r="Q14">
        <v>10</v>
      </c>
      <c r="R14">
        <f t="shared" si="4"/>
        <v>15</v>
      </c>
      <c r="S14">
        <v>49</v>
      </c>
      <c r="T14">
        <v>56</v>
      </c>
      <c r="U14">
        <f t="shared" si="5"/>
        <v>-7</v>
      </c>
    </row>
    <row r="15" spans="1:28" x14ac:dyDescent="0.3">
      <c r="A15" t="s">
        <v>69</v>
      </c>
      <c r="B15" t="s">
        <v>1292</v>
      </c>
      <c r="C15" s="3">
        <f t="shared" si="0"/>
        <v>38</v>
      </c>
      <c r="D15">
        <v>34</v>
      </c>
      <c r="E15">
        <v>10</v>
      </c>
      <c r="F15">
        <v>8</v>
      </c>
      <c r="G15">
        <f t="shared" si="2"/>
        <v>16</v>
      </c>
      <c r="H15">
        <v>38</v>
      </c>
      <c r="I15">
        <v>53</v>
      </c>
      <c r="J15">
        <f t="shared" si="3"/>
        <v>-15</v>
      </c>
      <c r="L15" t="s">
        <v>69</v>
      </c>
      <c r="M15" t="s">
        <v>1311</v>
      </c>
      <c r="N15" s="3">
        <f t="shared" si="1"/>
        <v>48</v>
      </c>
      <c r="O15">
        <v>38</v>
      </c>
      <c r="P15">
        <v>12</v>
      </c>
      <c r="Q15">
        <v>12</v>
      </c>
      <c r="R15">
        <f t="shared" si="4"/>
        <v>14</v>
      </c>
      <c r="S15">
        <v>53</v>
      </c>
      <c r="T15">
        <v>50</v>
      </c>
      <c r="U15">
        <f t="shared" si="5"/>
        <v>3</v>
      </c>
    </row>
    <row r="16" spans="1:28" x14ac:dyDescent="0.3">
      <c r="A16" t="s">
        <v>70</v>
      </c>
      <c r="B16" t="s">
        <v>1293</v>
      </c>
      <c r="C16" s="3">
        <f t="shared" si="0"/>
        <v>34</v>
      </c>
      <c r="D16">
        <v>34</v>
      </c>
      <c r="E16">
        <v>8</v>
      </c>
      <c r="F16">
        <v>10</v>
      </c>
      <c r="G16">
        <f t="shared" si="2"/>
        <v>16</v>
      </c>
      <c r="H16">
        <v>29</v>
      </c>
      <c r="I16">
        <v>44</v>
      </c>
      <c r="J16">
        <f t="shared" si="3"/>
        <v>-15</v>
      </c>
      <c r="L16" t="s">
        <v>70</v>
      </c>
      <c r="M16" t="s">
        <v>1312</v>
      </c>
      <c r="N16" s="3">
        <f t="shared" si="1"/>
        <v>47</v>
      </c>
      <c r="O16">
        <v>38</v>
      </c>
      <c r="P16">
        <v>13</v>
      </c>
      <c r="Q16">
        <v>8</v>
      </c>
      <c r="R16">
        <f t="shared" si="4"/>
        <v>17</v>
      </c>
      <c r="S16">
        <v>44</v>
      </c>
      <c r="T16">
        <v>47</v>
      </c>
      <c r="U16">
        <f t="shared" si="5"/>
        <v>-3</v>
      </c>
    </row>
    <row r="17" spans="1:21" x14ac:dyDescent="0.3">
      <c r="A17" t="s">
        <v>71</v>
      </c>
      <c r="B17" t="s">
        <v>1294</v>
      </c>
      <c r="C17" s="3">
        <f t="shared" si="0"/>
        <v>32</v>
      </c>
      <c r="D17">
        <v>34</v>
      </c>
      <c r="E17">
        <v>8</v>
      </c>
      <c r="F17">
        <v>8</v>
      </c>
      <c r="G17">
        <f t="shared" si="2"/>
        <v>18</v>
      </c>
      <c r="H17">
        <v>28</v>
      </c>
      <c r="I17">
        <v>52</v>
      </c>
      <c r="J17">
        <f t="shared" si="3"/>
        <v>-24</v>
      </c>
      <c r="L17" t="s">
        <v>71</v>
      </c>
      <c r="M17" t="s">
        <v>1314</v>
      </c>
      <c r="N17" s="3">
        <f t="shared" si="1"/>
        <v>47</v>
      </c>
      <c r="O17">
        <v>38</v>
      </c>
      <c r="P17">
        <v>11</v>
      </c>
      <c r="Q17">
        <v>14</v>
      </c>
      <c r="R17">
        <f t="shared" si="4"/>
        <v>13</v>
      </c>
      <c r="S17">
        <v>45</v>
      </c>
      <c r="T17">
        <v>56</v>
      </c>
      <c r="U17">
        <f t="shared" si="5"/>
        <v>-11</v>
      </c>
    </row>
    <row r="18" spans="1:21" x14ac:dyDescent="0.3">
      <c r="A18" s="7" t="s">
        <v>72</v>
      </c>
      <c r="B18" t="s">
        <v>1295</v>
      </c>
      <c r="C18" s="3">
        <f t="shared" si="0"/>
        <v>31</v>
      </c>
      <c r="D18">
        <v>34</v>
      </c>
      <c r="E18">
        <v>8</v>
      </c>
      <c r="F18">
        <v>7</v>
      </c>
      <c r="G18">
        <f t="shared" si="2"/>
        <v>19</v>
      </c>
      <c r="H18">
        <v>34</v>
      </c>
      <c r="I18">
        <v>49</v>
      </c>
      <c r="J18">
        <f t="shared" si="3"/>
        <v>-15</v>
      </c>
      <c r="L18" t="s">
        <v>72</v>
      </c>
      <c r="M18" t="s">
        <v>1313</v>
      </c>
      <c r="N18" s="3">
        <f t="shared" si="1"/>
        <v>45</v>
      </c>
      <c r="O18">
        <v>38</v>
      </c>
      <c r="P18">
        <v>13</v>
      </c>
      <c r="Q18">
        <v>6</v>
      </c>
      <c r="R18">
        <f t="shared" si="4"/>
        <v>19</v>
      </c>
      <c r="S18">
        <v>56</v>
      </c>
      <c r="T18">
        <v>61</v>
      </c>
      <c r="U18">
        <f t="shared" si="5"/>
        <v>-5</v>
      </c>
    </row>
    <row r="19" spans="1:21" x14ac:dyDescent="0.3">
      <c r="A19" s="7" t="s">
        <v>255</v>
      </c>
      <c r="B19" t="s">
        <v>1296</v>
      </c>
      <c r="C19" s="3">
        <f t="shared" si="0"/>
        <v>27</v>
      </c>
      <c r="D19">
        <v>34</v>
      </c>
      <c r="E19">
        <v>5</v>
      </c>
      <c r="F19">
        <v>12</v>
      </c>
      <c r="G19">
        <f t="shared" si="2"/>
        <v>17</v>
      </c>
      <c r="H19">
        <v>29</v>
      </c>
      <c r="I19">
        <v>66</v>
      </c>
      <c r="J19">
        <f t="shared" si="3"/>
        <v>-37</v>
      </c>
      <c r="L19" t="s">
        <v>255</v>
      </c>
      <c r="M19" t="s">
        <v>1315</v>
      </c>
      <c r="N19" s="3">
        <f t="shared" si="1"/>
        <v>39</v>
      </c>
      <c r="O19">
        <v>38</v>
      </c>
      <c r="P19">
        <v>11</v>
      </c>
      <c r="Q19">
        <v>6</v>
      </c>
      <c r="R19">
        <f t="shared" si="4"/>
        <v>21</v>
      </c>
      <c r="S19">
        <v>46</v>
      </c>
      <c r="T19">
        <v>75</v>
      </c>
      <c r="U19">
        <f t="shared" si="5"/>
        <v>-29</v>
      </c>
    </row>
    <row r="20" spans="1:21" x14ac:dyDescent="0.3">
      <c r="A20" s="7" t="s">
        <v>256</v>
      </c>
      <c r="B20" t="s">
        <v>1297</v>
      </c>
      <c r="C20" s="3">
        <f t="shared" si="0"/>
        <v>26</v>
      </c>
      <c r="D20">
        <v>34</v>
      </c>
      <c r="E20">
        <v>7</v>
      </c>
      <c r="F20">
        <v>5</v>
      </c>
      <c r="G20">
        <f t="shared" si="2"/>
        <v>22</v>
      </c>
      <c r="H20">
        <v>34</v>
      </c>
      <c r="I20">
        <v>59</v>
      </c>
      <c r="J20">
        <f t="shared" si="3"/>
        <v>-25</v>
      </c>
      <c r="L20" t="s">
        <v>256</v>
      </c>
      <c r="M20" t="s">
        <v>1316</v>
      </c>
      <c r="N20" s="3">
        <f t="shared" si="1"/>
        <v>37</v>
      </c>
      <c r="O20">
        <v>38</v>
      </c>
      <c r="P20">
        <v>9</v>
      </c>
      <c r="Q20">
        <v>10</v>
      </c>
      <c r="R20">
        <f t="shared" si="4"/>
        <v>19</v>
      </c>
      <c r="S20">
        <v>48</v>
      </c>
      <c r="T20">
        <v>65</v>
      </c>
      <c r="U20">
        <f t="shared" si="5"/>
        <v>-17</v>
      </c>
    </row>
    <row r="21" spans="1:21" x14ac:dyDescent="0.3">
      <c r="L21" t="s">
        <v>277</v>
      </c>
      <c r="M21" t="s">
        <v>1317</v>
      </c>
      <c r="N21" s="3">
        <f>P21*3+Q21</f>
        <v>14</v>
      </c>
      <c r="O21">
        <v>38</v>
      </c>
      <c r="P21">
        <v>2</v>
      </c>
      <c r="Q21">
        <v>8</v>
      </c>
      <c r="R21">
        <f t="shared" si="4"/>
        <v>28</v>
      </c>
      <c r="S21">
        <v>33</v>
      </c>
      <c r="T21">
        <v>105</v>
      </c>
      <c r="U21">
        <f t="shared" si="5"/>
        <v>-72</v>
      </c>
    </row>
    <row r="22" spans="1:21" x14ac:dyDescent="0.3">
      <c r="L22" t="s">
        <v>278</v>
      </c>
      <c r="M22" t="s">
        <v>1318</v>
      </c>
      <c r="N22" s="3">
        <f>P22*3+Q22-48</f>
        <v>-36</v>
      </c>
      <c r="O22">
        <v>38</v>
      </c>
      <c r="P22">
        <v>3</v>
      </c>
      <c r="Q22">
        <v>3</v>
      </c>
      <c r="R22">
        <f t="shared" si="4"/>
        <v>32</v>
      </c>
      <c r="S22">
        <v>25</v>
      </c>
      <c r="T22">
        <v>152</v>
      </c>
      <c r="U22">
        <f t="shared" si="5"/>
        <v>-127</v>
      </c>
    </row>
    <row r="24" spans="1:21" x14ac:dyDescent="0.3">
      <c r="L24" t="s">
        <v>593</v>
      </c>
    </row>
    <row r="25" spans="1:21" x14ac:dyDescent="0.3">
      <c r="L25" t="s">
        <v>1319</v>
      </c>
    </row>
    <row r="26" spans="1:21" x14ac:dyDescent="0.3">
      <c r="L26" t="str">
        <f>M6</f>
        <v>Bodrumspor</v>
      </c>
      <c r="M26" t="s">
        <v>42</v>
      </c>
      <c r="N26" t="str">
        <f>M9</f>
        <v>Keçiörengücü</v>
      </c>
    </row>
    <row r="27" spans="1:21" x14ac:dyDescent="0.3">
      <c r="L27" t="str">
        <f>M7</f>
        <v>Çorum</v>
      </c>
      <c r="M27" t="s">
        <v>42</v>
      </c>
      <c r="N27" t="str">
        <f>M8</f>
        <v>Pendikspor</v>
      </c>
    </row>
    <row r="29" spans="1:21" x14ac:dyDescent="0.3">
      <c r="L29" t="s">
        <v>40</v>
      </c>
    </row>
    <row r="30" spans="1:21" x14ac:dyDescent="0.3">
      <c r="L30" t="s">
        <v>1303</v>
      </c>
      <c r="M30" t="s">
        <v>205</v>
      </c>
      <c r="N30" t="s">
        <v>1302</v>
      </c>
      <c r="P30" t="s">
        <v>1302</v>
      </c>
      <c r="Q30" t="s">
        <v>37</v>
      </c>
      <c r="R30" t="s">
        <v>1303</v>
      </c>
    </row>
    <row r="32" spans="1:21" x14ac:dyDescent="0.3">
      <c r="L32" t="s">
        <v>46</v>
      </c>
    </row>
    <row r="33" spans="12:14" x14ac:dyDescent="0.3">
      <c r="L33" t="str">
        <f>M5</f>
        <v>Amed</v>
      </c>
      <c r="M33" t="s">
        <v>93</v>
      </c>
      <c r="N33" t="s">
        <v>1302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0D8DD-AAC8-4278-AF83-9A01E89DA6CA}">
  <dimension ref="A1:Q18"/>
  <sheetViews>
    <sheetView workbookViewId="0">
      <selection activeCell="Q4" sqref="Q4"/>
    </sheetView>
  </sheetViews>
  <sheetFormatPr defaultRowHeight="14.4" x14ac:dyDescent="0.3"/>
  <sheetData>
    <row r="1" spans="1:17" x14ac:dyDescent="0.3">
      <c r="A1" t="s">
        <v>1322</v>
      </c>
      <c r="L1" t="s">
        <v>1339</v>
      </c>
      <c r="P1" t="s">
        <v>48</v>
      </c>
    </row>
    <row r="2" spans="1:17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20</v>
      </c>
      <c r="I2" t="s">
        <v>21</v>
      </c>
      <c r="J2" t="s">
        <v>19</v>
      </c>
      <c r="L2" t="s">
        <v>46</v>
      </c>
      <c r="P2" t="s">
        <v>1323</v>
      </c>
      <c r="Q2">
        <v>16</v>
      </c>
    </row>
    <row r="3" spans="1:17" x14ac:dyDescent="0.3">
      <c r="A3" s="4" t="s">
        <v>0</v>
      </c>
      <c r="B3" t="s">
        <v>1323</v>
      </c>
      <c r="C3" s="3">
        <f t="shared" ref="C3:C18" si="0">E3*3+F3</f>
        <v>61</v>
      </c>
      <c r="D3">
        <v>30</v>
      </c>
      <c r="E3">
        <v>18</v>
      </c>
      <c r="F3">
        <v>7</v>
      </c>
      <c r="G3">
        <f>D3-E3-F3</f>
        <v>5</v>
      </c>
      <c r="H3">
        <v>62</v>
      </c>
      <c r="I3">
        <v>24</v>
      </c>
      <c r="J3">
        <f>H3-I3</f>
        <v>38</v>
      </c>
      <c r="L3" t="s">
        <v>1327</v>
      </c>
      <c r="M3" t="s">
        <v>44</v>
      </c>
      <c r="N3" t="s">
        <v>1326</v>
      </c>
      <c r="P3" t="s">
        <v>1327</v>
      </c>
      <c r="Q3">
        <v>1</v>
      </c>
    </row>
    <row r="4" spans="1:17" x14ac:dyDescent="0.3">
      <c r="A4" s="1" t="s">
        <v>1</v>
      </c>
      <c r="B4" t="s">
        <v>1324</v>
      </c>
      <c r="C4" s="3">
        <f t="shared" si="0"/>
        <v>61</v>
      </c>
      <c r="D4">
        <v>30</v>
      </c>
      <c r="E4">
        <v>19</v>
      </c>
      <c r="F4">
        <v>4</v>
      </c>
      <c r="G4">
        <f t="shared" ref="G4:G18" si="1">D4-E4-F4</f>
        <v>7</v>
      </c>
      <c r="H4">
        <v>43</v>
      </c>
      <c r="I4">
        <v>22</v>
      </c>
      <c r="J4">
        <f t="shared" ref="J4:J18" si="2">H4-I4</f>
        <v>21</v>
      </c>
    </row>
    <row r="5" spans="1:17" x14ac:dyDescent="0.3">
      <c r="A5" s="1" t="s">
        <v>2</v>
      </c>
      <c r="B5" t="s">
        <v>1325</v>
      </c>
      <c r="C5" s="3">
        <f t="shared" si="0"/>
        <v>59</v>
      </c>
      <c r="D5">
        <v>30</v>
      </c>
      <c r="E5">
        <v>18</v>
      </c>
      <c r="F5">
        <v>5</v>
      </c>
      <c r="G5">
        <f t="shared" si="1"/>
        <v>7</v>
      </c>
      <c r="H5">
        <v>54</v>
      </c>
      <c r="I5">
        <v>24</v>
      </c>
      <c r="J5">
        <f t="shared" si="2"/>
        <v>30</v>
      </c>
    </row>
    <row r="6" spans="1:17" x14ac:dyDescent="0.3">
      <c r="A6" t="s">
        <v>3</v>
      </c>
      <c r="B6" t="s">
        <v>1326</v>
      </c>
      <c r="C6" s="3">
        <f t="shared" si="0"/>
        <v>53</v>
      </c>
      <c r="D6">
        <v>30</v>
      </c>
      <c r="E6">
        <v>15</v>
      </c>
      <c r="F6">
        <v>8</v>
      </c>
      <c r="G6">
        <f t="shared" si="1"/>
        <v>7</v>
      </c>
      <c r="H6">
        <v>63</v>
      </c>
      <c r="I6">
        <v>35</v>
      </c>
      <c r="J6">
        <f t="shared" si="2"/>
        <v>28</v>
      </c>
    </row>
    <row r="7" spans="1:17" x14ac:dyDescent="0.3">
      <c r="A7" s="5" t="s">
        <v>4</v>
      </c>
      <c r="B7" t="s">
        <v>1327</v>
      </c>
      <c r="C7" s="3">
        <f t="shared" si="0"/>
        <v>51</v>
      </c>
      <c r="D7">
        <v>30</v>
      </c>
      <c r="E7">
        <v>14</v>
      </c>
      <c r="F7">
        <v>9</v>
      </c>
      <c r="G7">
        <f t="shared" si="1"/>
        <v>7</v>
      </c>
      <c r="H7">
        <v>35</v>
      </c>
      <c r="I7">
        <v>19</v>
      </c>
      <c r="J7">
        <f t="shared" si="2"/>
        <v>16</v>
      </c>
    </row>
    <row r="8" spans="1:17" x14ac:dyDescent="0.3">
      <c r="A8" t="s">
        <v>5</v>
      </c>
      <c r="B8" t="s">
        <v>1328</v>
      </c>
      <c r="C8" s="3">
        <f t="shared" si="0"/>
        <v>47</v>
      </c>
      <c r="D8">
        <v>30</v>
      </c>
      <c r="E8">
        <v>12</v>
      </c>
      <c r="F8">
        <v>11</v>
      </c>
      <c r="G8">
        <f t="shared" si="1"/>
        <v>7</v>
      </c>
      <c r="H8">
        <v>31</v>
      </c>
      <c r="I8">
        <v>29</v>
      </c>
      <c r="J8">
        <f t="shared" si="2"/>
        <v>2</v>
      </c>
    </row>
    <row r="9" spans="1:17" x14ac:dyDescent="0.3">
      <c r="A9" t="s">
        <v>6</v>
      </c>
      <c r="B9" t="s">
        <v>1329</v>
      </c>
      <c r="C9" s="3">
        <f t="shared" si="0"/>
        <v>44</v>
      </c>
      <c r="D9">
        <v>30</v>
      </c>
      <c r="E9">
        <v>11</v>
      </c>
      <c r="F9">
        <v>11</v>
      </c>
      <c r="G9">
        <f t="shared" si="1"/>
        <v>8</v>
      </c>
      <c r="H9">
        <v>44</v>
      </c>
      <c r="I9">
        <v>42</v>
      </c>
      <c r="J9">
        <f t="shared" si="2"/>
        <v>2</v>
      </c>
    </row>
    <row r="10" spans="1:17" x14ac:dyDescent="0.3">
      <c r="A10" t="s">
        <v>7</v>
      </c>
      <c r="B10" t="s">
        <v>1330</v>
      </c>
      <c r="C10" s="3">
        <f t="shared" si="0"/>
        <v>40</v>
      </c>
      <c r="D10">
        <v>30</v>
      </c>
      <c r="E10">
        <v>10</v>
      </c>
      <c r="F10">
        <v>10</v>
      </c>
      <c r="G10">
        <f t="shared" si="1"/>
        <v>10</v>
      </c>
      <c r="H10">
        <v>37</v>
      </c>
      <c r="I10">
        <v>33</v>
      </c>
      <c r="J10">
        <f t="shared" si="2"/>
        <v>4</v>
      </c>
    </row>
    <row r="11" spans="1:17" x14ac:dyDescent="0.3">
      <c r="A11" t="s">
        <v>8</v>
      </c>
      <c r="B11" t="s">
        <v>1331</v>
      </c>
      <c r="C11" s="3">
        <f t="shared" si="0"/>
        <v>38</v>
      </c>
      <c r="D11">
        <v>30</v>
      </c>
      <c r="E11">
        <v>10</v>
      </c>
      <c r="F11">
        <v>8</v>
      </c>
      <c r="G11">
        <f t="shared" si="1"/>
        <v>12</v>
      </c>
      <c r="H11">
        <v>41</v>
      </c>
      <c r="I11">
        <v>40</v>
      </c>
      <c r="J11">
        <f t="shared" si="2"/>
        <v>1</v>
      </c>
    </row>
    <row r="12" spans="1:17" x14ac:dyDescent="0.3">
      <c r="A12" t="s">
        <v>9</v>
      </c>
      <c r="B12" t="s">
        <v>1332</v>
      </c>
      <c r="C12" s="3">
        <f t="shared" si="0"/>
        <v>38</v>
      </c>
      <c r="D12">
        <v>30</v>
      </c>
      <c r="E12">
        <v>12</v>
      </c>
      <c r="F12">
        <v>2</v>
      </c>
      <c r="G12">
        <f t="shared" si="1"/>
        <v>16</v>
      </c>
      <c r="H12">
        <v>39</v>
      </c>
      <c r="I12">
        <v>45</v>
      </c>
      <c r="J12">
        <f t="shared" si="2"/>
        <v>-6</v>
      </c>
    </row>
    <row r="13" spans="1:17" x14ac:dyDescent="0.3">
      <c r="A13" t="s">
        <v>10</v>
      </c>
      <c r="B13" t="s">
        <v>1333</v>
      </c>
      <c r="C13" s="3">
        <f t="shared" si="0"/>
        <v>38</v>
      </c>
      <c r="D13">
        <v>30</v>
      </c>
      <c r="E13">
        <v>10</v>
      </c>
      <c r="F13">
        <v>8</v>
      </c>
      <c r="G13">
        <f t="shared" si="1"/>
        <v>12</v>
      </c>
      <c r="H13">
        <v>28</v>
      </c>
      <c r="I13">
        <v>37</v>
      </c>
      <c r="J13">
        <f t="shared" si="2"/>
        <v>-9</v>
      </c>
    </row>
    <row r="14" spans="1:17" x14ac:dyDescent="0.3">
      <c r="A14" t="s">
        <v>11</v>
      </c>
      <c r="B14" t="s">
        <v>1334</v>
      </c>
      <c r="C14" s="3">
        <f t="shared" si="0"/>
        <v>33</v>
      </c>
      <c r="D14">
        <v>30</v>
      </c>
      <c r="E14">
        <v>10</v>
      </c>
      <c r="F14">
        <v>3</v>
      </c>
      <c r="G14">
        <f t="shared" si="1"/>
        <v>17</v>
      </c>
      <c r="H14">
        <v>27</v>
      </c>
      <c r="I14">
        <v>41</v>
      </c>
      <c r="J14">
        <f t="shared" si="2"/>
        <v>-14</v>
      </c>
    </row>
    <row r="15" spans="1:17" x14ac:dyDescent="0.3">
      <c r="A15" t="s">
        <v>69</v>
      </c>
      <c r="B15" t="s">
        <v>1335</v>
      </c>
      <c r="C15" s="3">
        <f t="shared" si="0"/>
        <v>33</v>
      </c>
      <c r="D15">
        <v>30</v>
      </c>
      <c r="E15">
        <v>8</v>
      </c>
      <c r="F15">
        <v>9</v>
      </c>
      <c r="G15">
        <f t="shared" si="1"/>
        <v>13</v>
      </c>
      <c r="H15">
        <v>30</v>
      </c>
      <c r="I15">
        <v>51</v>
      </c>
      <c r="J15">
        <f t="shared" si="2"/>
        <v>-21</v>
      </c>
    </row>
    <row r="16" spans="1:17" x14ac:dyDescent="0.3">
      <c r="A16" t="s">
        <v>70</v>
      </c>
      <c r="B16" t="s">
        <v>1336</v>
      </c>
      <c r="C16" s="3">
        <f t="shared" si="0"/>
        <v>30</v>
      </c>
      <c r="D16">
        <v>30</v>
      </c>
      <c r="E16">
        <v>7</v>
      </c>
      <c r="F16">
        <v>9</v>
      </c>
      <c r="G16">
        <f t="shared" si="1"/>
        <v>14</v>
      </c>
      <c r="H16">
        <v>37</v>
      </c>
      <c r="I16">
        <v>51</v>
      </c>
      <c r="J16">
        <f t="shared" si="2"/>
        <v>-14</v>
      </c>
    </row>
    <row r="17" spans="1:10" x14ac:dyDescent="0.3">
      <c r="A17" t="s">
        <v>71</v>
      </c>
      <c r="B17" t="s">
        <v>1337</v>
      </c>
      <c r="C17" s="3">
        <f t="shared" si="0"/>
        <v>16</v>
      </c>
      <c r="D17">
        <v>30</v>
      </c>
      <c r="E17">
        <v>3</v>
      </c>
      <c r="F17">
        <v>7</v>
      </c>
      <c r="G17">
        <f t="shared" si="1"/>
        <v>20</v>
      </c>
      <c r="H17">
        <v>23</v>
      </c>
      <c r="I17">
        <v>58</v>
      </c>
      <c r="J17">
        <f t="shared" si="2"/>
        <v>-35</v>
      </c>
    </row>
    <row r="18" spans="1:10" x14ac:dyDescent="0.3">
      <c r="A18" t="s">
        <v>72</v>
      </c>
      <c r="B18" t="s">
        <v>1338</v>
      </c>
      <c r="C18" s="3">
        <f t="shared" si="0"/>
        <v>16</v>
      </c>
      <c r="D18">
        <v>30</v>
      </c>
      <c r="E18">
        <v>3</v>
      </c>
      <c r="F18">
        <v>7</v>
      </c>
      <c r="G18">
        <f t="shared" si="1"/>
        <v>20</v>
      </c>
      <c r="H18">
        <v>31</v>
      </c>
      <c r="I18">
        <v>74</v>
      </c>
      <c r="J18">
        <f t="shared" si="2"/>
        <v>-43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55</vt:i4>
      </vt:variant>
    </vt:vector>
  </HeadingPairs>
  <TitlesOfParts>
    <vt:vector size="55" baseType="lpstr">
      <vt:lpstr>Albânia</vt:lpstr>
      <vt:lpstr>Alemanha</vt:lpstr>
      <vt:lpstr>Andorra</vt:lpstr>
      <vt:lpstr>Armênia</vt:lpstr>
      <vt:lpstr>Áustria</vt:lpstr>
      <vt:lpstr>Azerbaijão</vt:lpstr>
      <vt:lpstr>Bélgica</vt:lpstr>
      <vt:lpstr>Bósnia</vt:lpstr>
      <vt:lpstr>Belarus</vt:lpstr>
      <vt:lpstr>Bulgária</vt:lpstr>
      <vt:lpstr>Cazaquistão</vt:lpstr>
      <vt:lpstr>Chipre</vt:lpstr>
      <vt:lpstr>Croácia</vt:lpstr>
      <vt:lpstr>Dinamarca</vt:lpstr>
      <vt:lpstr>Escócia</vt:lpstr>
      <vt:lpstr>Eslováquia</vt:lpstr>
      <vt:lpstr>Eslovênia</vt:lpstr>
      <vt:lpstr>Espanha</vt:lpstr>
      <vt:lpstr>Estônia</vt:lpstr>
      <vt:lpstr>França</vt:lpstr>
      <vt:lpstr>Finlândia</vt:lpstr>
      <vt:lpstr>Geórgia</vt:lpstr>
      <vt:lpstr>Gibraltar</vt:lpstr>
      <vt:lpstr>Grécia</vt:lpstr>
      <vt:lpstr>Holanda</vt:lpstr>
      <vt:lpstr>Hungria</vt:lpstr>
      <vt:lpstr>Ilhas Faroé</vt:lpstr>
      <vt:lpstr>Inglaterra</vt:lpstr>
      <vt:lpstr>Irlanda</vt:lpstr>
      <vt:lpstr>Irlanda do Norte</vt:lpstr>
      <vt:lpstr>Islândia</vt:lpstr>
      <vt:lpstr>Israel</vt:lpstr>
      <vt:lpstr>Itália</vt:lpstr>
      <vt:lpstr>Kosovo</vt:lpstr>
      <vt:lpstr>Letônia</vt:lpstr>
      <vt:lpstr>Liechtenstein</vt:lpstr>
      <vt:lpstr>Lituânia</vt:lpstr>
      <vt:lpstr>Luxemburgo</vt:lpstr>
      <vt:lpstr>Macedônia do Norte</vt:lpstr>
      <vt:lpstr>Malta</vt:lpstr>
      <vt:lpstr>Moldávia</vt:lpstr>
      <vt:lpstr>Montenegro</vt:lpstr>
      <vt:lpstr>Noruega</vt:lpstr>
      <vt:lpstr>País de Gales</vt:lpstr>
      <vt:lpstr>Polônia</vt:lpstr>
      <vt:lpstr>Portugal</vt:lpstr>
      <vt:lpstr>Romênia</vt:lpstr>
      <vt:lpstr>Rússia</vt:lpstr>
      <vt:lpstr>San Marino</vt:lpstr>
      <vt:lpstr>Sérvia</vt:lpstr>
      <vt:lpstr>Suécia</vt:lpstr>
      <vt:lpstr>Suíça</vt:lpstr>
      <vt:lpstr>Tchéquia</vt:lpstr>
      <vt:lpstr>Turquia</vt:lpstr>
      <vt:lpstr>Ucrânia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Estima</dc:creator>
  <cp:lastModifiedBy>Rafael Estima</cp:lastModifiedBy>
  <dcterms:created xsi:type="dcterms:W3CDTF">2025-11-21T22:23:57Z</dcterms:created>
  <dcterms:modified xsi:type="dcterms:W3CDTF">2026-07-26T05:08:22Z</dcterms:modified>
</cp:coreProperties>
</file>