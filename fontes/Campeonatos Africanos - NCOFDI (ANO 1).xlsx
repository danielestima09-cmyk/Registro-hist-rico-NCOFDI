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E823FDC9-A223-4F9B-92C1-8A2484F91980}" xr6:coauthVersionLast="47" xr6:coauthVersionMax="47" xr10:uidLastSave="{00000000-0000-0000-0000-000000000000}"/>
  <bookViews>
    <workbookView xWindow="-108" yWindow="-108" windowWidth="23256" windowHeight="13176" xr2:uid="{ED6E7A63-BE62-4DD8-8E95-983A2537C55F}"/>
  </bookViews>
  <sheets>
    <sheet name="África do Sul" sheetId="1" r:id="rId1"/>
    <sheet name="Angola" sheetId="2" r:id="rId2"/>
    <sheet name="Argélia" sheetId="3" r:id="rId3"/>
    <sheet name="Botswana" sheetId="4" r:id="rId4"/>
    <sheet name="Egito" sheetId="5" r:id="rId5"/>
    <sheet name="Gana" sheetId="6" r:id="rId6"/>
    <sheet name="Guiné" sheetId="7" r:id="rId7"/>
    <sheet name="Marrocos" sheetId="8" r:id="rId8"/>
    <sheet name="Nigéria" sheetId="9" r:id="rId9"/>
    <sheet name="Tanzânia" sheetId="10" r:id="rId10"/>
    <sheet name="Tunísia" sheetId="11" r:id="rId11"/>
    <sheet name="Zâmbia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2" l="1"/>
  <c r="G15" i="12"/>
  <c r="C15" i="12"/>
  <c r="J17" i="12"/>
  <c r="G17" i="12"/>
  <c r="C17" i="12"/>
  <c r="J18" i="12"/>
  <c r="G18" i="12"/>
  <c r="C18" i="12"/>
  <c r="J16" i="12"/>
  <c r="G16" i="12"/>
  <c r="C16" i="12"/>
  <c r="J20" i="12"/>
  <c r="G20" i="12"/>
  <c r="C20" i="12"/>
  <c r="J7" i="12"/>
  <c r="G7" i="12"/>
  <c r="C7" i="12"/>
  <c r="J19" i="12"/>
  <c r="G19" i="12"/>
  <c r="C19" i="12"/>
  <c r="J11" i="12"/>
  <c r="G11" i="12"/>
  <c r="C11" i="12"/>
  <c r="J13" i="12"/>
  <c r="G13" i="12"/>
  <c r="C13" i="12"/>
  <c r="J10" i="12"/>
  <c r="G10" i="12"/>
  <c r="C10" i="12"/>
  <c r="J14" i="12"/>
  <c r="G14" i="12"/>
  <c r="C14" i="12"/>
  <c r="J12" i="12"/>
  <c r="G12" i="12"/>
  <c r="C12" i="12"/>
  <c r="J6" i="12"/>
  <c r="G6" i="12"/>
  <c r="C6" i="12"/>
  <c r="J9" i="12"/>
  <c r="G9" i="12"/>
  <c r="C9" i="12"/>
  <c r="J5" i="12"/>
  <c r="G5" i="12"/>
  <c r="C5" i="12"/>
  <c r="J4" i="12"/>
  <c r="G4" i="12"/>
  <c r="C4" i="12"/>
  <c r="J8" i="12"/>
  <c r="G8" i="12"/>
  <c r="C8" i="12"/>
  <c r="J3" i="12"/>
  <c r="G3" i="12"/>
  <c r="C3" i="12"/>
  <c r="J12" i="11"/>
  <c r="G12" i="11"/>
  <c r="C12" i="11"/>
  <c r="J11" i="11"/>
  <c r="G11" i="11"/>
  <c r="C11" i="11"/>
  <c r="J18" i="11"/>
  <c r="G18" i="11"/>
  <c r="C18" i="11"/>
  <c r="J16" i="11"/>
  <c r="G16" i="11"/>
  <c r="C16" i="11"/>
  <c r="J15" i="11"/>
  <c r="G15" i="11"/>
  <c r="C15" i="11"/>
  <c r="J13" i="11"/>
  <c r="G13" i="11"/>
  <c r="C13" i="11"/>
  <c r="J10" i="11"/>
  <c r="G10" i="11"/>
  <c r="C10" i="11"/>
  <c r="J17" i="11"/>
  <c r="G17" i="11"/>
  <c r="C17" i="11"/>
  <c r="J8" i="11"/>
  <c r="G8" i="11"/>
  <c r="C8" i="11"/>
  <c r="J7" i="11"/>
  <c r="G7" i="11"/>
  <c r="C7" i="11"/>
  <c r="J14" i="11"/>
  <c r="G14" i="11"/>
  <c r="C14" i="11"/>
  <c r="J4" i="11"/>
  <c r="G4" i="11"/>
  <c r="C4" i="11"/>
  <c r="J9" i="11"/>
  <c r="G9" i="11"/>
  <c r="C9" i="11"/>
  <c r="J3" i="11"/>
  <c r="G3" i="11"/>
  <c r="C3" i="11"/>
  <c r="J6" i="11"/>
  <c r="G6" i="11"/>
  <c r="C6" i="11"/>
  <c r="J5" i="11"/>
  <c r="G5" i="11"/>
  <c r="C5" i="11"/>
  <c r="C4" i="10"/>
  <c r="J11" i="10"/>
  <c r="G11" i="10"/>
  <c r="C11" i="10"/>
  <c r="J9" i="10"/>
  <c r="G9" i="10"/>
  <c r="C9" i="10"/>
  <c r="J10" i="10"/>
  <c r="G10" i="10"/>
  <c r="C10" i="10"/>
  <c r="J18" i="10"/>
  <c r="G18" i="10"/>
  <c r="C18" i="10"/>
  <c r="J15" i="10"/>
  <c r="G15" i="10"/>
  <c r="C15" i="10"/>
  <c r="J7" i="10"/>
  <c r="G7" i="10"/>
  <c r="C7" i="10"/>
  <c r="J8" i="10"/>
  <c r="G8" i="10"/>
  <c r="C8" i="10"/>
  <c r="J5" i="10"/>
  <c r="G5" i="10"/>
  <c r="C5" i="10"/>
  <c r="J17" i="10"/>
  <c r="G17" i="10"/>
  <c r="C17" i="10"/>
  <c r="J13" i="10"/>
  <c r="G13" i="10"/>
  <c r="C13" i="10"/>
  <c r="J6" i="10"/>
  <c r="G6" i="10"/>
  <c r="C6" i="10"/>
  <c r="J3" i="10"/>
  <c r="G3" i="10"/>
  <c r="C3" i="10"/>
  <c r="J16" i="10"/>
  <c r="G16" i="10"/>
  <c r="C16" i="10"/>
  <c r="J12" i="10"/>
  <c r="G12" i="10"/>
  <c r="C12" i="10"/>
  <c r="J14" i="10"/>
  <c r="G14" i="10"/>
  <c r="C14" i="10"/>
  <c r="J4" i="10"/>
  <c r="G4" i="10"/>
  <c r="J22" i="9"/>
  <c r="G22" i="9"/>
  <c r="C22" i="9"/>
  <c r="J21" i="9"/>
  <c r="G21" i="9"/>
  <c r="C21" i="9"/>
  <c r="J20" i="9"/>
  <c r="G20" i="9"/>
  <c r="C20" i="9"/>
  <c r="J19" i="9"/>
  <c r="G19" i="9"/>
  <c r="C19" i="9"/>
  <c r="J18" i="9"/>
  <c r="G18" i="9"/>
  <c r="C18" i="9"/>
  <c r="J17" i="9"/>
  <c r="G17" i="9"/>
  <c r="C17" i="9"/>
  <c r="J16" i="9"/>
  <c r="G16" i="9"/>
  <c r="C16" i="9"/>
  <c r="J15" i="9"/>
  <c r="G15" i="9"/>
  <c r="C15" i="9"/>
  <c r="J14" i="9"/>
  <c r="G14" i="9"/>
  <c r="C14" i="9"/>
  <c r="J13" i="9"/>
  <c r="G13" i="9"/>
  <c r="C13" i="9"/>
  <c r="J12" i="9"/>
  <c r="G12" i="9"/>
  <c r="C12" i="9"/>
  <c r="J11" i="9"/>
  <c r="G11" i="9"/>
  <c r="C11" i="9"/>
  <c r="J10" i="9"/>
  <c r="G10" i="9"/>
  <c r="C10" i="9"/>
  <c r="J9" i="9"/>
  <c r="G9" i="9"/>
  <c r="C9" i="9"/>
  <c r="J8" i="9"/>
  <c r="G8" i="9"/>
  <c r="C8" i="9"/>
  <c r="J7" i="9"/>
  <c r="G7" i="9"/>
  <c r="C7" i="9"/>
  <c r="J6" i="9"/>
  <c r="G6" i="9"/>
  <c r="C6" i="9"/>
  <c r="J5" i="9"/>
  <c r="G5" i="9"/>
  <c r="C5" i="9"/>
  <c r="J4" i="9"/>
  <c r="G4" i="9"/>
  <c r="C4" i="9"/>
  <c r="J3" i="9"/>
  <c r="G3" i="9"/>
  <c r="C3" i="9"/>
  <c r="C18" i="8"/>
  <c r="C14" i="8"/>
  <c r="C9" i="8"/>
  <c r="C15" i="8"/>
  <c r="C11" i="8"/>
  <c r="C12" i="8"/>
  <c r="C10" i="8"/>
  <c r="C7" i="8"/>
  <c r="C17" i="8"/>
  <c r="C13" i="8"/>
  <c r="C8" i="8"/>
  <c r="C16" i="8"/>
  <c r="C4" i="8"/>
  <c r="C6" i="8"/>
  <c r="C5" i="8"/>
  <c r="C3" i="8"/>
  <c r="J18" i="8"/>
  <c r="G18" i="8"/>
  <c r="J14" i="8"/>
  <c r="G14" i="8"/>
  <c r="J9" i="8"/>
  <c r="G9" i="8"/>
  <c r="J15" i="8"/>
  <c r="G15" i="8"/>
  <c r="J11" i="8"/>
  <c r="G11" i="8"/>
  <c r="J12" i="8"/>
  <c r="G12" i="8"/>
  <c r="J10" i="8"/>
  <c r="G10" i="8"/>
  <c r="J7" i="8"/>
  <c r="G7" i="8"/>
  <c r="J17" i="8"/>
  <c r="G17" i="8"/>
  <c r="J13" i="8"/>
  <c r="G13" i="8"/>
  <c r="J8" i="8"/>
  <c r="G8" i="8"/>
  <c r="J16" i="8"/>
  <c r="G16" i="8"/>
  <c r="J4" i="8"/>
  <c r="G4" i="8"/>
  <c r="J6" i="8"/>
  <c r="G6" i="8"/>
  <c r="J5" i="8"/>
  <c r="G5" i="8"/>
  <c r="J3" i="8"/>
  <c r="G3" i="8"/>
  <c r="J16" i="7"/>
  <c r="G16" i="7"/>
  <c r="C16" i="7"/>
  <c r="J12" i="7"/>
  <c r="G12" i="7"/>
  <c r="C12" i="7"/>
  <c r="J13" i="7"/>
  <c r="G13" i="7"/>
  <c r="C13" i="7"/>
  <c r="J10" i="7"/>
  <c r="G10" i="7"/>
  <c r="C10" i="7"/>
  <c r="J15" i="7"/>
  <c r="G15" i="7"/>
  <c r="C15" i="7"/>
  <c r="J11" i="7"/>
  <c r="G11" i="7"/>
  <c r="C11" i="7"/>
  <c r="J8" i="7"/>
  <c r="G8" i="7"/>
  <c r="C8" i="7"/>
  <c r="J14" i="7"/>
  <c r="G14" i="7"/>
  <c r="C14" i="7"/>
  <c r="J7" i="7"/>
  <c r="G7" i="7"/>
  <c r="C7" i="7"/>
  <c r="J4" i="7"/>
  <c r="G4" i="7"/>
  <c r="C4" i="7"/>
  <c r="J3" i="7"/>
  <c r="G3" i="7"/>
  <c r="C3" i="7"/>
  <c r="J9" i="7"/>
  <c r="G9" i="7"/>
  <c r="C9" i="7"/>
  <c r="J5" i="7"/>
  <c r="G5" i="7"/>
  <c r="C5" i="7"/>
  <c r="J6" i="7"/>
  <c r="G6" i="7"/>
  <c r="C6" i="7"/>
  <c r="J19" i="6"/>
  <c r="J20" i="6"/>
  <c r="G19" i="6"/>
  <c r="G20" i="6"/>
  <c r="C19" i="6"/>
  <c r="C20" i="6"/>
  <c r="J18" i="6"/>
  <c r="G18" i="6"/>
  <c r="C18" i="6"/>
  <c r="J17" i="6"/>
  <c r="G17" i="6"/>
  <c r="C17" i="6"/>
  <c r="J16" i="6"/>
  <c r="G16" i="6"/>
  <c r="C16" i="6"/>
  <c r="J15" i="6"/>
  <c r="G15" i="6"/>
  <c r="C15" i="6"/>
  <c r="J14" i="6"/>
  <c r="G14" i="6"/>
  <c r="C14" i="6"/>
  <c r="J13" i="6"/>
  <c r="G13" i="6"/>
  <c r="C13" i="6"/>
  <c r="J12" i="6"/>
  <c r="G12" i="6"/>
  <c r="C12" i="6"/>
  <c r="J11" i="6"/>
  <c r="G11" i="6"/>
  <c r="C11" i="6"/>
  <c r="J10" i="6"/>
  <c r="G10" i="6"/>
  <c r="C10" i="6"/>
  <c r="J9" i="6"/>
  <c r="G9" i="6"/>
  <c r="C9" i="6"/>
  <c r="J8" i="6"/>
  <c r="G8" i="6"/>
  <c r="C8" i="6"/>
  <c r="J7" i="6"/>
  <c r="G7" i="6"/>
  <c r="C7" i="6"/>
  <c r="J6" i="6"/>
  <c r="G6" i="6"/>
  <c r="C6" i="6"/>
  <c r="J5" i="6"/>
  <c r="G5" i="6"/>
  <c r="C5" i="6"/>
  <c r="J4" i="6"/>
  <c r="G4" i="6"/>
  <c r="C4" i="6"/>
  <c r="J3" i="6"/>
  <c r="G3" i="6"/>
  <c r="C3" i="6"/>
  <c r="J32" i="5"/>
  <c r="G32" i="5"/>
  <c r="J33" i="5"/>
  <c r="G33" i="5"/>
  <c r="J29" i="5"/>
  <c r="G29" i="5"/>
  <c r="J30" i="5"/>
  <c r="G30" i="5"/>
  <c r="J31" i="5"/>
  <c r="G31" i="5"/>
  <c r="J27" i="5"/>
  <c r="G27" i="5"/>
  <c r="J28" i="5"/>
  <c r="G28" i="5"/>
  <c r="J19" i="5"/>
  <c r="J20" i="5"/>
  <c r="J21" i="5"/>
  <c r="J22" i="5"/>
  <c r="J23" i="5"/>
  <c r="G19" i="5"/>
  <c r="G20" i="5"/>
  <c r="G21" i="5"/>
  <c r="G22" i="5"/>
  <c r="G23" i="5"/>
  <c r="C19" i="5"/>
  <c r="C20" i="5"/>
  <c r="C21" i="5"/>
  <c r="C22" i="5"/>
  <c r="C23" i="5"/>
  <c r="J18" i="5"/>
  <c r="G18" i="5"/>
  <c r="C18" i="5"/>
  <c r="J17" i="5"/>
  <c r="G17" i="5"/>
  <c r="C17" i="5"/>
  <c r="J16" i="5"/>
  <c r="G16" i="5"/>
  <c r="C16" i="5"/>
  <c r="J15" i="5"/>
  <c r="G15" i="5"/>
  <c r="C15" i="5"/>
  <c r="J14" i="5"/>
  <c r="G14" i="5"/>
  <c r="C14" i="5"/>
  <c r="J13" i="5"/>
  <c r="G13" i="5"/>
  <c r="C13" i="5"/>
  <c r="J12" i="5"/>
  <c r="G12" i="5"/>
  <c r="C12" i="5"/>
  <c r="J11" i="5"/>
  <c r="G11" i="5"/>
  <c r="C11" i="5"/>
  <c r="J10" i="5"/>
  <c r="G10" i="5"/>
  <c r="C10" i="5"/>
  <c r="J9" i="5"/>
  <c r="G9" i="5"/>
  <c r="C9" i="5"/>
  <c r="J8" i="5"/>
  <c r="G8" i="5"/>
  <c r="C8" i="5"/>
  <c r="J7" i="5"/>
  <c r="G7" i="5"/>
  <c r="C7" i="5"/>
  <c r="J6" i="5"/>
  <c r="G6" i="5"/>
  <c r="C6" i="5"/>
  <c r="J5" i="5"/>
  <c r="G5" i="5"/>
  <c r="C5" i="5"/>
  <c r="J4" i="5"/>
  <c r="G4" i="5"/>
  <c r="C4" i="5"/>
  <c r="J3" i="5"/>
  <c r="G3" i="5"/>
  <c r="C3" i="5"/>
  <c r="C4" i="4"/>
  <c r="J18" i="4"/>
  <c r="G18" i="4"/>
  <c r="C18" i="4"/>
  <c r="J17" i="4"/>
  <c r="G17" i="4"/>
  <c r="C17" i="4"/>
  <c r="J16" i="4"/>
  <c r="G16" i="4"/>
  <c r="C16" i="4"/>
  <c r="J10" i="4"/>
  <c r="G10" i="4"/>
  <c r="C10" i="4"/>
  <c r="J12" i="4"/>
  <c r="G12" i="4"/>
  <c r="C12" i="4"/>
  <c r="J15" i="4"/>
  <c r="G15" i="4"/>
  <c r="C15" i="4"/>
  <c r="J14" i="4"/>
  <c r="G14" i="4"/>
  <c r="C14" i="4"/>
  <c r="J11" i="4"/>
  <c r="G11" i="4"/>
  <c r="C11" i="4"/>
  <c r="J6" i="4"/>
  <c r="G6" i="4"/>
  <c r="C6" i="4"/>
  <c r="J13" i="4"/>
  <c r="G13" i="4"/>
  <c r="C13" i="4"/>
  <c r="J3" i="4"/>
  <c r="G3" i="4"/>
  <c r="C3" i="4"/>
  <c r="J9" i="4"/>
  <c r="G9" i="4"/>
  <c r="C9" i="4"/>
  <c r="J7" i="4"/>
  <c r="G7" i="4"/>
  <c r="C7" i="4"/>
  <c r="J8" i="4"/>
  <c r="G8" i="4"/>
  <c r="C8" i="4"/>
  <c r="J5" i="4"/>
  <c r="G5" i="4"/>
  <c r="C5" i="4"/>
  <c r="J4" i="4"/>
  <c r="G4" i="4"/>
  <c r="J18" i="3"/>
  <c r="G18" i="3"/>
  <c r="C18" i="3"/>
  <c r="J17" i="3"/>
  <c r="G17" i="3"/>
  <c r="C17" i="3"/>
  <c r="J12" i="3"/>
  <c r="G12" i="3"/>
  <c r="C12" i="3"/>
  <c r="J10" i="3"/>
  <c r="G10" i="3"/>
  <c r="C10" i="3"/>
  <c r="J13" i="3"/>
  <c r="G13" i="3"/>
  <c r="C13" i="3"/>
  <c r="J14" i="3"/>
  <c r="G14" i="3"/>
  <c r="C14" i="3"/>
  <c r="J9" i="3"/>
  <c r="G9" i="3"/>
  <c r="C9" i="3"/>
  <c r="J11" i="3"/>
  <c r="G11" i="3"/>
  <c r="C11" i="3"/>
  <c r="J8" i="3"/>
  <c r="G8" i="3"/>
  <c r="C8" i="3"/>
  <c r="J5" i="3"/>
  <c r="G5" i="3"/>
  <c r="C5" i="3"/>
  <c r="J3" i="3"/>
  <c r="G3" i="3"/>
  <c r="C3" i="3"/>
  <c r="J16" i="3"/>
  <c r="G16" i="3"/>
  <c r="C16" i="3"/>
  <c r="J7" i="3"/>
  <c r="G7" i="3"/>
  <c r="C7" i="3"/>
  <c r="J15" i="3"/>
  <c r="G15" i="3"/>
  <c r="C15" i="3"/>
  <c r="J4" i="3"/>
  <c r="G4" i="3"/>
  <c r="C4" i="3"/>
  <c r="J6" i="3"/>
  <c r="G6" i="3"/>
  <c r="C6" i="3"/>
  <c r="C18" i="2"/>
  <c r="C17" i="2"/>
  <c r="C12" i="2"/>
  <c r="C15" i="2"/>
  <c r="C6" i="2"/>
  <c r="C8" i="2"/>
  <c r="C16" i="2"/>
  <c r="C11" i="2"/>
  <c r="C4" i="2"/>
  <c r="C9" i="2"/>
  <c r="C7" i="2"/>
  <c r="C14" i="2"/>
  <c r="C13" i="2"/>
  <c r="C5" i="2"/>
  <c r="C10" i="2"/>
  <c r="C3" i="2"/>
  <c r="J18" i="2"/>
  <c r="G18" i="2"/>
  <c r="J17" i="2"/>
  <c r="G17" i="2"/>
  <c r="J12" i="2"/>
  <c r="G12" i="2"/>
  <c r="J15" i="2"/>
  <c r="G15" i="2"/>
  <c r="J6" i="2"/>
  <c r="G6" i="2"/>
  <c r="J8" i="2"/>
  <c r="G8" i="2"/>
  <c r="J16" i="2"/>
  <c r="G16" i="2"/>
  <c r="J11" i="2"/>
  <c r="G11" i="2"/>
  <c r="J4" i="2"/>
  <c r="G4" i="2"/>
  <c r="J9" i="2"/>
  <c r="G9" i="2"/>
  <c r="J7" i="2"/>
  <c r="G7" i="2"/>
  <c r="J14" i="2"/>
  <c r="G14" i="2"/>
  <c r="J13" i="2"/>
  <c r="G13" i="2"/>
  <c r="J5" i="2"/>
  <c r="G5" i="2"/>
  <c r="J10" i="2"/>
  <c r="G10" i="2"/>
  <c r="J3" i="2"/>
  <c r="G3" i="2"/>
  <c r="C18" i="1"/>
  <c r="C12" i="1"/>
  <c r="C13" i="1"/>
  <c r="C17" i="1"/>
  <c r="C11" i="1"/>
  <c r="C16" i="1"/>
  <c r="C15" i="1"/>
  <c r="C9" i="1"/>
  <c r="C4" i="1"/>
  <c r="C10" i="1"/>
  <c r="C8" i="1"/>
  <c r="C6" i="1"/>
  <c r="C14" i="1"/>
  <c r="C5" i="1"/>
  <c r="C3" i="1"/>
  <c r="C7" i="1"/>
  <c r="J18" i="1"/>
  <c r="G18" i="1"/>
  <c r="J12" i="1"/>
  <c r="G12" i="1"/>
  <c r="J13" i="1"/>
  <c r="G13" i="1"/>
  <c r="J17" i="1"/>
  <c r="G17" i="1"/>
  <c r="J11" i="1"/>
  <c r="G11" i="1"/>
  <c r="J16" i="1"/>
  <c r="G16" i="1"/>
  <c r="J15" i="1"/>
  <c r="G15" i="1"/>
  <c r="J9" i="1"/>
  <c r="G9" i="1"/>
  <c r="J4" i="1"/>
  <c r="G4" i="1"/>
  <c r="J10" i="1"/>
  <c r="G10" i="1"/>
  <c r="J8" i="1"/>
  <c r="G8" i="1"/>
  <c r="J6" i="1"/>
  <c r="G6" i="1"/>
  <c r="J14" i="1"/>
  <c r="G14" i="1"/>
  <c r="J5" i="1"/>
  <c r="G5" i="1"/>
  <c r="J3" i="1"/>
  <c r="G3" i="1"/>
  <c r="J7" i="1"/>
  <c r="G7" i="1"/>
</calcChain>
</file>

<file path=xl/sharedStrings.xml><?xml version="1.0" encoding="utf-8"?>
<sst xmlns="http://schemas.openxmlformats.org/spreadsheetml/2006/main" count="1039" uniqueCount="297">
  <si>
    <t>South African Premier Division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</si>
  <si>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</si>
  <si>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</si>
  <si>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</si>
  <si>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</si>
  <si>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</si>
  <si>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</si>
  <si>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</si>
  <si>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</si>
  <si>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</si>
  <si>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</si>
  <si>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</si>
  <si>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</si>
  <si>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</si>
  <si>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</si>
  <si>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</si>
  <si>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</si>
  <si>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</si>
  <si>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</si>
  <si>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</si>
  <si>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</si>
  <si>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</si>
  <si>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</si>
  <si>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</si>
  <si>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</si>
  <si>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</si>
  <si>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</si>
  <si>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Orlando Pirates</t>
  </si>
  <si>
    <t>Mamelodi Sundowns</t>
  </si>
  <si>
    <t>Sekhukhune</t>
  </si>
  <si>
    <t>Kaizer Chiefs</t>
  </si>
  <si>
    <t>Amazulu</t>
  </si>
  <si>
    <t>Polokwane</t>
  </si>
  <si>
    <t>Durban City</t>
  </si>
  <si>
    <t>TS Galaxy</t>
  </si>
  <si>
    <t>Richards Bay</t>
  </si>
  <si>
    <t>Golden Arrows</t>
  </si>
  <si>
    <t>Siwelele</t>
  </si>
  <si>
    <t>Marumo Gallants</t>
  </si>
  <si>
    <t>Orbit College</t>
  </si>
  <si>
    <t>Stellenbosch</t>
  </si>
  <si>
    <t>Magesi</t>
  </si>
  <si>
    <t>Chippa United</t>
  </si>
  <si>
    <t>2x1</t>
  </si>
  <si>
    <t>0x1</t>
  </si>
  <si>
    <t>1x0</t>
  </si>
  <si>
    <t>0x2</t>
  </si>
  <si>
    <t>2x0</t>
  </si>
  <si>
    <t>3x1</t>
  </si>
  <si>
    <t>1x4</t>
  </si>
  <si>
    <t>1x3</t>
  </si>
  <si>
    <t>Nedbank Cup</t>
  </si>
  <si>
    <t>Oitavas de final</t>
  </si>
  <si>
    <t>Quartas de final</t>
  </si>
  <si>
    <t>0x0 (4x2)</t>
  </si>
  <si>
    <t>Semifinal</t>
  </si>
  <si>
    <t>Final</t>
  </si>
  <si>
    <t>Campeões</t>
  </si>
  <si>
    <t>Girabola</t>
  </si>
  <si>
    <t>Petro de Luanda</t>
  </si>
  <si>
    <t>1o de Agosto</t>
  </si>
  <si>
    <t>Wiliete</t>
  </si>
  <si>
    <t>Libolo</t>
  </si>
  <si>
    <t>Bravos do Maquis</t>
  </si>
  <si>
    <t>Lunda Sul</t>
  </si>
  <si>
    <t>1o de Maio</t>
  </si>
  <si>
    <t>Kabuscorp</t>
  </si>
  <si>
    <t>Redonda</t>
  </si>
  <si>
    <t>Académica do Lobito</t>
  </si>
  <si>
    <t>Sagrada Esperança</t>
  </si>
  <si>
    <t>Luanda City</t>
  </si>
  <si>
    <t>Interclube</t>
  </si>
  <si>
    <t>São Salvador</t>
  </si>
  <si>
    <t>Guelson</t>
  </si>
  <si>
    <t>Huíla</t>
  </si>
  <si>
    <t>2x3</t>
  </si>
  <si>
    <t>4x0</t>
  </si>
  <si>
    <t>Taça de Angola</t>
  </si>
  <si>
    <t>1x1 (2x4)</t>
  </si>
  <si>
    <t>0x0 (2x4)</t>
  </si>
  <si>
    <t>0x0 (4x5)</t>
  </si>
  <si>
    <t>1x1 (4x2)</t>
  </si>
  <si>
    <t>Algerian Ligue 1</t>
  </si>
  <si>
    <t>MC Alger</t>
  </si>
  <si>
    <t>USM Alger</t>
  </si>
  <si>
    <t>JS Saoura</t>
  </si>
  <si>
    <t>Olympique Akbou</t>
  </si>
  <si>
    <t>MC Oran</t>
  </si>
  <si>
    <t>Belouizdad</t>
  </si>
  <si>
    <t>USM Khenchela</t>
  </si>
  <si>
    <t>Ben Aknoun</t>
  </si>
  <si>
    <t>CS Constantine</t>
  </si>
  <si>
    <t>JS Kabylie</t>
  </si>
  <si>
    <t>Paradou</t>
  </si>
  <si>
    <t>MB Rouissat</t>
  </si>
  <si>
    <t>ES Sétif</t>
  </si>
  <si>
    <t>ASO Chlef</t>
  </si>
  <si>
    <t>Mostaganem</t>
  </si>
  <si>
    <t>MC El Bayadh</t>
  </si>
  <si>
    <t>Algerian Cup</t>
  </si>
  <si>
    <t>Fase preliminar</t>
  </si>
  <si>
    <t>1x1 (5x4)</t>
  </si>
  <si>
    <t>0x0 (5x6)</t>
  </si>
  <si>
    <t>Botswana Premier League</t>
  </si>
  <si>
    <t>Nico United</t>
  </si>
  <si>
    <t>Sua Flamingoes</t>
  </si>
  <si>
    <t>Mochudi</t>
  </si>
  <si>
    <t>Township Rollers</t>
  </si>
  <si>
    <t>Morupule Wanderers</t>
  </si>
  <si>
    <t>Orapa United</t>
  </si>
  <si>
    <t>Black Lions</t>
  </si>
  <si>
    <t>Matebele</t>
  </si>
  <si>
    <t>Tafic</t>
  </si>
  <si>
    <t>Santa Green</t>
  </si>
  <si>
    <t>Extension Gunners</t>
  </si>
  <si>
    <t>Calendar Stars</t>
  </si>
  <si>
    <t>Gaborone United</t>
  </si>
  <si>
    <t>Botswana Police</t>
  </si>
  <si>
    <t>Defence Force</t>
  </si>
  <si>
    <t>Jwaneng Galaxy</t>
  </si>
  <si>
    <t>Campeão</t>
  </si>
  <si>
    <t>Egyptian Premier League</t>
  </si>
  <si>
    <t>17.</t>
  </si>
  <si>
    <t>18.</t>
  </si>
  <si>
    <t>19.</t>
  </si>
  <si>
    <t>20.</t>
  </si>
  <si>
    <t>21.</t>
  </si>
  <si>
    <t>Pyramids</t>
  </si>
  <si>
    <t>Ceramica Cleopatra</t>
  </si>
  <si>
    <t>ENPPI</t>
  </si>
  <si>
    <t>Al Ahly</t>
  </si>
  <si>
    <t>Petrojet</t>
  </si>
  <si>
    <t>Zamalek</t>
  </si>
  <si>
    <t>Al Masry</t>
  </si>
  <si>
    <t>Wadi Degla</t>
  </si>
  <si>
    <t>Modern SC</t>
  </si>
  <si>
    <t>Ghazl El Mahalla</t>
  </si>
  <si>
    <t>ZED</t>
  </si>
  <si>
    <t>Smouha SC</t>
  </si>
  <si>
    <t>National Bank</t>
  </si>
  <si>
    <t>El Gouna</t>
  </si>
  <si>
    <t>Haras El Hodoud</t>
  </si>
  <si>
    <t>Tala'ea El Gaish</t>
  </si>
  <si>
    <t>Al Mokawloon</t>
  </si>
  <si>
    <t>Pharco</t>
  </si>
  <si>
    <t>Ismaily</t>
  </si>
  <si>
    <t>Al Ittihad</t>
  </si>
  <si>
    <t>Ismailia</t>
  </si>
  <si>
    <t>Championship round</t>
  </si>
  <si>
    <t>Egypt Cup</t>
  </si>
  <si>
    <t>1x2</t>
  </si>
  <si>
    <t>3x0</t>
  </si>
  <si>
    <t>1x1 (5x3)</t>
  </si>
  <si>
    <t>Ghana Premier League</t>
  </si>
  <si>
    <t>Medeama</t>
  </si>
  <si>
    <t>Asante Kotoko</t>
  </si>
  <si>
    <t>Hearts of Oak</t>
  </si>
  <si>
    <t>Heart of Lions</t>
  </si>
  <si>
    <t>Karela United</t>
  </si>
  <si>
    <t>Aduana Stars</t>
  </si>
  <si>
    <t>Berekum Chelsea</t>
  </si>
  <si>
    <t>Nations FC</t>
  </si>
  <si>
    <t>Bibiani Gold Stars</t>
  </si>
  <si>
    <t>Swedru All Blacks</t>
  </si>
  <si>
    <t>Samartex</t>
  </si>
  <si>
    <t>Vision FC</t>
  </si>
  <si>
    <t>Dreams FC</t>
  </si>
  <si>
    <t>Basake Holy Stars</t>
  </si>
  <si>
    <t>Hohoe United</t>
  </si>
  <si>
    <t>Bechem United</t>
  </si>
  <si>
    <t>Young Apostles</t>
  </si>
  <si>
    <t>Eleven Wonders</t>
  </si>
  <si>
    <t>Ghana FA Cup</t>
  </si>
  <si>
    <t>2x4</t>
  </si>
  <si>
    <t>4x2</t>
  </si>
  <si>
    <t>2x2 (1x4)</t>
  </si>
  <si>
    <t>2x2 (3x2)</t>
  </si>
  <si>
    <t>3x3 (5x6)</t>
  </si>
  <si>
    <t>Milo FC</t>
  </si>
  <si>
    <t>Horoya</t>
  </si>
  <si>
    <t>Hafia</t>
  </si>
  <si>
    <t>ASFAG</t>
  </si>
  <si>
    <t>Renaissance</t>
  </si>
  <si>
    <t>Wakriya</t>
  </si>
  <si>
    <t>Foot Elite</t>
  </si>
  <si>
    <t>Karfamoriah</t>
  </si>
  <si>
    <t>Loubha</t>
  </si>
  <si>
    <t>RCC Kamsar</t>
  </si>
  <si>
    <t>Ashanti Golden Boys</t>
  </si>
  <si>
    <t>Ligue 1</t>
  </si>
  <si>
    <t>AS Kaloum</t>
  </si>
  <si>
    <t>CI Kamsar</t>
  </si>
  <si>
    <t>ASM Sangarédi</t>
  </si>
  <si>
    <t>Botola Pro</t>
  </si>
  <si>
    <t>Union de Touarga</t>
  </si>
  <si>
    <t>DHJ</t>
  </si>
  <si>
    <t>Maghreb de Fès</t>
  </si>
  <si>
    <t>Olympic Safi</t>
  </si>
  <si>
    <t>Olympique Dcheira</t>
  </si>
  <si>
    <t>USYM</t>
  </si>
  <si>
    <t>Hassania Agadir</t>
  </si>
  <si>
    <t>Raja Casablanca</t>
  </si>
  <si>
    <t>CODM</t>
  </si>
  <si>
    <t>FUS</t>
  </si>
  <si>
    <t>RS Berkane</t>
  </si>
  <si>
    <t>KACM</t>
  </si>
  <si>
    <t>ASFAR</t>
  </si>
  <si>
    <t>IR Tanger</t>
  </si>
  <si>
    <t>Renassaince Zemamra</t>
  </si>
  <si>
    <t>Coupe du Trône</t>
  </si>
  <si>
    <t>Wydad</t>
  </si>
  <si>
    <t>1x1 (4x3)</t>
  </si>
  <si>
    <t>2x2 (6x5)</t>
  </si>
  <si>
    <t>2x2 (4x3)</t>
  </si>
  <si>
    <t>1x1 (3x2)</t>
  </si>
  <si>
    <t>Nigeria Premier Football League</t>
  </si>
  <si>
    <t>Nasarawa United</t>
  </si>
  <si>
    <t>Abia Warriors</t>
  </si>
  <si>
    <t>Enyimba</t>
  </si>
  <si>
    <t>Shooting Stars</t>
  </si>
  <si>
    <t>Rivers United</t>
  </si>
  <si>
    <t>Remo Stars</t>
  </si>
  <si>
    <t>Ikorodu City</t>
  </si>
  <si>
    <t>Bayelsa United</t>
  </si>
  <si>
    <t>Niger Tornadoes</t>
  </si>
  <si>
    <t>Rangers</t>
  </si>
  <si>
    <t>Wikki Tourists</t>
  </si>
  <si>
    <t>Barau FC</t>
  </si>
  <si>
    <t>Kwara United</t>
  </si>
  <si>
    <t>El Kanemi Warriors</t>
  </si>
  <si>
    <t>Bendel Insurance</t>
  </si>
  <si>
    <t>Warri Wolves</t>
  </si>
  <si>
    <t>Plateau United</t>
  </si>
  <si>
    <t>Katsina United</t>
  </si>
  <si>
    <t>Kun Khalifat</t>
  </si>
  <si>
    <t>Kano Pillars</t>
  </si>
  <si>
    <t>Federation Cup</t>
  </si>
  <si>
    <t>1x1 (5x6)</t>
  </si>
  <si>
    <t>0x0 (9x10)</t>
  </si>
  <si>
    <t>0x4</t>
  </si>
  <si>
    <t>Tanzanian Premier League</t>
  </si>
  <si>
    <t>Singida Black Stars</t>
  </si>
  <si>
    <t>Mtibwa Sugar</t>
  </si>
  <si>
    <t>KMC</t>
  </si>
  <si>
    <t>Mbeya City</t>
  </si>
  <si>
    <t>Namungo</t>
  </si>
  <si>
    <t>TRA United</t>
  </si>
  <si>
    <t>Coastal Union</t>
  </si>
  <si>
    <t>Simba</t>
  </si>
  <si>
    <t>Tanzania Prisons</t>
  </si>
  <si>
    <t>Pamba Jiji</t>
  </si>
  <si>
    <t>Singida Fountain Gate</t>
  </si>
  <si>
    <t>Dodoma Jiji</t>
  </si>
  <si>
    <t>Azam</t>
  </si>
  <si>
    <t>JKT Tanzania</t>
  </si>
  <si>
    <t>Mashujaa</t>
  </si>
  <si>
    <t>1x1 (4x5)</t>
  </si>
  <si>
    <t>1x1 (9x8)</t>
  </si>
  <si>
    <t>Young Africans</t>
  </si>
  <si>
    <t>Tunisian League Professionnelle 1</t>
  </si>
  <si>
    <t>Espérance</t>
  </si>
  <si>
    <t>Club Africain</t>
  </si>
  <si>
    <t>Stade Tunisien</t>
  </si>
  <si>
    <t>Sfaxien</t>
  </si>
  <si>
    <t>Monastir</t>
  </si>
  <si>
    <t>Zarzis</t>
  </si>
  <si>
    <t>Métlaoui</t>
  </si>
  <si>
    <t>Étoile du Sahel</t>
  </si>
  <si>
    <t>Marsa</t>
  </si>
  <si>
    <t>Ben Guerdane</t>
  </si>
  <si>
    <t>Bizertin</t>
  </si>
  <si>
    <t>JS Omrane</t>
  </si>
  <si>
    <t>Kairouanaise</t>
  </si>
  <si>
    <t>AS Soliman</t>
  </si>
  <si>
    <t>Béja</t>
  </si>
  <si>
    <t>AS Gabès</t>
  </si>
  <si>
    <t>Coupe de Tunisie</t>
  </si>
  <si>
    <t>0x0 (6x5)</t>
  </si>
  <si>
    <t>Zambia Super League</t>
  </si>
  <si>
    <t>Red Arrows</t>
  </si>
  <si>
    <t>Zanaco</t>
  </si>
  <si>
    <t>Power Dynamos</t>
  </si>
  <si>
    <t>Nchanga Rangers</t>
  </si>
  <si>
    <t>Maestro United</t>
  </si>
  <si>
    <t>Kabwe Warriors</t>
  </si>
  <si>
    <t>Mufulira Wanderers</t>
  </si>
  <si>
    <t>Zesco United</t>
  </si>
  <si>
    <t>Green Eagles</t>
  </si>
  <si>
    <t>Green Buffaloes</t>
  </si>
  <si>
    <t>Konkola Blades</t>
  </si>
  <si>
    <t>Napsa Stars</t>
  </si>
  <si>
    <t>Nkwazi</t>
  </si>
  <si>
    <t>Prison Leopards</t>
  </si>
  <si>
    <t>Kanshanshi Dynamos</t>
  </si>
  <si>
    <t>Mutondo Stars</t>
  </si>
  <si>
    <t>Nkana</t>
  </si>
  <si>
    <t>Mines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</si>
</sst>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453D-44B8-45E8-9590-60DF64274E33}">
  <dimension ref="A1:R23"/>
  <sheetViews>
    <sheetView tabSelected="1" workbookViewId="0">
      <selection sqref="A1:N22"/>
    </sheetView>
  </sheetViews>
  <sheetFormatPr defaultRowHeight="14.4" x14ac:dyDescent="0.3"/>
  <sheetData>
    <row r="1" spans="1:18" x14ac:dyDescent="0.3">
      <c r="A1" t="s">
        <v>0</v>
      </c>
      <c r="L1" t="s">
        <v>51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52</v>
      </c>
      <c r="Q2" t="s">
        <v>28</v>
      </c>
      <c r="R2">
        <v>19</v>
      </c>
    </row>
    <row r="3" spans="1:18" x14ac:dyDescent="0.3">
      <c r="A3" s="3" t="s">
        <v>11</v>
      </c>
      <c r="B3" t="s">
        <v>28</v>
      </c>
      <c r="C3" s="1">
        <f t="shared" ref="C3:C18" si="0">E3*3+F3</f>
        <v>47</v>
      </c>
      <c r="D3">
        <v>30</v>
      </c>
      <c r="E3">
        <v>12</v>
      </c>
      <c r="F3">
        <v>11</v>
      </c>
      <c r="G3">
        <f t="shared" ref="G3:G18" si="1">D3-E3-F3</f>
        <v>7</v>
      </c>
      <c r="H3">
        <v>38</v>
      </c>
      <c r="I3">
        <v>24</v>
      </c>
      <c r="J3">
        <f t="shared" ref="J3:J18" si="2">H3-I3</f>
        <v>14</v>
      </c>
      <c r="L3" t="s">
        <v>27</v>
      </c>
      <c r="M3" t="s">
        <v>46</v>
      </c>
      <c r="N3" t="s">
        <v>28</v>
      </c>
      <c r="Q3" t="s">
        <v>30</v>
      </c>
      <c r="R3">
        <v>15</v>
      </c>
    </row>
    <row r="4" spans="1:18" x14ac:dyDescent="0.3">
      <c r="A4" s="3" t="s">
        <v>12</v>
      </c>
      <c r="B4" t="s">
        <v>34</v>
      </c>
      <c r="C4" s="1">
        <f t="shared" si="0"/>
        <v>47</v>
      </c>
      <c r="D4">
        <v>30</v>
      </c>
      <c r="E4">
        <v>13</v>
      </c>
      <c r="F4">
        <v>8</v>
      </c>
      <c r="G4">
        <f t="shared" si="1"/>
        <v>9</v>
      </c>
      <c r="H4">
        <v>32</v>
      </c>
      <c r="I4">
        <v>26</v>
      </c>
      <c r="J4">
        <f t="shared" si="2"/>
        <v>6</v>
      </c>
      <c r="L4" t="s">
        <v>35</v>
      </c>
      <c r="M4" t="s">
        <v>45</v>
      </c>
      <c r="N4" t="s">
        <v>40</v>
      </c>
    </row>
    <row r="5" spans="1:18" x14ac:dyDescent="0.3">
      <c r="A5" s="4" t="s">
        <v>13</v>
      </c>
      <c r="B5" t="s">
        <v>29</v>
      </c>
      <c r="C5" s="1">
        <f t="shared" si="0"/>
        <v>46</v>
      </c>
      <c r="D5">
        <v>30</v>
      </c>
      <c r="E5">
        <v>12</v>
      </c>
      <c r="F5">
        <v>10</v>
      </c>
      <c r="G5">
        <f t="shared" si="1"/>
        <v>8</v>
      </c>
      <c r="H5">
        <v>30</v>
      </c>
      <c r="I5">
        <v>20</v>
      </c>
      <c r="J5">
        <f t="shared" si="2"/>
        <v>10</v>
      </c>
      <c r="L5" t="s">
        <v>33</v>
      </c>
      <c r="M5" t="s">
        <v>43</v>
      </c>
      <c r="N5" t="s">
        <v>34</v>
      </c>
    </row>
    <row r="6" spans="1:18" x14ac:dyDescent="0.3">
      <c r="A6" t="s">
        <v>14</v>
      </c>
      <c r="B6" t="s">
        <v>31</v>
      </c>
      <c r="C6" s="1">
        <f t="shared" si="0"/>
        <v>46</v>
      </c>
      <c r="D6">
        <v>30</v>
      </c>
      <c r="E6">
        <v>14</v>
      </c>
      <c r="F6">
        <v>4</v>
      </c>
      <c r="G6">
        <f t="shared" si="1"/>
        <v>12</v>
      </c>
      <c r="H6">
        <v>27</v>
      </c>
      <c r="I6">
        <v>33</v>
      </c>
      <c r="J6">
        <f t="shared" si="2"/>
        <v>-6</v>
      </c>
      <c r="L6" t="s">
        <v>41</v>
      </c>
      <c r="M6" t="s">
        <v>43</v>
      </c>
      <c r="N6" t="s">
        <v>36</v>
      </c>
    </row>
    <row r="7" spans="1:18" x14ac:dyDescent="0.3">
      <c r="A7" t="s">
        <v>15</v>
      </c>
      <c r="B7" t="s">
        <v>27</v>
      </c>
      <c r="C7" s="1">
        <f t="shared" si="0"/>
        <v>43</v>
      </c>
      <c r="D7">
        <v>30</v>
      </c>
      <c r="E7">
        <v>12</v>
      </c>
      <c r="F7">
        <v>7</v>
      </c>
      <c r="G7">
        <f t="shared" si="1"/>
        <v>11</v>
      </c>
      <c r="H7">
        <v>28</v>
      </c>
      <c r="I7">
        <v>23</v>
      </c>
      <c r="J7">
        <f t="shared" si="2"/>
        <v>5</v>
      </c>
      <c r="L7" t="s">
        <v>31</v>
      </c>
      <c r="M7" t="s">
        <v>54</v>
      </c>
      <c r="N7" t="s">
        <v>32</v>
      </c>
    </row>
    <row r="8" spans="1:18" x14ac:dyDescent="0.3">
      <c r="A8" t="s">
        <v>16</v>
      </c>
      <c r="B8" t="s">
        <v>32</v>
      </c>
      <c r="C8" s="1">
        <f t="shared" si="0"/>
        <v>43</v>
      </c>
      <c r="D8">
        <v>30</v>
      </c>
      <c r="E8">
        <v>11</v>
      </c>
      <c r="F8">
        <v>10</v>
      </c>
      <c r="G8">
        <f t="shared" si="1"/>
        <v>9</v>
      </c>
      <c r="H8">
        <v>27</v>
      </c>
      <c r="I8">
        <v>24</v>
      </c>
      <c r="J8">
        <f t="shared" si="2"/>
        <v>3</v>
      </c>
      <c r="L8" t="s">
        <v>42</v>
      </c>
      <c r="M8" t="s">
        <v>44</v>
      </c>
      <c r="N8" t="s">
        <v>37</v>
      </c>
    </row>
    <row r="9" spans="1:18" x14ac:dyDescent="0.3">
      <c r="A9" t="s">
        <v>17</v>
      </c>
      <c r="B9" t="s">
        <v>35</v>
      </c>
      <c r="C9" s="1">
        <f t="shared" si="0"/>
        <v>43</v>
      </c>
      <c r="D9">
        <v>30</v>
      </c>
      <c r="E9">
        <v>11</v>
      </c>
      <c r="F9">
        <v>10</v>
      </c>
      <c r="G9">
        <f t="shared" si="1"/>
        <v>9</v>
      </c>
      <c r="H9">
        <v>26</v>
      </c>
      <c r="I9">
        <v>23</v>
      </c>
      <c r="J9">
        <f t="shared" si="2"/>
        <v>3</v>
      </c>
      <c r="L9" t="s">
        <v>39</v>
      </c>
      <c r="M9" t="s">
        <v>49</v>
      </c>
      <c r="N9" t="s">
        <v>38</v>
      </c>
    </row>
    <row r="10" spans="1:18" x14ac:dyDescent="0.3">
      <c r="A10" t="s">
        <v>18</v>
      </c>
      <c r="B10" t="s">
        <v>33</v>
      </c>
      <c r="C10" s="1">
        <f t="shared" si="0"/>
        <v>42</v>
      </c>
      <c r="D10">
        <v>30</v>
      </c>
      <c r="E10">
        <v>10</v>
      </c>
      <c r="F10">
        <v>12</v>
      </c>
      <c r="G10">
        <f t="shared" si="1"/>
        <v>8</v>
      </c>
      <c r="H10">
        <v>30</v>
      </c>
      <c r="I10">
        <v>26</v>
      </c>
      <c r="J10">
        <f t="shared" si="2"/>
        <v>4</v>
      </c>
      <c r="L10" t="s">
        <v>29</v>
      </c>
      <c r="M10" t="s">
        <v>44</v>
      </c>
      <c r="N10" t="s">
        <v>30</v>
      </c>
    </row>
    <row r="11" spans="1:18" x14ac:dyDescent="0.3">
      <c r="A11" t="s">
        <v>19</v>
      </c>
      <c r="B11" t="s">
        <v>38</v>
      </c>
      <c r="C11" s="1">
        <f t="shared" si="0"/>
        <v>41</v>
      </c>
      <c r="D11">
        <v>30</v>
      </c>
      <c r="E11">
        <v>10</v>
      </c>
      <c r="F11">
        <v>11</v>
      </c>
      <c r="G11">
        <f t="shared" si="1"/>
        <v>9</v>
      </c>
      <c r="H11">
        <v>36</v>
      </c>
      <c r="I11">
        <v>34</v>
      </c>
      <c r="J11">
        <f t="shared" si="2"/>
        <v>2</v>
      </c>
    </row>
    <row r="12" spans="1:18" x14ac:dyDescent="0.3">
      <c r="A12" t="s">
        <v>20</v>
      </c>
      <c r="B12" t="s">
        <v>41</v>
      </c>
      <c r="C12" s="1">
        <f t="shared" si="0"/>
        <v>40</v>
      </c>
      <c r="D12">
        <v>30</v>
      </c>
      <c r="E12">
        <v>11</v>
      </c>
      <c r="F12">
        <v>7</v>
      </c>
      <c r="G12">
        <f t="shared" si="1"/>
        <v>12</v>
      </c>
      <c r="H12">
        <v>29</v>
      </c>
      <c r="I12">
        <v>31</v>
      </c>
      <c r="J12">
        <f t="shared" si="2"/>
        <v>-2</v>
      </c>
      <c r="L12" t="s">
        <v>53</v>
      </c>
    </row>
    <row r="13" spans="1:18" x14ac:dyDescent="0.3">
      <c r="A13" t="s">
        <v>21</v>
      </c>
      <c r="B13" t="s">
        <v>40</v>
      </c>
      <c r="C13" s="1">
        <f t="shared" si="0"/>
        <v>40</v>
      </c>
      <c r="D13">
        <v>30</v>
      </c>
      <c r="E13">
        <v>11</v>
      </c>
      <c r="F13">
        <v>7</v>
      </c>
      <c r="G13">
        <f t="shared" si="1"/>
        <v>12</v>
      </c>
      <c r="H13">
        <v>28</v>
      </c>
      <c r="I13">
        <v>31</v>
      </c>
      <c r="J13">
        <f t="shared" si="2"/>
        <v>-3</v>
      </c>
      <c r="L13" t="s">
        <v>28</v>
      </c>
      <c r="M13" t="s">
        <v>46</v>
      </c>
      <c r="N13" t="s">
        <v>35</v>
      </c>
    </row>
    <row r="14" spans="1:18" x14ac:dyDescent="0.3">
      <c r="A14" s="4" t="s">
        <v>22</v>
      </c>
      <c r="B14" t="s">
        <v>30</v>
      </c>
      <c r="C14" s="1">
        <f t="shared" si="0"/>
        <v>40</v>
      </c>
      <c r="D14">
        <v>30</v>
      </c>
      <c r="E14">
        <v>10</v>
      </c>
      <c r="F14">
        <v>10</v>
      </c>
      <c r="G14">
        <f t="shared" si="1"/>
        <v>10</v>
      </c>
      <c r="H14">
        <v>25</v>
      </c>
      <c r="I14">
        <v>30</v>
      </c>
      <c r="J14">
        <f t="shared" si="2"/>
        <v>-5</v>
      </c>
      <c r="L14" t="s">
        <v>33</v>
      </c>
      <c r="M14" t="s">
        <v>45</v>
      </c>
      <c r="N14" t="s">
        <v>41</v>
      </c>
    </row>
    <row r="15" spans="1:18" x14ac:dyDescent="0.3">
      <c r="A15" t="s">
        <v>23</v>
      </c>
      <c r="B15" t="s">
        <v>36</v>
      </c>
      <c r="C15" s="1">
        <f t="shared" si="0"/>
        <v>39</v>
      </c>
      <c r="D15">
        <v>30</v>
      </c>
      <c r="E15">
        <v>12</v>
      </c>
      <c r="F15">
        <v>3</v>
      </c>
      <c r="G15">
        <f t="shared" si="1"/>
        <v>15</v>
      </c>
      <c r="H15">
        <v>39</v>
      </c>
      <c r="I15">
        <v>35</v>
      </c>
      <c r="J15">
        <f t="shared" si="2"/>
        <v>4</v>
      </c>
      <c r="L15" t="s">
        <v>31</v>
      </c>
      <c r="M15" t="s">
        <v>45</v>
      </c>
      <c r="N15" t="s">
        <v>37</v>
      </c>
    </row>
    <row r="16" spans="1:18" x14ac:dyDescent="0.3">
      <c r="A16" t="s">
        <v>24</v>
      </c>
      <c r="B16" t="s">
        <v>37</v>
      </c>
      <c r="C16" s="1">
        <f t="shared" si="0"/>
        <v>38</v>
      </c>
      <c r="D16">
        <v>30</v>
      </c>
      <c r="E16">
        <v>11</v>
      </c>
      <c r="F16">
        <v>5</v>
      </c>
      <c r="G16">
        <f t="shared" si="1"/>
        <v>14</v>
      </c>
      <c r="H16">
        <v>26</v>
      </c>
      <c r="I16">
        <v>31</v>
      </c>
      <c r="J16">
        <f t="shared" si="2"/>
        <v>-5</v>
      </c>
      <c r="L16" t="s">
        <v>38</v>
      </c>
      <c r="M16" t="s">
        <v>46</v>
      </c>
      <c r="N16" t="s">
        <v>30</v>
      </c>
    </row>
    <row r="17" spans="1:14" x14ac:dyDescent="0.3">
      <c r="A17" t="s">
        <v>25</v>
      </c>
      <c r="B17" t="s">
        <v>39</v>
      </c>
      <c r="C17" s="1">
        <f t="shared" si="0"/>
        <v>31</v>
      </c>
      <c r="D17">
        <v>30</v>
      </c>
      <c r="E17">
        <v>9</v>
      </c>
      <c r="F17">
        <v>4</v>
      </c>
      <c r="G17">
        <f t="shared" si="1"/>
        <v>17</v>
      </c>
      <c r="H17">
        <v>26</v>
      </c>
      <c r="I17">
        <v>43</v>
      </c>
      <c r="J17">
        <f t="shared" si="2"/>
        <v>-17</v>
      </c>
    </row>
    <row r="18" spans="1:14" x14ac:dyDescent="0.3">
      <c r="A18" t="s">
        <v>26</v>
      </c>
      <c r="B18" t="s">
        <v>42</v>
      </c>
      <c r="C18" s="1">
        <f t="shared" si="0"/>
        <v>29</v>
      </c>
      <c r="D18">
        <v>30</v>
      </c>
      <c r="E18">
        <v>6</v>
      </c>
      <c r="F18">
        <v>11</v>
      </c>
      <c r="G18">
        <f t="shared" si="1"/>
        <v>13</v>
      </c>
      <c r="H18">
        <v>23</v>
      </c>
      <c r="I18">
        <v>37</v>
      </c>
      <c r="J18">
        <f t="shared" si="2"/>
        <v>-14</v>
      </c>
      <c r="L18" t="s">
        <v>55</v>
      </c>
    </row>
    <row r="19" spans="1:14" x14ac:dyDescent="0.3">
      <c r="L19" t="s">
        <v>35</v>
      </c>
      <c r="M19" t="s">
        <v>47</v>
      </c>
      <c r="N19" t="s">
        <v>33</v>
      </c>
    </row>
    <row r="20" spans="1:14" x14ac:dyDescent="0.3">
      <c r="L20" t="s">
        <v>30</v>
      </c>
      <c r="M20" t="s">
        <v>45</v>
      </c>
      <c r="N20" t="s">
        <v>31</v>
      </c>
    </row>
    <row r="22" spans="1:14" x14ac:dyDescent="0.3">
      <c r="L22" t="s">
        <v>56</v>
      </c>
    </row>
    <row r="23" spans="1:14" x14ac:dyDescent="0.3">
      <c r="L23" t="s">
        <v>35</v>
      </c>
      <c r="M23" t="s">
        <v>44</v>
      </c>
      <c r="N23" t="s">
        <v>30</v>
      </c>
    </row>
  </sheetData>
  <sortState xmlns:xlrd2="http://schemas.microsoft.com/office/spreadsheetml/2017/richdata2" ref="B3:J18">
    <sortCondition descending="1" ref="C3:C18"/>
    <sortCondition descending="1" ref="J3:J18"/>
    <sortCondition descending="1" ref="H3:H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113B-EBB1-4195-BE73-570B9286CA8F}">
  <dimension ref="A1:Q23"/>
  <sheetViews>
    <sheetView workbookViewId="0">
      <selection activeCell="C3" sqref="C3:C18"/>
    </sheetView>
  </sheetViews>
  <sheetFormatPr defaultRowHeight="14.4" x14ac:dyDescent="0.3"/>
  <sheetData>
    <row r="1" spans="1:17" x14ac:dyDescent="0.3">
      <c r="A1" t="s">
        <v>58</v>
      </c>
      <c r="L1" t="s">
        <v>77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52</v>
      </c>
      <c r="P2" t="s">
        <v>59</v>
      </c>
      <c r="Q2">
        <v>20</v>
      </c>
    </row>
    <row r="3" spans="1:17" x14ac:dyDescent="0.3">
      <c r="A3" s="3" t="s">
        <v>11</v>
      </c>
      <c r="B3" t="s">
        <v>59</v>
      </c>
      <c r="C3" s="1">
        <f t="shared" ref="C3:C18" si="0">E3*3+F3</f>
        <v>49</v>
      </c>
      <c r="D3">
        <v>30</v>
      </c>
      <c r="E3">
        <v>14</v>
      </c>
      <c r="F3">
        <v>7</v>
      </c>
      <c r="G3">
        <f t="shared" ref="G3:G18" si="1">D3-E3-F3</f>
        <v>9</v>
      </c>
      <c r="H3">
        <v>37</v>
      </c>
      <c r="I3">
        <v>24</v>
      </c>
      <c r="J3">
        <f t="shared" ref="J3:J18" si="2">H3-I3</f>
        <v>13</v>
      </c>
      <c r="L3" t="s">
        <v>73</v>
      </c>
      <c r="M3" t="s">
        <v>44</v>
      </c>
      <c r="N3" t="s">
        <v>60</v>
      </c>
      <c r="P3" t="s">
        <v>59</v>
      </c>
      <c r="Q3">
        <v>16</v>
      </c>
    </row>
    <row r="4" spans="1:17" x14ac:dyDescent="0.3">
      <c r="A4" s="3" t="s">
        <v>12</v>
      </c>
      <c r="B4" t="s">
        <v>74</v>
      </c>
      <c r="C4" s="1">
        <f t="shared" si="0"/>
        <v>48</v>
      </c>
      <c r="D4">
        <v>30</v>
      </c>
      <c r="E4">
        <v>13</v>
      </c>
      <c r="F4">
        <v>9</v>
      </c>
      <c r="G4">
        <f t="shared" si="1"/>
        <v>8</v>
      </c>
      <c r="H4">
        <v>38</v>
      </c>
      <c r="I4">
        <v>27</v>
      </c>
      <c r="J4">
        <f t="shared" si="2"/>
        <v>11</v>
      </c>
      <c r="L4" t="s">
        <v>67</v>
      </c>
      <c r="M4" t="s">
        <v>44</v>
      </c>
      <c r="N4" t="s">
        <v>62</v>
      </c>
    </row>
    <row r="5" spans="1:17" x14ac:dyDescent="0.3">
      <c r="A5" s="4" t="s">
        <v>13</v>
      </c>
      <c r="B5" t="s">
        <v>61</v>
      </c>
      <c r="C5" s="1">
        <f t="shared" si="0"/>
        <v>46</v>
      </c>
      <c r="D5">
        <v>30</v>
      </c>
      <c r="E5">
        <v>13</v>
      </c>
      <c r="F5">
        <v>7</v>
      </c>
      <c r="G5">
        <f t="shared" si="1"/>
        <v>10</v>
      </c>
      <c r="H5">
        <v>39</v>
      </c>
      <c r="I5">
        <v>34</v>
      </c>
      <c r="J5">
        <f t="shared" si="2"/>
        <v>5</v>
      </c>
      <c r="L5" t="s">
        <v>71</v>
      </c>
      <c r="M5" t="s">
        <v>47</v>
      </c>
      <c r="N5" t="s">
        <v>70</v>
      </c>
    </row>
    <row r="6" spans="1:17" x14ac:dyDescent="0.3">
      <c r="A6" t="s">
        <v>14</v>
      </c>
      <c r="B6" t="s">
        <v>69</v>
      </c>
      <c r="C6" s="1">
        <f t="shared" si="0"/>
        <v>46</v>
      </c>
      <c r="D6">
        <v>30</v>
      </c>
      <c r="E6">
        <v>10</v>
      </c>
      <c r="F6">
        <v>16</v>
      </c>
      <c r="G6">
        <f t="shared" si="1"/>
        <v>4</v>
      </c>
      <c r="H6">
        <v>31</v>
      </c>
      <c r="I6">
        <v>27</v>
      </c>
      <c r="J6">
        <f t="shared" si="2"/>
        <v>4</v>
      </c>
      <c r="L6" t="s">
        <v>66</v>
      </c>
      <c r="M6" t="s">
        <v>47</v>
      </c>
      <c r="N6" t="s">
        <v>64</v>
      </c>
    </row>
    <row r="7" spans="1:17" x14ac:dyDescent="0.3">
      <c r="A7" t="s">
        <v>15</v>
      </c>
      <c r="B7" t="s">
        <v>64</v>
      </c>
      <c r="C7" s="1">
        <f t="shared" si="0"/>
        <v>44</v>
      </c>
      <c r="D7">
        <v>30</v>
      </c>
      <c r="E7">
        <v>12</v>
      </c>
      <c r="F7">
        <v>8</v>
      </c>
      <c r="G7">
        <f t="shared" si="1"/>
        <v>10</v>
      </c>
      <c r="H7">
        <v>32</v>
      </c>
      <c r="I7">
        <v>30</v>
      </c>
      <c r="J7">
        <f t="shared" si="2"/>
        <v>2</v>
      </c>
      <c r="L7" t="s">
        <v>72</v>
      </c>
      <c r="M7" t="s">
        <v>47</v>
      </c>
      <c r="N7" t="s">
        <v>69</v>
      </c>
    </row>
    <row r="8" spans="1:17" x14ac:dyDescent="0.3">
      <c r="A8" t="s">
        <v>16</v>
      </c>
      <c r="B8" t="s">
        <v>68</v>
      </c>
      <c r="C8" s="1">
        <f t="shared" si="0"/>
        <v>43</v>
      </c>
      <c r="D8">
        <v>30</v>
      </c>
      <c r="E8">
        <v>10</v>
      </c>
      <c r="F8">
        <v>13</v>
      </c>
      <c r="G8">
        <f t="shared" si="1"/>
        <v>7</v>
      </c>
      <c r="H8">
        <v>27</v>
      </c>
      <c r="I8">
        <v>26</v>
      </c>
      <c r="J8">
        <f t="shared" si="2"/>
        <v>1</v>
      </c>
      <c r="L8" t="s">
        <v>61</v>
      </c>
      <c r="M8" t="s">
        <v>78</v>
      </c>
      <c r="N8" t="s">
        <v>63</v>
      </c>
    </row>
    <row r="9" spans="1:17" x14ac:dyDescent="0.3">
      <c r="A9" t="s">
        <v>17</v>
      </c>
      <c r="B9" t="s">
        <v>65</v>
      </c>
      <c r="C9" s="1">
        <f t="shared" si="0"/>
        <v>42</v>
      </c>
      <c r="D9">
        <v>30</v>
      </c>
      <c r="E9">
        <v>11</v>
      </c>
      <c r="F9">
        <v>9</v>
      </c>
      <c r="G9">
        <f t="shared" si="1"/>
        <v>10</v>
      </c>
      <c r="H9">
        <v>30</v>
      </c>
      <c r="I9">
        <v>28</v>
      </c>
      <c r="J9">
        <f t="shared" si="2"/>
        <v>2</v>
      </c>
      <c r="L9" t="s">
        <v>65</v>
      </c>
      <c r="M9" t="s">
        <v>79</v>
      </c>
      <c r="N9" t="s">
        <v>74</v>
      </c>
    </row>
    <row r="10" spans="1:17" x14ac:dyDescent="0.3">
      <c r="A10" s="4" t="s">
        <v>18</v>
      </c>
      <c r="B10" t="s">
        <v>60</v>
      </c>
      <c r="C10" s="1">
        <f t="shared" si="0"/>
        <v>41</v>
      </c>
      <c r="D10">
        <v>30</v>
      </c>
      <c r="E10">
        <v>10</v>
      </c>
      <c r="F10">
        <v>11</v>
      </c>
      <c r="G10">
        <f t="shared" si="1"/>
        <v>9</v>
      </c>
      <c r="H10">
        <v>33</v>
      </c>
      <c r="I10">
        <v>28</v>
      </c>
      <c r="J10">
        <f t="shared" si="2"/>
        <v>5</v>
      </c>
      <c r="L10" t="s">
        <v>68</v>
      </c>
      <c r="M10" t="s">
        <v>75</v>
      </c>
      <c r="N10" t="s">
        <v>59</v>
      </c>
    </row>
    <row r="11" spans="1:17" x14ac:dyDescent="0.3">
      <c r="A11" t="s">
        <v>19</v>
      </c>
      <c r="B11" t="s">
        <v>66</v>
      </c>
      <c r="C11" s="1">
        <f t="shared" si="0"/>
        <v>40</v>
      </c>
      <c r="D11">
        <v>30</v>
      </c>
      <c r="E11">
        <v>10</v>
      </c>
      <c r="F11">
        <v>10</v>
      </c>
      <c r="G11">
        <f t="shared" si="1"/>
        <v>10</v>
      </c>
      <c r="H11">
        <v>27</v>
      </c>
      <c r="I11">
        <v>26</v>
      </c>
      <c r="J11">
        <f t="shared" si="2"/>
        <v>1</v>
      </c>
    </row>
    <row r="12" spans="1:17" x14ac:dyDescent="0.3">
      <c r="A12" t="s">
        <v>20</v>
      </c>
      <c r="B12" t="s">
        <v>71</v>
      </c>
      <c r="C12" s="1">
        <f t="shared" si="0"/>
        <v>40</v>
      </c>
      <c r="D12">
        <v>30</v>
      </c>
      <c r="E12">
        <v>10</v>
      </c>
      <c r="F12">
        <v>10</v>
      </c>
      <c r="G12">
        <f t="shared" si="1"/>
        <v>10</v>
      </c>
      <c r="H12">
        <v>29</v>
      </c>
      <c r="I12">
        <v>30</v>
      </c>
      <c r="J12">
        <f t="shared" si="2"/>
        <v>-1</v>
      </c>
      <c r="L12" t="s">
        <v>53</v>
      </c>
    </row>
    <row r="13" spans="1:17" x14ac:dyDescent="0.3">
      <c r="A13" t="s">
        <v>21</v>
      </c>
      <c r="B13" t="s">
        <v>62</v>
      </c>
      <c r="C13" s="1">
        <f t="shared" si="0"/>
        <v>38</v>
      </c>
      <c r="D13">
        <v>30</v>
      </c>
      <c r="E13">
        <v>10</v>
      </c>
      <c r="F13">
        <v>8</v>
      </c>
      <c r="G13">
        <f t="shared" si="1"/>
        <v>12</v>
      </c>
      <c r="H13">
        <v>26</v>
      </c>
      <c r="I13">
        <v>31</v>
      </c>
      <c r="J13">
        <f t="shared" si="2"/>
        <v>-5</v>
      </c>
      <c r="L13" t="s">
        <v>62</v>
      </c>
      <c r="M13" t="s">
        <v>80</v>
      </c>
      <c r="N13" t="s">
        <v>60</v>
      </c>
    </row>
    <row r="14" spans="1:17" x14ac:dyDescent="0.3">
      <c r="A14" s="5" t="s">
        <v>22</v>
      </c>
      <c r="B14" t="s">
        <v>63</v>
      </c>
      <c r="C14" s="1">
        <f t="shared" si="0"/>
        <v>37</v>
      </c>
      <c r="D14">
        <v>30</v>
      </c>
      <c r="E14">
        <v>9</v>
      </c>
      <c r="F14">
        <v>10</v>
      </c>
      <c r="G14">
        <f t="shared" si="1"/>
        <v>11</v>
      </c>
      <c r="H14">
        <v>35</v>
      </c>
      <c r="I14">
        <v>41</v>
      </c>
      <c r="J14">
        <f t="shared" si="2"/>
        <v>-6</v>
      </c>
      <c r="L14" t="s">
        <v>71</v>
      </c>
      <c r="M14" t="s">
        <v>49</v>
      </c>
      <c r="N14" t="s">
        <v>66</v>
      </c>
    </row>
    <row r="15" spans="1:17" x14ac:dyDescent="0.3">
      <c r="A15" t="s">
        <v>23</v>
      </c>
      <c r="B15" t="s">
        <v>70</v>
      </c>
      <c r="C15" s="1">
        <f t="shared" si="0"/>
        <v>35</v>
      </c>
      <c r="D15">
        <v>30</v>
      </c>
      <c r="E15">
        <v>8</v>
      </c>
      <c r="F15">
        <v>11</v>
      </c>
      <c r="G15">
        <f t="shared" si="1"/>
        <v>11</v>
      </c>
      <c r="H15">
        <v>26</v>
      </c>
      <c r="I15">
        <v>28</v>
      </c>
      <c r="J15">
        <f t="shared" si="2"/>
        <v>-2</v>
      </c>
      <c r="L15" t="s">
        <v>72</v>
      </c>
      <c r="M15" t="s">
        <v>47</v>
      </c>
      <c r="N15" t="s">
        <v>63</v>
      </c>
    </row>
    <row r="16" spans="1:17" x14ac:dyDescent="0.3">
      <c r="A16" t="s">
        <v>24</v>
      </c>
      <c r="B16" t="s">
        <v>67</v>
      </c>
      <c r="C16" s="1">
        <f t="shared" si="0"/>
        <v>35</v>
      </c>
      <c r="D16">
        <v>30</v>
      </c>
      <c r="E16">
        <v>10</v>
      </c>
      <c r="F16">
        <v>5</v>
      </c>
      <c r="G16">
        <f t="shared" si="1"/>
        <v>15</v>
      </c>
      <c r="H16">
        <v>24</v>
      </c>
      <c r="I16">
        <v>35</v>
      </c>
      <c r="J16">
        <f t="shared" si="2"/>
        <v>-11</v>
      </c>
      <c r="L16" t="s">
        <v>59</v>
      </c>
      <c r="M16" t="s">
        <v>81</v>
      </c>
      <c r="N16" t="s">
        <v>74</v>
      </c>
    </row>
    <row r="17" spans="1:14" x14ac:dyDescent="0.3">
      <c r="A17" t="s">
        <v>25</v>
      </c>
      <c r="B17" t="s">
        <v>72</v>
      </c>
      <c r="C17" s="1">
        <f t="shared" si="0"/>
        <v>32</v>
      </c>
      <c r="D17">
        <v>30</v>
      </c>
      <c r="E17">
        <v>9</v>
      </c>
      <c r="F17">
        <v>5</v>
      </c>
      <c r="G17">
        <f t="shared" si="1"/>
        <v>16</v>
      </c>
      <c r="H17">
        <v>22</v>
      </c>
      <c r="I17">
        <v>33</v>
      </c>
      <c r="J17">
        <f t="shared" si="2"/>
        <v>-11</v>
      </c>
    </row>
    <row r="18" spans="1:14" x14ac:dyDescent="0.3">
      <c r="A18" t="s">
        <v>26</v>
      </c>
      <c r="B18" t="s">
        <v>73</v>
      </c>
      <c r="C18" s="1">
        <f t="shared" si="0"/>
        <v>30</v>
      </c>
      <c r="D18">
        <v>30</v>
      </c>
      <c r="E18">
        <v>7</v>
      </c>
      <c r="F18">
        <v>9</v>
      </c>
      <c r="G18">
        <f t="shared" si="1"/>
        <v>14</v>
      </c>
      <c r="H18">
        <v>24</v>
      </c>
      <c r="I18">
        <v>33</v>
      </c>
      <c r="J18">
        <f t="shared" si="2"/>
        <v>-9</v>
      </c>
      <c r="L18" t="s">
        <v>55</v>
      </c>
    </row>
    <row r="19" spans="1:14" x14ac:dyDescent="0.3">
      <c r="L19" t="s">
        <v>66</v>
      </c>
      <c r="M19" t="s">
        <v>44</v>
      </c>
      <c r="N19" t="s">
        <v>60</v>
      </c>
    </row>
    <row r="20" spans="1:14" x14ac:dyDescent="0.3">
      <c r="L20" t="s">
        <v>59</v>
      </c>
      <c r="M20" t="s">
        <v>54</v>
      </c>
      <c r="N20" t="s">
        <v>72</v>
      </c>
    </row>
    <row r="22" spans="1:14" x14ac:dyDescent="0.3">
      <c r="L22" t="s">
        <v>56</v>
      </c>
    </row>
    <row r="23" spans="1:14" x14ac:dyDescent="0.3">
      <c r="L23" t="s">
        <v>60</v>
      </c>
      <c r="M23" t="s">
        <v>50</v>
      </c>
      <c r="N23" t="s">
        <v>59</v>
      </c>
    </row>
  </sheetData>
  <sortState xmlns:xlrd2="http://schemas.microsoft.com/office/spreadsheetml/2017/richdata2" ref="B3:J18">
    <sortCondition descending="1" ref="C3:C18"/>
    <sortCondition descending="1" ref="J3:J18"/>
    <sortCondition descending="1" ref="H3:H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8ED8-0A34-41A1-AFBC-C8699696BD87}">
  <dimension ref="A1:Q18"/>
  <sheetViews>
    <sheetView workbookViewId="0">
      <selection activeCell="A3" sqref="A3:A5"/>
    </sheetView>
  </sheetViews>
  <sheetFormatPr defaultRowHeight="14.4" x14ac:dyDescent="0.3"/>
  <sheetData>
    <row r="1" spans="1:17" x14ac:dyDescent="0.3">
      <c r="A1" t="s">
        <v>82</v>
      </c>
      <c r="L1" t="s">
        <v>99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100</v>
      </c>
      <c r="P2" t="s">
        <v>88</v>
      </c>
      <c r="Q2">
        <v>11</v>
      </c>
    </row>
    <row r="3" spans="1:17" x14ac:dyDescent="0.3">
      <c r="A3" s="3" t="s">
        <v>11</v>
      </c>
      <c r="B3" t="s">
        <v>88</v>
      </c>
      <c r="C3" s="1">
        <f t="shared" ref="C3:C18" si="0">E3*3+F3</f>
        <v>55</v>
      </c>
      <c r="D3">
        <v>30</v>
      </c>
      <c r="E3">
        <v>15</v>
      </c>
      <c r="F3">
        <v>10</v>
      </c>
      <c r="G3">
        <f t="shared" ref="G3:G18" si="1">D3-E3-F3</f>
        <v>5</v>
      </c>
      <c r="H3">
        <v>42</v>
      </c>
      <c r="I3">
        <v>26</v>
      </c>
      <c r="J3">
        <f t="shared" ref="J3:J18" si="2">H3-I3</f>
        <v>16</v>
      </c>
      <c r="L3" t="s">
        <v>93</v>
      </c>
      <c r="M3" t="s">
        <v>45</v>
      </c>
      <c r="N3" t="s">
        <v>84</v>
      </c>
      <c r="P3" t="s">
        <v>83</v>
      </c>
      <c r="Q3">
        <v>9</v>
      </c>
    </row>
    <row r="4" spans="1:17" x14ac:dyDescent="0.3">
      <c r="A4" s="3" t="s">
        <v>12</v>
      </c>
      <c r="B4" t="s">
        <v>84</v>
      </c>
      <c r="C4" s="1">
        <f t="shared" si="0"/>
        <v>47</v>
      </c>
      <c r="D4">
        <v>30</v>
      </c>
      <c r="E4">
        <v>12</v>
      </c>
      <c r="F4">
        <v>11</v>
      </c>
      <c r="G4">
        <f t="shared" si="1"/>
        <v>7</v>
      </c>
      <c r="H4">
        <v>37</v>
      </c>
      <c r="I4">
        <v>28</v>
      </c>
      <c r="J4">
        <f t="shared" si="2"/>
        <v>9</v>
      </c>
      <c r="L4" t="s">
        <v>88</v>
      </c>
      <c r="M4" t="s">
        <v>76</v>
      </c>
      <c r="N4" t="s">
        <v>96</v>
      </c>
    </row>
    <row r="5" spans="1:17" x14ac:dyDescent="0.3">
      <c r="A5" s="4" t="s">
        <v>13</v>
      </c>
      <c r="B5" t="s">
        <v>89</v>
      </c>
      <c r="C5" s="1">
        <f t="shared" si="0"/>
        <v>47</v>
      </c>
      <c r="D5">
        <v>30</v>
      </c>
      <c r="E5">
        <v>12</v>
      </c>
      <c r="F5">
        <v>11</v>
      </c>
      <c r="G5">
        <f t="shared" si="1"/>
        <v>7</v>
      </c>
      <c r="H5">
        <v>28</v>
      </c>
      <c r="I5">
        <v>20</v>
      </c>
      <c r="J5">
        <f t="shared" si="2"/>
        <v>8</v>
      </c>
    </row>
    <row r="6" spans="1:17" x14ac:dyDescent="0.3">
      <c r="A6" s="4" t="s">
        <v>14</v>
      </c>
      <c r="B6" t="s">
        <v>83</v>
      </c>
      <c r="C6" s="1">
        <f t="shared" si="0"/>
        <v>46</v>
      </c>
      <c r="D6">
        <v>30</v>
      </c>
      <c r="E6">
        <v>13</v>
      </c>
      <c r="F6">
        <v>7</v>
      </c>
      <c r="G6">
        <f t="shared" si="1"/>
        <v>10</v>
      </c>
      <c r="H6">
        <v>31</v>
      </c>
      <c r="I6">
        <v>27</v>
      </c>
      <c r="J6">
        <f t="shared" si="2"/>
        <v>4</v>
      </c>
      <c r="L6" t="s">
        <v>53</v>
      </c>
    </row>
    <row r="7" spans="1:17" x14ac:dyDescent="0.3">
      <c r="A7" t="s">
        <v>15</v>
      </c>
      <c r="B7" t="s">
        <v>86</v>
      </c>
      <c r="C7" s="1">
        <f t="shared" si="0"/>
        <v>45</v>
      </c>
      <c r="D7">
        <v>30</v>
      </c>
      <c r="E7">
        <v>13</v>
      </c>
      <c r="F7">
        <v>6</v>
      </c>
      <c r="G7">
        <f t="shared" si="1"/>
        <v>11</v>
      </c>
      <c r="H7">
        <v>36</v>
      </c>
      <c r="I7">
        <v>38</v>
      </c>
      <c r="J7">
        <f t="shared" si="2"/>
        <v>-2</v>
      </c>
      <c r="L7" t="s">
        <v>93</v>
      </c>
      <c r="M7" t="s">
        <v>45</v>
      </c>
      <c r="N7" t="s">
        <v>88</v>
      </c>
    </row>
    <row r="8" spans="1:17" x14ac:dyDescent="0.3">
      <c r="A8" t="s">
        <v>16</v>
      </c>
      <c r="B8" t="s">
        <v>90</v>
      </c>
      <c r="C8" s="1">
        <f t="shared" si="0"/>
        <v>43</v>
      </c>
      <c r="D8">
        <v>30</v>
      </c>
      <c r="E8">
        <v>11</v>
      </c>
      <c r="F8">
        <v>10</v>
      </c>
      <c r="G8">
        <f t="shared" si="1"/>
        <v>9</v>
      </c>
      <c r="H8">
        <v>32</v>
      </c>
      <c r="I8">
        <v>28</v>
      </c>
      <c r="J8">
        <f t="shared" si="2"/>
        <v>4</v>
      </c>
      <c r="L8" t="s">
        <v>83</v>
      </c>
      <c r="M8" t="s">
        <v>101</v>
      </c>
      <c r="N8" t="s">
        <v>90</v>
      </c>
    </row>
    <row r="9" spans="1:17" x14ac:dyDescent="0.3">
      <c r="A9" t="s">
        <v>17</v>
      </c>
      <c r="B9" t="s">
        <v>92</v>
      </c>
      <c r="C9" s="1">
        <f t="shared" si="0"/>
        <v>41</v>
      </c>
      <c r="D9">
        <v>30</v>
      </c>
      <c r="E9">
        <v>11</v>
      </c>
      <c r="F9">
        <v>8</v>
      </c>
      <c r="G9">
        <f t="shared" si="1"/>
        <v>11</v>
      </c>
      <c r="H9">
        <v>30</v>
      </c>
      <c r="I9">
        <v>32</v>
      </c>
      <c r="J9">
        <f t="shared" si="2"/>
        <v>-2</v>
      </c>
      <c r="L9" t="s">
        <v>97</v>
      </c>
      <c r="M9" t="s">
        <v>75</v>
      </c>
      <c r="N9" t="s">
        <v>85</v>
      </c>
    </row>
    <row r="10" spans="1:17" x14ac:dyDescent="0.3">
      <c r="A10" s="5" t="s">
        <v>18</v>
      </c>
      <c r="B10" t="s">
        <v>95</v>
      </c>
      <c r="C10" s="1">
        <f t="shared" si="0"/>
        <v>41</v>
      </c>
      <c r="D10">
        <v>30</v>
      </c>
      <c r="E10">
        <v>10</v>
      </c>
      <c r="F10">
        <v>11</v>
      </c>
      <c r="G10">
        <f t="shared" si="1"/>
        <v>9</v>
      </c>
      <c r="H10">
        <v>31</v>
      </c>
      <c r="I10">
        <v>35</v>
      </c>
      <c r="J10">
        <f t="shared" si="2"/>
        <v>-4</v>
      </c>
      <c r="L10" t="s">
        <v>91</v>
      </c>
      <c r="M10" t="s">
        <v>44</v>
      </c>
      <c r="N10" t="s">
        <v>95</v>
      </c>
    </row>
    <row r="11" spans="1:17" x14ac:dyDescent="0.3">
      <c r="A11" t="s">
        <v>19</v>
      </c>
      <c r="B11" t="s">
        <v>91</v>
      </c>
      <c r="C11" s="1">
        <f t="shared" si="0"/>
        <v>41</v>
      </c>
      <c r="D11">
        <v>30</v>
      </c>
      <c r="E11">
        <v>11</v>
      </c>
      <c r="F11">
        <v>8</v>
      </c>
      <c r="G11">
        <f t="shared" si="1"/>
        <v>11</v>
      </c>
      <c r="H11">
        <v>31</v>
      </c>
      <c r="I11">
        <v>39</v>
      </c>
      <c r="J11">
        <f t="shared" si="2"/>
        <v>-8</v>
      </c>
    </row>
    <row r="12" spans="1:17" x14ac:dyDescent="0.3">
      <c r="A12" t="s">
        <v>20</v>
      </c>
      <c r="B12" t="s">
        <v>96</v>
      </c>
      <c r="C12" s="1">
        <f t="shared" si="0"/>
        <v>40</v>
      </c>
      <c r="D12">
        <v>30</v>
      </c>
      <c r="E12">
        <v>10</v>
      </c>
      <c r="F12">
        <v>10</v>
      </c>
      <c r="G12">
        <f t="shared" si="1"/>
        <v>10</v>
      </c>
      <c r="H12">
        <v>28</v>
      </c>
      <c r="I12">
        <v>24</v>
      </c>
      <c r="J12">
        <f t="shared" si="2"/>
        <v>4</v>
      </c>
      <c r="L12" t="s">
        <v>55</v>
      </c>
    </row>
    <row r="13" spans="1:17" x14ac:dyDescent="0.3">
      <c r="A13" t="s">
        <v>21</v>
      </c>
      <c r="B13" t="s">
        <v>94</v>
      </c>
      <c r="C13" s="1">
        <f t="shared" si="0"/>
        <v>39</v>
      </c>
      <c r="D13">
        <v>30</v>
      </c>
      <c r="E13">
        <v>10</v>
      </c>
      <c r="F13">
        <v>9</v>
      </c>
      <c r="G13">
        <f t="shared" si="1"/>
        <v>11</v>
      </c>
      <c r="H13">
        <v>32</v>
      </c>
      <c r="I13">
        <v>31</v>
      </c>
      <c r="J13">
        <f t="shared" si="2"/>
        <v>1</v>
      </c>
      <c r="L13" t="s">
        <v>83</v>
      </c>
      <c r="M13" t="s">
        <v>48</v>
      </c>
      <c r="N13" t="s">
        <v>93</v>
      </c>
    </row>
    <row r="14" spans="1:17" x14ac:dyDescent="0.3">
      <c r="A14" s="5" t="s">
        <v>22</v>
      </c>
      <c r="B14" t="s">
        <v>93</v>
      </c>
      <c r="C14" s="1">
        <f t="shared" si="0"/>
        <v>38</v>
      </c>
      <c r="D14">
        <v>30</v>
      </c>
      <c r="E14">
        <v>10</v>
      </c>
      <c r="F14">
        <v>8</v>
      </c>
      <c r="G14">
        <f t="shared" si="1"/>
        <v>12</v>
      </c>
      <c r="H14">
        <v>30</v>
      </c>
      <c r="I14">
        <v>34</v>
      </c>
      <c r="J14">
        <f t="shared" si="2"/>
        <v>-4</v>
      </c>
      <c r="L14" t="s">
        <v>95</v>
      </c>
      <c r="M14" t="s">
        <v>44</v>
      </c>
      <c r="N14" t="s">
        <v>85</v>
      </c>
    </row>
    <row r="15" spans="1:17" x14ac:dyDescent="0.3">
      <c r="A15" t="s">
        <v>23</v>
      </c>
      <c r="B15" t="s">
        <v>85</v>
      </c>
      <c r="C15" s="1">
        <f t="shared" si="0"/>
        <v>36</v>
      </c>
      <c r="D15">
        <v>30</v>
      </c>
      <c r="E15">
        <v>9</v>
      </c>
      <c r="F15">
        <v>9</v>
      </c>
      <c r="G15">
        <f t="shared" si="1"/>
        <v>12</v>
      </c>
      <c r="H15">
        <v>37</v>
      </c>
      <c r="I15">
        <v>36</v>
      </c>
      <c r="J15">
        <f t="shared" si="2"/>
        <v>1</v>
      </c>
    </row>
    <row r="16" spans="1:17" x14ac:dyDescent="0.3">
      <c r="A16" t="s">
        <v>24</v>
      </c>
      <c r="B16" t="s">
        <v>87</v>
      </c>
      <c r="C16" s="1">
        <f t="shared" si="0"/>
        <v>35</v>
      </c>
      <c r="D16">
        <v>30</v>
      </c>
      <c r="E16">
        <v>8</v>
      </c>
      <c r="F16">
        <v>11</v>
      </c>
      <c r="G16">
        <f t="shared" si="1"/>
        <v>11</v>
      </c>
      <c r="H16">
        <v>24</v>
      </c>
      <c r="I16">
        <v>25</v>
      </c>
      <c r="J16">
        <f t="shared" si="2"/>
        <v>-1</v>
      </c>
      <c r="L16" t="s">
        <v>56</v>
      </c>
    </row>
    <row r="17" spans="1:14" x14ac:dyDescent="0.3">
      <c r="A17" t="s">
        <v>25</v>
      </c>
      <c r="B17" t="s">
        <v>97</v>
      </c>
      <c r="C17" s="1">
        <f t="shared" si="0"/>
        <v>33</v>
      </c>
      <c r="D17">
        <v>30</v>
      </c>
      <c r="E17">
        <v>8</v>
      </c>
      <c r="F17">
        <v>9</v>
      </c>
      <c r="G17">
        <f t="shared" si="1"/>
        <v>13</v>
      </c>
      <c r="H17">
        <v>22</v>
      </c>
      <c r="I17">
        <v>30</v>
      </c>
      <c r="J17">
        <f t="shared" si="2"/>
        <v>-8</v>
      </c>
      <c r="L17" t="s">
        <v>85</v>
      </c>
      <c r="M17" t="s">
        <v>102</v>
      </c>
      <c r="N17" t="s">
        <v>83</v>
      </c>
    </row>
    <row r="18" spans="1:14" x14ac:dyDescent="0.3">
      <c r="A18" t="s">
        <v>26</v>
      </c>
      <c r="B18" t="s">
        <v>98</v>
      </c>
      <c r="C18" s="1">
        <f t="shared" si="0"/>
        <v>19</v>
      </c>
      <c r="D18">
        <v>30</v>
      </c>
      <c r="E18">
        <v>4</v>
      </c>
      <c r="F18">
        <v>7</v>
      </c>
      <c r="G18">
        <f t="shared" si="1"/>
        <v>19</v>
      </c>
      <c r="H18">
        <v>18</v>
      </c>
      <c r="I18">
        <v>39</v>
      </c>
      <c r="J18">
        <f t="shared" si="2"/>
        <v>-21</v>
      </c>
    </row>
  </sheetData>
  <sortState xmlns:xlrd2="http://schemas.microsoft.com/office/spreadsheetml/2017/richdata2" ref="B3:J18">
    <sortCondition descending="1" ref="C3:C18"/>
    <sortCondition descending="1" ref="J3:J18"/>
    <sortCondition descending="1" ref="H3:H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06BC-9AFF-40AC-9A7D-5A29082BEFAA}">
  <dimension ref="A1:M18"/>
  <sheetViews>
    <sheetView workbookViewId="0">
      <selection activeCell="M9" sqref="M9"/>
    </sheetView>
  </sheetViews>
  <sheetFormatPr defaultRowHeight="14.4" x14ac:dyDescent="0.3"/>
  <sheetData>
    <row r="1" spans="1:13" x14ac:dyDescent="0.3">
      <c r="A1" t="s">
        <v>103</v>
      </c>
      <c r="L1" t="s">
        <v>120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107</v>
      </c>
      <c r="M2">
        <v>17</v>
      </c>
    </row>
    <row r="3" spans="1:13" x14ac:dyDescent="0.3">
      <c r="A3" s="3" t="s">
        <v>11</v>
      </c>
      <c r="B3" t="s">
        <v>107</v>
      </c>
      <c r="C3" s="1">
        <f t="shared" ref="C3:C18" si="0">E3*3+F3</f>
        <v>63</v>
      </c>
      <c r="D3">
        <v>30</v>
      </c>
      <c r="E3">
        <v>19</v>
      </c>
      <c r="F3">
        <v>6</v>
      </c>
      <c r="G3">
        <f t="shared" ref="G3:G18" si="1">D3-E3-F3</f>
        <v>5</v>
      </c>
      <c r="H3">
        <v>47</v>
      </c>
      <c r="I3">
        <v>20</v>
      </c>
      <c r="J3">
        <f t="shared" ref="J3:J18" si="2">H3-I3</f>
        <v>27</v>
      </c>
    </row>
    <row r="4" spans="1:13" x14ac:dyDescent="0.3">
      <c r="A4" s="4" t="s">
        <v>12</v>
      </c>
      <c r="B4" t="s">
        <v>116</v>
      </c>
      <c r="C4" s="1">
        <f t="shared" si="0"/>
        <v>54</v>
      </c>
      <c r="D4">
        <v>30</v>
      </c>
      <c r="E4">
        <v>16</v>
      </c>
      <c r="F4">
        <v>6</v>
      </c>
      <c r="G4">
        <f t="shared" si="1"/>
        <v>8</v>
      </c>
      <c r="H4">
        <v>40</v>
      </c>
      <c r="I4">
        <v>21</v>
      </c>
      <c r="J4">
        <f t="shared" si="2"/>
        <v>19</v>
      </c>
    </row>
    <row r="5" spans="1:13" x14ac:dyDescent="0.3">
      <c r="A5" s="5" t="s">
        <v>13</v>
      </c>
      <c r="B5" t="s">
        <v>119</v>
      </c>
      <c r="C5" s="1">
        <f t="shared" si="0"/>
        <v>54</v>
      </c>
      <c r="D5">
        <v>30</v>
      </c>
      <c r="E5">
        <v>16</v>
      </c>
      <c r="F5">
        <v>6</v>
      </c>
      <c r="G5">
        <f t="shared" si="1"/>
        <v>8</v>
      </c>
      <c r="H5">
        <v>45</v>
      </c>
      <c r="I5">
        <v>33</v>
      </c>
      <c r="J5">
        <f t="shared" si="2"/>
        <v>12</v>
      </c>
    </row>
    <row r="6" spans="1:13" x14ac:dyDescent="0.3">
      <c r="A6" s="5" t="s">
        <v>14</v>
      </c>
      <c r="B6" t="s">
        <v>118</v>
      </c>
      <c r="C6" s="1">
        <f t="shared" si="0"/>
        <v>52</v>
      </c>
      <c r="D6">
        <v>30</v>
      </c>
      <c r="E6">
        <v>15</v>
      </c>
      <c r="F6">
        <v>7</v>
      </c>
      <c r="G6">
        <f t="shared" si="1"/>
        <v>8</v>
      </c>
      <c r="H6">
        <v>41</v>
      </c>
      <c r="I6">
        <v>29</v>
      </c>
      <c r="J6">
        <f t="shared" si="2"/>
        <v>12</v>
      </c>
    </row>
    <row r="7" spans="1:13" x14ac:dyDescent="0.3">
      <c r="A7" t="s">
        <v>15</v>
      </c>
      <c r="B7" t="s">
        <v>105</v>
      </c>
      <c r="C7" s="1">
        <f t="shared" si="0"/>
        <v>49</v>
      </c>
      <c r="D7">
        <v>30</v>
      </c>
      <c r="E7">
        <v>14</v>
      </c>
      <c r="F7">
        <v>7</v>
      </c>
      <c r="G7">
        <f t="shared" si="1"/>
        <v>9</v>
      </c>
      <c r="H7">
        <v>29</v>
      </c>
      <c r="I7">
        <v>28</v>
      </c>
      <c r="J7">
        <f t="shared" si="2"/>
        <v>1</v>
      </c>
    </row>
    <row r="8" spans="1:13" x14ac:dyDescent="0.3">
      <c r="A8" t="s">
        <v>16</v>
      </c>
      <c r="B8" t="s">
        <v>104</v>
      </c>
      <c r="C8" s="1">
        <f t="shared" si="0"/>
        <v>46</v>
      </c>
      <c r="D8">
        <v>30</v>
      </c>
      <c r="E8">
        <v>12</v>
      </c>
      <c r="F8">
        <v>10</v>
      </c>
      <c r="G8">
        <f t="shared" si="1"/>
        <v>8</v>
      </c>
      <c r="H8">
        <v>34</v>
      </c>
      <c r="I8">
        <v>31</v>
      </c>
      <c r="J8">
        <f t="shared" si="2"/>
        <v>3</v>
      </c>
    </row>
    <row r="9" spans="1:13" x14ac:dyDescent="0.3">
      <c r="A9" t="s">
        <v>17</v>
      </c>
      <c r="B9" t="s">
        <v>106</v>
      </c>
      <c r="C9" s="1">
        <f t="shared" si="0"/>
        <v>43</v>
      </c>
      <c r="D9">
        <v>30</v>
      </c>
      <c r="E9">
        <v>11</v>
      </c>
      <c r="F9">
        <v>10</v>
      </c>
      <c r="G9">
        <f t="shared" si="1"/>
        <v>9</v>
      </c>
      <c r="H9">
        <v>43</v>
      </c>
      <c r="I9">
        <v>33</v>
      </c>
      <c r="J9">
        <f t="shared" si="2"/>
        <v>10</v>
      </c>
    </row>
    <row r="10" spans="1:13" x14ac:dyDescent="0.3">
      <c r="A10" s="5" t="s">
        <v>18</v>
      </c>
      <c r="B10" t="s">
        <v>112</v>
      </c>
      <c r="C10" s="1">
        <f t="shared" si="0"/>
        <v>39</v>
      </c>
      <c r="D10">
        <v>30</v>
      </c>
      <c r="E10">
        <v>10</v>
      </c>
      <c r="F10">
        <v>9</v>
      </c>
      <c r="G10">
        <f t="shared" si="1"/>
        <v>11</v>
      </c>
      <c r="H10">
        <v>27</v>
      </c>
      <c r="I10">
        <v>27</v>
      </c>
      <c r="J10">
        <f t="shared" si="2"/>
        <v>0</v>
      </c>
    </row>
    <row r="11" spans="1:13" x14ac:dyDescent="0.3">
      <c r="A11" t="s">
        <v>19</v>
      </c>
      <c r="B11" t="s">
        <v>109</v>
      </c>
      <c r="C11" s="1">
        <f t="shared" si="0"/>
        <v>38</v>
      </c>
      <c r="D11">
        <v>30</v>
      </c>
      <c r="E11">
        <v>10</v>
      </c>
      <c r="F11">
        <v>8</v>
      </c>
      <c r="G11">
        <f t="shared" si="1"/>
        <v>12</v>
      </c>
      <c r="H11">
        <v>36</v>
      </c>
      <c r="I11">
        <v>32</v>
      </c>
      <c r="J11">
        <f t="shared" si="2"/>
        <v>4</v>
      </c>
    </row>
    <row r="12" spans="1:13" x14ac:dyDescent="0.3">
      <c r="A12" t="s">
        <v>20</v>
      </c>
      <c r="B12" t="s">
        <v>111</v>
      </c>
      <c r="C12" s="1">
        <f t="shared" si="0"/>
        <v>36</v>
      </c>
      <c r="D12">
        <v>30</v>
      </c>
      <c r="E12">
        <v>9</v>
      </c>
      <c r="F12">
        <v>9</v>
      </c>
      <c r="G12">
        <f t="shared" si="1"/>
        <v>12</v>
      </c>
      <c r="H12">
        <v>30</v>
      </c>
      <c r="I12">
        <v>34</v>
      </c>
      <c r="J12">
        <f t="shared" si="2"/>
        <v>-4</v>
      </c>
    </row>
    <row r="13" spans="1:13" x14ac:dyDescent="0.3">
      <c r="A13" t="s">
        <v>21</v>
      </c>
      <c r="B13" t="s">
        <v>108</v>
      </c>
      <c r="C13" s="1">
        <f t="shared" si="0"/>
        <v>35</v>
      </c>
      <c r="D13">
        <v>30</v>
      </c>
      <c r="E13">
        <v>10</v>
      </c>
      <c r="F13">
        <v>5</v>
      </c>
      <c r="G13">
        <f t="shared" si="1"/>
        <v>15</v>
      </c>
      <c r="H13">
        <v>34</v>
      </c>
      <c r="I13">
        <v>41</v>
      </c>
      <c r="J13">
        <f t="shared" si="2"/>
        <v>-7</v>
      </c>
    </row>
    <row r="14" spans="1:13" x14ac:dyDescent="0.3">
      <c r="A14" s="5" t="s">
        <v>22</v>
      </c>
      <c r="B14" t="s">
        <v>110</v>
      </c>
      <c r="C14" s="1">
        <f t="shared" si="0"/>
        <v>34</v>
      </c>
      <c r="D14">
        <v>30</v>
      </c>
      <c r="E14">
        <v>9</v>
      </c>
      <c r="F14">
        <v>7</v>
      </c>
      <c r="G14">
        <f t="shared" si="1"/>
        <v>14</v>
      </c>
      <c r="H14">
        <v>20</v>
      </c>
      <c r="I14">
        <v>30</v>
      </c>
      <c r="J14">
        <f t="shared" si="2"/>
        <v>-10</v>
      </c>
    </row>
    <row r="15" spans="1:13" x14ac:dyDescent="0.3">
      <c r="A15" t="s">
        <v>23</v>
      </c>
      <c r="B15" t="s">
        <v>117</v>
      </c>
      <c r="C15" s="1">
        <f t="shared" si="0"/>
        <v>34</v>
      </c>
      <c r="D15">
        <v>30</v>
      </c>
      <c r="E15">
        <v>9</v>
      </c>
      <c r="F15">
        <v>7</v>
      </c>
      <c r="G15">
        <f t="shared" si="1"/>
        <v>14</v>
      </c>
      <c r="H15">
        <v>22</v>
      </c>
      <c r="I15">
        <v>36</v>
      </c>
      <c r="J15">
        <f t="shared" si="2"/>
        <v>-14</v>
      </c>
    </row>
    <row r="16" spans="1:13" x14ac:dyDescent="0.3">
      <c r="A16" t="s">
        <v>24</v>
      </c>
      <c r="B16" t="s">
        <v>113</v>
      </c>
      <c r="C16" s="1">
        <f t="shared" si="0"/>
        <v>32</v>
      </c>
      <c r="D16">
        <v>30</v>
      </c>
      <c r="E16">
        <v>9</v>
      </c>
      <c r="F16">
        <v>5</v>
      </c>
      <c r="G16">
        <f t="shared" si="1"/>
        <v>16</v>
      </c>
      <c r="H16">
        <v>19</v>
      </c>
      <c r="I16">
        <v>38</v>
      </c>
      <c r="J16">
        <f t="shared" si="2"/>
        <v>-19</v>
      </c>
    </row>
    <row r="17" spans="1:10" x14ac:dyDescent="0.3">
      <c r="A17" t="s">
        <v>25</v>
      </c>
      <c r="B17" t="s">
        <v>114</v>
      </c>
      <c r="C17" s="1">
        <f t="shared" si="0"/>
        <v>28</v>
      </c>
      <c r="D17">
        <v>30</v>
      </c>
      <c r="E17">
        <v>6</v>
      </c>
      <c r="F17">
        <v>10</v>
      </c>
      <c r="G17">
        <f t="shared" si="1"/>
        <v>14</v>
      </c>
      <c r="H17">
        <v>24</v>
      </c>
      <c r="I17">
        <v>33</v>
      </c>
      <c r="J17">
        <f t="shared" si="2"/>
        <v>-9</v>
      </c>
    </row>
    <row r="18" spans="1:10" x14ac:dyDescent="0.3">
      <c r="A18" t="s">
        <v>26</v>
      </c>
      <c r="B18" t="s">
        <v>115</v>
      </c>
      <c r="C18" s="1">
        <f t="shared" si="0"/>
        <v>23</v>
      </c>
      <c r="D18">
        <v>30</v>
      </c>
      <c r="E18">
        <v>5</v>
      </c>
      <c r="F18">
        <v>8</v>
      </c>
      <c r="G18">
        <f t="shared" si="1"/>
        <v>17</v>
      </c>
      <c r="H18">
        <v>17</v>
      </c>
      <c r="I18">
        <v>42</v>
      </c>
      <c r="J18">
        <f t="shared" si="2"/>
        <v>-25</v>
      </c>
    </row>
  </sheetData>
  <sortState xmlns:xlrd2="http://schemas.microsoft.com/office/spreadsheetml/2017/richdata2" ref="B3:J18">
    <sortCondition descending="1" ref="C3:C18"/>
    <sortCondition descending="1" ref="J3:J18"/>
    <sortCondition descending="1" ref="H3:H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766E-113B-4507-8708-FECACE44E5BA}">
  <dimension ref="A1:Q33"/>
  <sheetViews>
    <sheetView workbookViewId="0">
      <selection activeCell="A2" sqref="A2:J22"/>
    </sheetView>
  </sheetViews>
  <sheetFormatPr defaultRowHeight="14.4" x14ac:dyDescent="0.3"/>
  <sheetData>
    <row r="1" spans="1:17" x14ac:dyDescent="0.3">
      <c r="A1" t="s">
        <v>121</v>
      </c>
      <c r="L1" t="s">
        <v>149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52</v>
      </c>
      <c r="P2" t="s">
        <v>128</v>
      </c>
      <c r="Q2">
        <v>1</v>
      </c>
    </row>
    <row r="3" spans="1:17" x14ac:dyDescent="0.3">
      <c r="A3" s="6" t="s">
        <v>11</v>
      </c>
      <c r="B3" t="s">
        <v>127</v>
      </c>
      <c r="C3" s="1">
        <f t="shared" ref="C3:C18" si="0">E3*3+F3</f>
        <v>44</v>
      </c>
      <c r="D3">
        <v>20</v>
      </c>
      <c r="E3">
        <v>13</v>
      </c>
      <c r="F3">
        <v>5</v>
      </c>
      <c r="G3">
        <f t="shared" ref="G3:G18" si="1">D3-E3-F3</f>
        <v>2</v>
      </c>
      <c r="H3">
        <v>30</v>
      </c>
      <c r="I3">
        <v>14</v>
      </c>
      <c r="J3">
        <f t="shared" ref="J3:J18" si="2">H3-I3</f>
        <v>16</v>
      </c>
      <c r="L3" t="s">
        <v>141</v>
      </c>
      <c r="M3" t="s">
        <v>150</v>
      </c>
      <c r="N3" t="s">
        <v>138</v>
      </c>
      <c r="P3" t="s">
        <v>138</v>
      </c>
      <c r="Q3">
        <v>1</v>
      </c>
    </row>
    <row r="4" spans="1:17" x14ac:dyDescent="0.3">
      <c r="A4" s="6" t="s">
        <v>12</v>
      </c>
      <c r="B4" t="s">
        <v>128</v>
      </c>
      <c r="C4" s="1">
        <f t="shared" si="0"/>
        <v>37</v>
      </c>
      <c r="D4">
        <v>20</v>
      </c>
      <c r="E4">
        <v>10</v>
      </c>
      <c r="F4">
        <v>7</v>
      </c>
      <c r="G4">
        <f t="shared" si="1"/>
        <v>3</v>
      </c>
      <c r="H4">
        <v>23</v>
      </c>
      <c r="I4">
        <v>12</v>
      </c>
      <c r="J4">
        <f t="shared" si="2"/>
        <v>11</v>
      </c>
      <c r="L4" t="s">
        <v>144</v>
      </c>
      <c r="M4" t="s">
        <v>151</v>
      </c>
      <c r="N4" t="s">
        <v>140</v>
      </c>
    </row>
    <row r="5" spans="1:17" x14ac:dyDescent="0.3">
      <c r="A5" s="6" t="s">
        <v>13</v>
      </c>
      <c r="B5" t="s">
        <v>129</v>
      </c>
      <c r="C5" s="1">
        <f t="shared" si="0"/>
        <v>37</v>
      </c>
      <c r="D5">
        <v>20</v>
      </c>
      <c r="E5">
        <v>10</v>
      </c>
      <c r="F5">
        <v>7</v>
      </c>
      <c r="G5">
        <f t="shared" si="1"/>
        <v>3</v>
      </c>
      <c r="H5">
        <v>24</v>
      </c>
      <c r="I5">
        <v>16</v>
      </c>
      <c r="J5">
        <f t="shared" si="2"/>
        <v>8</v>
      </c>
      <c r="L5" t="s">
        <v>131</v>
      </c>
      <c r="M5" t="s">
        <v>152</v>
      </c>
      <c r="N5" t="s">
        <v>135</v>
      </c>
    </row>
    <row r="6" spans="1:17" x14ac:dyDescent="0.3">
      <c r="A6" s="6" t="s">
        <v>14</v>
      </c>
      <c r="B6" t="s">
        <v>130</v>
      </c>
      <c r="C6" s="1">
        <f t="shared" si="0"/>
        <v>36</v>
      </c>
      <c r="D6">
        <v>20</v>
      </c>
      <c r="E6">
        <v>10</v>
      </c>
      <c r="F6">
        <v>6</v>
      </c>
      <c r="G6">
        <f t="shared" si="1"/>
        <v>4</v>
      </c>
      <c r="H6">
        <v>29</v>
      </c>
      <c r="I6">
        <v>19</v>
      </c>
      <c r="J6">
        <f t="shared" si="2"/>
        <v>10</v>
      </c>
      <c r="L6" t="s">
        <v>133</v>
      </c>
      <c r="M6" t="s">
        <v>43</v>
      </c>
      <c r="N6" t="s">
        <v>127</v>
      </c>
    </row>
    <row r="7" spans="1:17" x14ac:dyDescent="0.3">
      <c r="A7" s="2" t="s">
        <v>15</v>
      </c>
      <c r="B7" t="s">
        <v>131</v>
      </c>
      <c r="C7" s="1">
        <f t="shared" si="0"/>
        <v>35</v>
      </c>
      <c r="D7">
        <v>20</v>
      </c>
      <c r="E7">
        <v>9</v>
      </c>
      <c r="F7">
        <v>8</v>
      </c>
      <c r="G7">
        <f t="shared" si="1"/>
        <v>3</v>
      </c>
      <c r="H7">
        <v>26</v>
      </c>
      <c r="I7">
        <v>18</v>
      </c>
      <c r="J7">
        <f t="shared" si="2"/>
        <v>8</v>
      </c>
      <c r="L7" t="s">
        <v>128</v>
      </c>
      <c r="M7" t="s">
        <v>44</v>
      </c>
      <c r="N7" t="s">
        <v>137</v>
      </c>
    </row>
    <row r="8" spans="1:17" x14ac:dyDescent="0.3">
      <c r="A8" s="2" t="s">
        <v>16</v>
      </c>
      <c r="B8" t="s">
        <v>132</v>
      </c>
      <c r="C8" s="1">
        <f t="shared" si="0"/>
        <v>34</v>
      </c>
      <c r="D8">
        <v>20</v>
      </c>
      <c r="E8">
        <v>10</v>
      </c>
      <c r="F8">
        <v>4</v>
      </c>
      <c r="G8">
        <f t="shared" si="1"/>
        <v>6</v>
      </c>
      <c r="H8">
        <v>30</v>
      </c>
      <c r="I8">
        <v>19</v>
      </c>
      <c r="J8">
        <f t="shared" si="2"/>
        <v>11</v>
      </c>
    </row>
    <row r="9" spans="1:17" x14ac:dyDescent="0.3">
      <c r="A9" s="2" t="s">
        <v>17</v>
      </c>
      <c r="B9" t="s">
        <v>133</v>
      </c>
      <c r="C9" s="1">
        <f t="shared" si="0"/>
        <v>31</v>
      </c>
      <c r="D9">
        <v>20</v>
      </c>
      <c r="E9">
        <v>8</v>
      </c>
      <c r="F9">
        <v>7</v>
      </c>
      <c r="G9">
        <f t="shared" si="1"/>
        <v>5</v>
      </c>
      <c r="H9">
        <v>28</v>
      </c>
      <c r="I9">
        <v>18</v>
      </c>
      <c r="J9">
        <f t="shared" si="2"/>
        <v>10</v>
      </c>
      <c r="L9" t="s">
        <v>53</v>
      </c>
    </row>
    <row r="10" spans="1:17" x14ac:dyDescent="0.3">
      <c r="A10" s="5" t="s">
        <v>18</v>
      </c>
      <c r="B10" t="s">
        <v>134</v>
      </c>
      <c r="C10" s="1">
        <f t="shared" si="0"/>
        <v>31</v>
      </c>
      <c r="D10">
        <v>20</v>
      </c>
      <c r="E10">
        <v>8</v>
      </c>
      <c r="F10">
        <v>7</v>
      </c>
      <c r="G10">
        <f t="shared" si="1"/>
        <v>5</v>
      </c>
      <c r="H10">
        <v>21</v>
      </c>
      <c r="I10">
        <v>17</v>
      </c>
      <c r="J10">
        <f t="shared" si="2"/>
        <v>4</v>
      </c>
      <c r="L10" t="s">
        <v>142</v>
      </c>
      <c r="M10" t="s">
        <v>75</v>
      </c>
      <c r="N10" t="s">
        <v>138</v>
      </c>
    </row>
    <row r="11" spans="1:17" x14ac:dyDescent="0.3">
      <c r="A11" t="s">
        <v>19</v>
      </c>
      <c r="B11" t="s">
        <v>135</v>
      </c>
      <c r="C11" s="1">
        <f t="shared" si="0"/>
        <v>30</v>
      </c>
      <c r="D11">
        <v>20</v>
      </c>
      <c r="E11">
        <v>8</v>
      </c>
      <c r="F11">
        <v>6</v>
      </c>
      <c r="G11">
        <f t="shared" si="1"/>
        <v>6</v>
      </c>
      <c r="H11">
        <v>23</v>
      </c>
      <c r="I11">
        <v>22</v>
      </c>
      <c r="J11">
        <f t="shared" si="2"/>
        <v>1</v>
      </c>
      <c r="L11" t="s">
        <v>129</v>
      </c>
      <c r="M11" t="s">
        <v>45</v>
      </c>
      <c r="N11" t="s">
        <v>144</v>
      </c>
    </row>
    <row r="12" spans="1:17" x14ac:dyDescent="0.3">
      <c r="A12" t="s">
        <v>20</v>
      </c>
      <c r="B12" t="s">
        <v>136</v>
      </c>
      <c r="C12" s="1">
        <f t="shared" si="0"/>
        <v>28</v>
      </c>
      <c r="D12">
        <v>20</v>
      </c>
      <c r="E12">
        <v>5</v>
      </c>
      <c r="F12">
        <v>13</v>
      </c>
      <c r="G12">
        <f t="shared" si="1"/>
        <v>2</v>
      </c>
      <c r="H12">
        <v>16</v>
      </c>
      <c r="I12">
        <v>9</v>
      </c>
      <c r="J12">
        <f t="shared" si="2"/>
        <v>7</v>
      </c>
      <c r="L12" t="s">
        <v>131</v>
      </c>
      <c r="M12" t="s">
        <v>151</v>
      </c>
      <c r="N12" t="s">
        <v>132</v>
      </c>
    </row>
    <row r="13" spans="1:17" x14ac:dyDescent="0.3">
      <c r="A13" t="s">
        <v>21</v>
      </c>
      <c r="B13" t="s">
        <v>137</v>
      </c>
      <c r="C13" s="1">
        <f t="shared" si="0"/>
        <v>26</v>
      </c>
      <c r="D13">
        <v>20</v>
      </c>
      <c r="E13">
        <v>6</v>
      </c>
      <c r="F13">
        <v>8</v>
      </c>
      <c r="G13">
        <f t="shared" si="1"/>
        <v>6</v>
      </c>
      <c r="H13">
        <v>19</v>
      </c>
      <c r="I13">
        <v>18</v>
      </c>
      <c r="J13">
        <f t="shared" si="2"/>
        <v>1</v>
      </c>
      <c r="L13" t="s">
        <v>133</v>
      </c>
      <c r="M13" t="s">
        <v>150</v>
      </c>
      <c r="N13" t="s">
        <v>137</v>
      </c>
    </row>
    <row r="14" spans="1:17" x14ac:dyDescent="0.3">
      <c r="A14" s="4" t="s">
        <v>22</v>
      </c>
      <c r="B14" t="s">
        <v>138</v>
      </c>
      <c r="C14" s="1">
        <f t="shared" si="0"/>
        <v>26</v>
      </c>
      <c r="D14">
        <v>20</v>
      </c>
      <c r="E14">
        <v>6</v>
      </c>
      <c r="F14">
        <v>8</v>
      </c>
      <c r="G14">
        <f t="shared" si="1"/>
        <v>6</v>
      </c>
      <c r="H14">
        <v>19</v>
      </c>
      <c r="I14">
        <v>18</v>
      </c>
      <c r="J14">
        <f t="shared" si="2"/>
        <v>1</v>
      </c>
    </row>
    <row r="15" spans="1:17" x14ac:dyDescent="0.3">
      <c r="A15" t="s">
        <v>23</v>
      </c>
      <c r="B15" t="s">
        <v>139</v>
      </c>
      <c r="C15" s="1">
        <f t="shared" si="0"/>
        <v>24</v>
      </c>
      <c r="D15">
        <v>20</v>
      </c>
      <c r="E15">
        <v>5</v>
      </c>
      <c r="F15">
        <v>9</v>
      </c>
      <c r="G15">
        <f t="shared" si="1"/>
        <v>6</v>
      </c>
      <c r="H15">
        <v>19</v>
      </c>
      <c r="I15">
        <v>16</v>
      </c>
      <c r="J15">
        <f t="shared" si="2"/>
        <v>3</v>
      </c>
      <c r="L15" t="s">
        <v>55</v>
      </c>
    </row>
    <row r="16" spans="1:17" x14ac:dyDescent="0.3">
      <c r="A16" t="s">
        <v>24</v>
      </c>
      <c r="B16" t="s">
        <v>140</v>
      </c>
      <c r="C16" s="1">
        <f t="shared" si="0"/>
        <v>23</v>
      </c>
      <c r="D16">
        <v>20</v>
      </c>
      <c r="E16">
        <v>5</v>
      </c>
      <c r="F16">
        <v>8</v>
      </c>
      <c r="G16">
        <f t="shared" si="1"/>
        <v>7</v>
      </c>
      <c r="H16">
        <v>14</v>
      </c>
      <c r="I16">
        <v>17</v>
      </c>
      <c r="J16">
        <f t="shared" si="2"/>
        <v>-3</v>
      </c>
      <c r="L16" t="s">
        <v>138</v>
      </c>
      <c r="M16" t="s">
        <v>48</v>
      </c>
      <c r="N16" t="s">
        <v>129</v>
      </c>
    </row>
    <row r="17" spans="1:14" x14ac:dyDescent="0.3">
      <c r="A17" t="s">
        <v>25</v>
      </c>
      <c r="B17" t="s">
        <v>141</v>
      </c>
      <c r="C17" s="1">
        <f t="shared" si="0"/>
        <v>21</v>
      </c>
      <c r="D17">
        <v>20</v>
      </c>
      <c r="E17">
        <v>5</v>
      </c>
      <c r="F17">
        <v>6</v>
      </c>
      <c r="G17">
        <f t="shared" si="1"/>
        <v>9</v>
      </c>
      <c r="H17">
        <v>17</v>
      </c>
      <c r="I17">
        <v>23</v>
      </c>
      <c r="J17">
        <f t="shared" si="2"/>
        <v>-6</v>
      </c>
      <c r="L17" t="s">
        <v>131</v>
      </c>
      <c r="M17" t="s">
        <v>150</v>
      </c>
      <c r="N17" t="s">
        <v>137</v>
      </c>
    </row>
    <row r="18" spans="1:14" x14ac:dyDescent="0.3">
      <c r="A18" t="s">
        <v>26</v>
      </c>
      <c r="B18" t="s">
        <v>142</v>
      </c>
      <c r="C18" s="1">
        <f t="shared" si="0"/>
        <v>20</v>
      </c>
      <c r="D18">
        <v>20</v>
      </c>
      <c r="E18">
        <v>5</v>
      </c>
      <c r="F18">
        <v>5</v>
      </c>
      <c r="G18">
        <f t="shared" si="1"/>
        <v>10</v>
      </c>
      <c r="H18">
        <v>15</v>
      </c>
      <c r="I18">
        <v>30</v>
      </c>
      <c r="J18">
        <f t="shared" si="2"/>
        <v>-15</v>
      </c>
    </row>
    <row r="19" spans="1:14" x14ac:dyDescent="0.3">
      <c r="A19" t="s">
        <v>122</v>
      </c>
      <c r="B19" t="s">
        <v>143</v>
      </c>
      <c r="C19" s="1">
        <f t="shared" ref="C19:C23" si="3">E19*3+F19</f>
        <v>18</v>
      </c>
      <c r="D19">
        <v>20</v>
      </c>
      <c r="E19">
        <v>3</v>
      </c>
      <c r="F19">
        <v>9</v>
      </c>
      <c r="G19">
        <f t="shared" ref="G19:G23" si="4">D19-E19-F19</f>
        <v>8</v>
      </c>
      <c r="H19">
        <v>12</v>
      </c>
      <c r="I19">
        <v>19</v>
      </c>
      <c r="J19">
        <f t="shared" ref="J19:J23" si="5">H19-I19</f>
        <v>-7</v>
      </c>
      <c r="L19" t="s">
        <v>56</v>
      </c>
    </row>
    <row r="20" spans="1:14" x14ac:dyDescent="0.3">
      <c r="A20" t="s">
        <v>123</v>
      </c>
      <c r="B20" t="s">
        <v>144</v>
      </c>
      <c r="C20" s="1">
        <f t="shared" si="3"/>
        <v>18</v>
      </c>
      <c r="D20">
        <v>20</v>
      </c>
      <c r="E20">
        <v>3</v>
      </c>
      <c r="F20">
        <v>9</v>
      </c>
      <c r="G20">
        <f t="shared" si="4"/>
        <v>8</v>
      </c>
      <c r="H20">
        <v>11</v>
      </c>
      <c r="I20">
        <v>21</v>
      </c>
      <c r="J20">
        <f t="shared" si="5"/>
        <v>-10</v>
      </c>
      <c r="L20" t="s">
        <v>138</v>
      </c>
      <c r="M20" t="s">
        <v>45</v>
      </c>
      <c r="N20" t="s">
        <v>137</v>
      </c>
    </row>
    <row r="21" spans="1:14" x14ac:dyDescent="0.3">
      <c r="A21" t="s">
        <v>124</v>
      </c>
      <c r="B21" t="s">
        <v>145</v>
      </c>
      <c r="C21" s="1">
        <f t="shared" si="3"/>
        <v>15</v>
      </c>
      <c r="D21">
        <v>20</v>
      </c>
      <c r="E21">
        <v>4</v>
      </c>
      <c r="F21">
        <v>3</v>
      </c>
      <c r="G21">
        <f t="shared" si="4"/>
        <v>13</v>
      </c>
      <c r="H21">
        <v>12</v>
      </c>
      <c r="I21">
        <v>26</v>
      </c>
      <c r="J21">
        <f t="shared" si="5"/>
        <v>-14</v>
      </c>
    </row>
    <row r="22" spans="1:14" x14ac:dyDescent="0.3">
      <c r="A22" t="s">
        <v>125</v>
      </c>
      <c r="B22" t="s">
        <v>146</v>
      </c>
      <c r="C22" s="1">
        <f t="shared" si="3"/>
        <v>14</v>
      </c>
      <c r="D22">
        <v>20</v>
      </c>
      <c r="E22">
        <v>3</v>
      </c>
      <c r="F22">
        <v>5</v>
      </c>
      <c r="G22">
        <f t="shared" si="4"/>
        <v>12</v>
      </c>
      <c r="H22">
        <v>12</v>
      </c>
      <c r="I22">
        <v>29</v>
      </c>
      <c r="J22">
        <f t="shared" si="5"/>
        <v>-17</v>
      </c>
    </row>
    <row r="23" spans="1:14" x14ac:dyDescent="0.3">
      <c r="A23" t="s">
        <v>126</v>
      </c>
      <c r="B23" t="s">
        <v>147</v>
      </c>
      <c r="C23" s="1">
        <f t="shared" si="3"/>
        <v>11</v>
      </c>
      <c r="D23">
        <v>20</v>
      </c>
      <c r="E23">
        <v>3</v>
      </c>
      <c r="F23">
        <v>2</v>
      </c>
      <c r="G23">
        <f t="shared" si="4"/>
        <v>15</v>
      </c>
      <c r="H23">
        <v>16</v>
      </c>
      <c r="I23">
        <v>35</v>
      </c>
      <c r="J23">
        <f t="shared" si="5"/>
        <v>-19</v>
      </c>
    </row>
    <row r="25" spans="1:14" x14ac:dyDescent="0.3">
      <c r="A25" t="s">
        <v>148</v>
      </c>
    </row>
    <row r="26" spans="1:14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</row>
    <row r="27" spans="1:14" x14ac:dyDescent="0.3">
      <c r="A27" s="3" t="s">
        <v>11</v>
      </c>
      <c r="B27" t="s">
        <v>128</v>
      </c>
      <c r="C27" s="1">
        <v>55</v>
      </c>
      <c r="D27">
        <v>6</v>
      </c>
      <c r="E27">
        <v>6</v>
      </c>
      <c r="F27">
        <v>0</v>
      </c>
      <c r="G27">
        <f t="shared" ref="G27:G33" si="6">D27-E27-F27</f>
        <v>0</v>
      </c>
      <c r="H27">
        <v>18</v>
      </c>
      <c r="I27">
        <v>4</v>
      </c>
      <c r="J27">
        <f t="shared" ref="J27:J33" si="7">H27-I27</f>
        <v>14</v>
      </c>
    </row>
    <row r="28" spans="1:14" x14ac:dyDescent="0.3">
      <c r="A28" s="3" t="s">
        <v>12</v>
      </c>
      <c r="B28" t="s">
        <v>127</v>
      </c>
      <c r="C28" s="1">
        <v>51</v>
      </c>
      <c r="D28">
        <v>6</v>
      </c>
      <c r="E28">
        <v>2</v>
      </c>
      <c r="F28">
        <v>1</v>
      </c>
      <c r="G28">
        <f t="shared" si="6"/>
        <v>3</v>
      </c>
      <c r="H28">
        <v>12</v>
      </c>
      <c r="I28">
        <v>11</v>
      </c>
      <c r="J28">
        <f t="shared" si="7"/>
        <v>1</v>
      </c>
    </row>
    <row r="29" spans="1:14" x14ac:dyDescent="0.3">
      <c r="A29" s="4" t="s">
        <v>13</v>
      </c>
      <c r="B29" t="s">
        <v>131</v>
      </c>
      <c r="C29" s="1">
        <v>45</v>
      </c>
      <c r="D29">
        <v>6</v>
      </c>
      <c r="E29">
        <v>3</v>
      </c>
      <c r="F29">
        <v>1</v>
      </c>
      <c r="G29">
        <f t="shared" si="6"/>
        <v>2</v>
      </c>
      <c r="H29">
        <v>11</v>
      </c>
      <c r="I29">
        <v>9</v>
      </c>
      <c r="J29">
        <f t="shared" si="7"/>
        <v>2</v>
      </c>
    </row>
    <row r="30" spans="1:14" x14ac:dyDescent="0.3">
      <c r="A30" s="5" t="s">
        <v>14</v>
      </c>
      <c r="B30" t="s">
        <v>130</v>
      </c>
      <c r="C30" s="1">
        <v>43</v>
      </c>
      <c r="D30">
        <v>6</v>
      </c>
      <c r="E30">
        <v>2</v>
      </c>
      <c r="F30">
        <v>1</v>
      </c>
      <c r="G30">
        <f t="shared" si="6"/>
        <v>3</v>
      </c>
      <c r="H30">
        <v>9</v>
      </c>
      <c r="I30">
        <v>12</v>
      </c>
      <c r="J30">
        <f t="shared" si="7"/>
        <v>-3</v>
      </c>
    </row>
    <row r="31" spans="1:14" x14ac:dyDescent="0.3">
      <c r="A31" t="s">
        <v>15</v>
      </c>
      <c r="B31" t="s">
        <v>129</v>
      </c>
      <c r="C31" s="1">
        <v>43</v>
      </c>
      <c r="D31">
        <v>6</v>
      </c>
      <c r="E31">
        <v>2</v>
      </c>
      <c r="F31">
        <v>0</v>
      </c>
      <c r="G31">
        <f t="shared" si="6"/>
        <v>4</v>
      </c>
      <c r="H31">
        <v>9</v>
      </c>
      <c r="I31">
        <v>13</v>
      </c>
      <c r="J31">
        <f t="shared" si="7"/>
        <v>-4</v>
      </c>
    </row>
    <row r="32" spans="1:14" x14ac:dyDescent="0.3">
      <c r="A32" t="s">
        <v>16</v>
      </c>
      <c r="B32" t="s">
        <v>133</v>
      </c>
      <c r="C32" s="1">
        <v>41</v>
      </c>
      <c r="D32">
        <v>6</v>
      </c>
      <c r="E32">
        <v>3</v>
      </c>
      <c r="F32">
        <v>1</v>
      </c>
      <c r="G32">
        <f t="shared" si="6"/>
        <v>2</v>
      </c>
      <c r="H32">
        <v>10</v>
      </c>
      <c r="I32">
        <v>9</v>
      </c>
      <c r="J32">
        <f t="shared" si="7"/>
        <v>1</v>
      </c>
    </row>
    <row r="33" spans="1:10" x14ac:dyDescent="0.3">
      <c r="A33" t="s">
        <v>17</v>
      </c>
      <c r="B33" t="s">
        <v>132</v>
      </c>
      <c r="C33" s="1">
        <v>37</v>
      </c>
      <c r="D33">
        <v>6</v>
      </c>
      <c r="E33">
        <v>1</v>
      </c>
      <c r="F33">
        <v>0</v>
      </c>
      <c r="G33">
        <f t="shared" si="6"/>
        <v>5</v>
      </c>
      <c r="H33">
        <v>4</v>
      </c>
      <c r="I33">
        <v>15</v>
      </c>
      <c r="J33">
        <f t="shared" si="7"/>
        <v>-11</v>
      </c>
    </row>
  </sheetData>
  <sortState xmlns:xlrd2="http://schemas.microsoft.com/office/spreadsheetml/2017/richdata2" ref="B27:J33">
    <sortCondition descending="1" ref="C27:C33"/>
    <sortCondition descending="1" ref="J27:J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8181-DFFF-4C1C-9510-815020F5AC53}">
  <dimension ref="A1:Q27"/>
  <sheetViews>
    <sheetView workbookViewId="0">
      <selection activeCell="F22" sqref="F22"/>
    </sheetView>
  </sheetViews>
  <sheetFormatPr defaultRowHeight="14.4" x14ac:dyDescent="0.3"/>
  <sheetData>
    <row r="1" spans="1:17" x14ac:dyDescent="0.3">
      <c r="A1" t="s">
        <v>153</v>
      </c>
      <c r="L1" t="s">
        <v>172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100</v>
      </c>
      <c r="P2" t="s">
        <v>154</v>
      </c>
      <c r="Q2">
        <v>2</v>
      </c>
    </row>
    <row r="3" spans="1:17" x14ac:dyDescent="0.3">
      <c r="A3" s="3" t="s">
        <v>11</v>
      </c>
      <c r="B3" t="s">
        <v>154</v>
      </c>
      <c r="C3" s="1">
        <f t="shared" ref="C3:C20" si="0">E3*3+F3</f>
        <v>54</v>
      </c>
      <c r="D3">
        <v>30</v>
      </c>
      <c r="E3">
        <v>14</v>
      </c>
      <c r="F3">
        <v>12</v>
      </c>
      <c r="G3">
        <f t="shared" ref="G3:G20" si="1">D3-E3-F3</f>
        <v>4</v>
      </c>
      <c r="H3">
        <v>35</v>
      </c>
      <c r="I3">
        <v>24</v>
      </c>
      <c r="J3">
        <f t="shared" ref="J3:J20" si="2">H3-I3</f>
        <v>11</v>
      </c>
      <c r="L3" t="s">
        <v>168</v>
      </c>
      <c r="M3" t="s">
        <v>47</v>
      </c>
      <c r="N3" t="s">
        <v>161</v>
      </c>
      <c r="P3" t="s">
        <v>165</v>
      </c>
      <c r="Q3">
        <v>1</v>
      </c>
    </row>
    <row r="4" spans="1:17" x14ac:dyDescent="0.3">
      <c r="A4" s="5" t="s">
        <v>12</v>
      </c>
      <c r="B4" t="s">
        <v>155</v>
      </c>
      <c r="C4" s="1">
        <f t="shared" si="0"/>
        <v>53</v>
      </c>
      <c r="D4">
        <v>30</v>
      </c>
      <c r="E4">
        <v>13</v>
      </c>
      <c r="F4">
        <v>14</v>
      </c>
      <c r="G4">
        <f t="shared" si="1"/>
        <v>3</v>
      </c>
      <c r="H4">
        <v>41</v>
      </c>
      <c r="I4">
        <v>30</v>
      </c>
      <c r="J4">
        <f t="shared" si="2"/>
        <v>11</v>
      </c>
      <c r="L4" t="s">
        <v>156</v>
      </c>
      <c r="M4" t="s">
        <v>173</v>
      </c>
      <c r="N4" t="s">
        <v>165</v>
      </c>
    </row>
    <row r="5" spans="1:17" x14ac:dyDescent="0.3">
      <c r="A5" s="5" t="s">
        <v>13</v>
      </c>
      <c r="B5" t="s">
        <v>156</v>
      </c>
      <c r="C5" s="1">
        <f t="shared" si="0"/>
        <v>53</v>
      </c>
      <c r="D5">
        <v>30</v>
      </c>
      <c r="E5">
        <v>13</v>
      </c>
      <c r="F5">
        <v>14</v>
      </c>
      <c r="G5">
        <f t="shared" si="1"/>
        <v>3</v>
      </c>
      <c r="H5">
        <v>31</v>
      </c>
      <c r="I5">
        <v>24</v>
      </c>
      <c r="J5">
        <f t="shared" si="2"/>
        <v>7</v>
      </c>
    </row>
    <row r="6" spans="1:17" x14ac:dyDescent="0.3">
      <c r="A6" s="5" t="s">
        <v>14</v>
      </c>
      <c r="B6" t="s">
        <v>157</v>
      </c>
      <c r="C6" s="1">
        <f t="shared" si="0"/>
        <v>53</v>
      </c>
      <c r="D6">
        <v>30</v>
      </c>
      <c r="E6">
        <v>15</v>
      </c>
      <c r="F6">
        <v>8</v>
      </c>
      <c r="G6">
        <f t="shared" si="1"/>
        <v>7</v>
      </c>
      <c r="H6">
        <v>35</v>
      </c>
      <c r="I6">
        <v>29</v>
      </c>
      <c r="J6">
        <f t="shared" si="2"/>
        <v>6</v>
      </c>
      <c r="L6" t="s">
        <v>52</v>
      </c>
    </row>
    <row r="7" spans="1:17" x14ac:dyDescent="0.3">
      <c r="A7" t="s">
        <v>15</v>
      </c>
      <c r="B7" t="s">
        <v>158</v>
      </c>
      <c r="C7" s="1">
        <f t="shared" si="0"/>
        <v>51</v>
      </c>
      <c r="D7">
        <v>30</v>
      </c>
      <c r="E7">
        <v>13</v>
      </c>
      <c r="F7">
        <v>12</v>
      </c>
      <c r="G7">
        <f t="shared" si="1"/>
        <v>5</v>
      </c>
      <c r="H7">
        <v>36</v>
      </c>
      <c r="I7">
        <v>32</v>
      </c>
      <c r="J7">
        <f t="shared" si="2"/>
        <v>4</v>
      </c>
      <c r="L7" t="s">
        <v>168</v>
      </c>
      <c r="M7" t="s">
        <v>44</v>
      </c>
      <c r="N7" t="s">
        <v>165</v>
      </c>
    </row>
    <row r="8" spans="1:17" x14ac:dyDescent="0.3">
      <c r="A8" t="s">
        <v>16</v>
      </c>
      <c r="B8" t="s">
        <v>159</v>
      </c>
      <c r="C8" s="1">
        <f t="shared" si="0"/>
        <v>50</v>
      </c>
      <c r="D8">
        <v>30</v>
      </c>
      <c r="E8">
        <v>13</v>
      </c>
      <c r="F8">
        <v>11</v>
      </c>
      <c r="G8">
        <f t="shared" si="1"/>
        <v>6</v>
      </c>
      <c r="H8">
        <v>33</v>
      </c>
      <c r="I8">
        <v>29</v>
      </c>
      <c r="J8">
        <f t="shared" si="2"/>
        <v>4</v>
      </c>
      <c r="L8" t="s">
        <v>164</v>
      </c>
      <c r="M8" t="s">
        <v>43</v>
      </c>
      <c r="N8" t="s">
        <v>171</v>
      </c>
    </row>
    <row r="9" spans="1:17" x14ac:dyDescent="0.3">
      <c r="A9" t="s">
        <v>17</v>
      </c>
      <c r="B9" t="s">
        <v>160</v>
      </c>
      <c r="C9" s="1">
        <f t="shared" si="0"/>
        <v>49</v>
      </c>
      <c r="D9">
        <v>30</v>
      </c>
      <c r="E9">
        <v>13</v>
      </c>
      <c r="F9">
        <v>10</v>
      </c>
      <c r="G9">
        <f t="shared" si="1"/>
        <v>7</v>
      </c>
      <c r="H9">
        <v>30</v>
      </c>
      <c r="I9">
        <v>30</v>
      </c>
      <c r="J9">
        <f t="shared" si="2"/>
        <v>0</v>
      </c>
      <c r="L9" t="s">
        <v>155</v>
      </c>
      <c r="M9" t="s">
        <v>48</v>
      </c>
      <c r="N9" t="s">
        <v>154</v>
      </c>
    </row>
    <row r="10" spans="1:17" x14ac:dyDescent="0.3">
      <c r="A10" s="5" t="s">
        <v>18</v>
      </c>
      <c r="B10" t="s">
        <v>161</v>
      </c>
      <c r="C10" s="1">
        <f t="shared" si="0"/>
        <v>47</v>
      </c>
      <c r="D10">
        <v>30</v>
      </c>
      <c r="E10">
        <v>12</v>
      </c>
      <c r="F10">
        <v>11</v>
      </c>
      <c r="G10">
        <f t="shared" si="1"/>
        <v>7</v>
      </c>
      <c r="H10">
        <v>32</v>
      </c>
      <c r="I10">
        <v>31</v>
      </c>
      <c r="J10">
        <f t="shared" si="2"/>
        <v>1</v>
      </c>
      <c r="L10" t="s">
        <v>160</v>
      </c>
      <c r="M10" t="s">
        <v>174</v>
      </c>
      <c r="N10" t="s">
        <v>167</v>
      </c>
    </row>
    <row r="11" spans="1:17" x14ac:dyDescent="0.3">
      <c r="A11" t="s">
        <v>19</v>
      </c>
      <c r="B11" t="s">
        <v>162</v>
      </c>
      <c r="C11" s="1">
        <f t="shared" si="0"/>
        <v>47</v>
      </c>
      <c r="D11">
        <v>30</v>
      </c>
      <c r="E11">
        <v>14</v>
      </c>
      <c r="F11">
        <v>5</v>
      </c>
      <c r="G11">
        <f t="shared" si="1"/>
        <v>11</v>
      </c>
      <c r="H11">
        <v>34</v>
      </c>
      <c r="I11">
        <v>41</v>
      </c>
      <c r="J11">
        <f t="shared" si="2"/>
        <v>-7</v>
      </c>
      <c r="L11" t="s">
        <v>170</v>
      </c>
      <c r="M11" t="s">
        <v>151</v>
      </c>
      <c r="N11" t="s">
        <v>166</v>
      </c>
    </row>
    <row r="12" spans="1:17" x14ac:dyDescent="0.3">
      <c r="A12" t="s">
        <v>20</v>
      </c>
      <c r="B12" t="s">
        <v>163</v>
      </c>
      <c r="C12" s="1">
        <f t="shared" si="0"/>
        <v>45</v>
      </c>
      <c r="D12">
        <v>30</v>
      </c>
      <c r="E12">
        <v>12</v>
      </c>
      <c r="F12">
        <v>9</v>
      </c>
      <c r="G12">
        <f t="shared" si="1"/>
        <v>9</v>
      </c>
      <c r="H12">
        <v>33</v>
      </c>
      <c r="I12">
        <v>29</v>
      </c>
      <c r="J12">
        <f t="shared" si="2"/>
        <v>4</v>
      </c>
      <c r="L12" t="s">
        <v>169</v>
      </c>
      <c r="M12" t="s">
        <v>46</v>
      </c>
      <c r="N12" t="s">
        <v>163</v>
      </c>
    </row>
    <row r="13" spans="1:17" x14ac:dyDescent="0.3">
      <c r="A13" t="s">
        <v>21</v>
      </c>
      <c r="B13" t="s">
        <v>164</v>
      </c>
      <c r="C13" s="1">
        <f t="shared" si="0"/>
        <v>44</v>
      </c>
      <c r="D13">
        <v>30</v>
      </c>
      <c r="E13">
        <v>11</v>
      </c>
      <c r="F13">
        <v>11</v>
      </c>
      <c r="G13">
        <f t="shared" si="1"/>
        <v>8</v>
      </c>
      <c r="H13">
        <v>25</v>
      </c>
      <c r="I13">
        <v>25</v>
      </c>
      <c r="J13">
        <f t="shared" si="2"/>
        <v>0</v>
      </c>
      <c r="L13" t="s">
        <v>159</v>
      </c>
      <c r="M13" t="s">
        <v>43</v>
      </c>
      <c r="N13" t="s">
        <v>157</v>
      </c>
    </row>
    <row r="14" spans="1:17" x14ac:dyDescent="0.3">
      <c r="A14" s="4" t="s">
        <v>22</v>
      </c>
      <c r="B14" t="s">
        <v>165</v>
      </c>
      <c r="C14" s="1">
        <f t="shared" si="0"/>
        <v>44</v>
      </c>
      <c r="D14">
        <v>30</v>
      </c>
      <c r="E14">
        <v>11</v>
      </c>
      <c r="F14">
        <v>11</v>
      </c>
      <c r="G14">
        <f t="shared" si="1"/>
        <v>8</v>
      </c>
      <c r="H14">
        <v>32</v>
      </c>
      <c r="I14">
        <v>35</v>
      </c>
      <c r="J14">
        <f t="shared" si="2"/>
        <v>-3</v>
      </c>
      <c r="L14" t="s">
        <v>158</v>
      </c>
      <c r="M14" t="s">
        <v>175</v>
      </c>
      <c r="N14" t="s">
        <v>162</v>
      </c>
    </row>
    <row r="15" spans="1:17" x14ac:dyDescent="0.3">
      <c r="A15" t="s">
        <v>23</v>
      </c>
      <c r="B15" t="s">
        <v>166</v>
      </c>
      <c r="C15" s="1">
        <f t="shared" si="0"/>
        <v>43</v>
      </c>
      <c r="D15">
        <v>30</v>
      </c>
      <c r="E15">
        <v>12</v>
      </c>
      <c r="F15">
        <v>7</v>
      </c>
      <c r="G15">
        <f t="shared" si="1"/>
        <v>11</v>
      </c>
      <c r="H15">
        <v>37</v>
      </c>
      <c r="I15">
        <v>37</v>
      </c>
      <c r="J15">
        <f t="shared" si="2"/>
        <v>0</v>
      </c>
    </row>
    <row r="16" spans="1:17" x14ac:dyDescent="0.3">
      <c r="A16" t="s">
        <v>24</v>
      </c>
      <c r="B16" t="s">
        <v>167</v>
      </c>
      <c r="C16" s="1">
        <f t="shared" si="0"/>
        <v>43</v>
      </c>
      <c r="D16">
        <v>30</v>
      </c>
      <c r="E16">
        <v>12</v>
      </c>
      <c r="F16">
        <v>7</v>
      </c>
      <c r="G16">
        <f t="shared" si="1"/>
        <v>11</v>
      </c>
      <c r="H16">
        <v>32</v>
      </c>
      <c r="I16">
        <v>37</v>
      </c>
      <c r="J16">
        <f t="shared" si="2"/>
        <v>-5</v>
      </c>
      <c r="L16" t="s">
        <v>53</v>
      </c>
    </row>
    <row r="17" spans="1:14" x14ac:dyDescent="0.3">
      <c r="A17" t="s">
        <v>25</v>
      </c>
      <c r="B17" t="s">
        <v>168</v>
      </c>
      <c r="C17" s="1">
        <f t="shared" si="0"/>
        <v>41</v>
      </c>
      <c r="D17">
        <v>30</v>
      </c>
      <c r="E17">
        <v>10</v>
      </c>
      <c r="F17">
        <v>11</v>
      </c>
      <c r="G17">
        <f t="shared" si="1"/>
        <v>9</v>
      </c>
      <c r="H17">
        <v>29</v>
      </c>
      <c r="I17">
        <v>32</v>
      </c>
      <c r="J17">
        <f t="shared" si="2"/>
        <v>-3</v>
      </c>
      <c r="L17" t="s">
        <v>165</v>
      </c>
      <c r="M17" t="s">
        <v>76</v>
      </c>
      <c r="N17" t="s">
        <v>164</v>
      </c>
    </row>
    <row r="18" spans="1:14" x14ac:dyDescent="0.3">
      <c r="A18" t="s">
        <v>26</v>
      </c>
      <c r="B18" t="s">
        <v>169</v>
      </c>
      <c r="C18" s="1">
        <f t="shared" si="0"/>
        <v>40</v>
      </c>
      <c r="D18">
        <v>30</v>
      </c>
      <c r="E18">
        <v>11</v>
      </c>
      <c r="F18">
        <v>7</v>
      </c>
      <c r="G18">
        <f t="shared" si="1"/>
        <v>12</v>
      </c>
      <c r="H18">
        <v>28</v>
      </c>
      <c r="I18">
        <v>41</v>
      </c>
      <c r="J18">
        <f t="shared" si="2"/>
        <v>-13</v>
      </c>
      <c r="L18" t="s">
        <v>160</v>
      </c>
      <c r="M18" t="s">
        <v>47</v>
      </c>
      <c r="N18" t="s">
        <v>155</v>
      </c>
    </row>
    <row r="19" spans="1:14" x14ac:dyDescent="0.3">
      <c r="A19" t="s">
        <v>122</v>
      </c>
      <c r="B19" t="s">
        <v>170</v>
      </c>
      <c r="C19" s="1">
        <f t="shared" si="0"/>
        <v>37</v>
      </c>
      <c r="D19">
        <v>30</v>
      </c>
      <c r="E19">
        <v>9</v>
      </c>
      <c r="F19">
        <v>10</v>
      </c>
      <c r="G19">
        <f t="shared" si="1"/>
        <v>11</v>
      </c>
      <c r="H19">
        <v>28</v>
      </c>
      <c r="I19">
        <v>34</v>
      </c>
      <c r="J19">
        <f t="shared" si="2"/>
        <v>-6</v>
      </c>
      <c r="L19" t="s">
        <v>170</v>
      </c>
      <c r="M19" t="s">
        <v>176</v>
      </c>
      <c r="N19" t="s">
        <v>163</v>
      </c>
    </row>
    <row r="20" spans="1:14" x14ac:dyDescent="0.3">
      <c r="A20" t="s">
        <v>123</v>
      </c>
      <c r="B20" t="s">
        <v>171</v>
      </c>
      <c r="C20" s="1">
        <f t="shared" si="0"/>
        <v>35</v>
      </c>
      <c r="D20">
        <v>30</v>
      </c>
      <c r="E20">
        <v>9</v>
      </c>
      <c r="F20">
        <v>8</v>
      </c>
      <c r="G20">
        <f t="shared" si="1"/>
        <v>13</v>
      </c>
      <c r="H20">
        <v>26</v>
      </c>
      <c r="I20">
        <v>37</v>
      </c>
      <c r="J20">
        <f t="shared" si="2"/>
        <v>-11</v>
      </c>
      <c r="L20" t="s">
        <v>159</v>
      </c>
      <c r="M20" t="s">
        <v>177</v>
      </c>
      <c r="N20" t="s">
        <v>162</v>
      </c>
    </row>
    <row r="22" spans="1:14" x14ac:dyDescent="0.3">
      <c r="L22" t="s">
        <v>55</v>
      </c>
    </row>
    <row r="23" spans="1:14" x14ac:dyDescent="0.3">
      <c r="L23" t="s">
        <v>160</v>
      </c>
      <c r="M23" t="s">
        <v>46</v>
      </c>
      <c r="N23" t="s">
        <v>165</v>
      </c>
    </row>
    <row r="24" spans="1:14" x14ac:dyDescent="0.3">
      <c r="L24" t="s">
        <v>170</v>
      </c>
      <c r="M24" t="s">
        <v>47</v>
      </c>
      <c r="N24" t="s">
        <v>162</v>
      </c>
    </row>
    <row r="26" spans="1:14" x14ac:dyDescent="0.3">
      <c r="L26" t="s">
        <v>56</v>
      </c>
    </row>
    <row r="27" spans="1:14" x14ac:dyDescent="0.3">
      <c r="L27" t="s">
        <v>170</v>
      </c>
      <c r="M27" t="s">
        <v>150</v>
      </c>
      <c r="N27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8151-16D8-48F8-8956-DBA27280EE48}">
  <dimension ref="A1:M16"/>
  <sheetViews>
    <sheetView workbookViewId="0">
      <selection activeCell="N14" sqref="N14"/>
    </sheetView>
  </sheetViews>
  <sheetFormatPr defaultRowHeight="14.4" x14ac:dyDescent="0.3"/>
  <sheetData>
    <row r="1" spans="1:13" x14ac:dyDescent="0.3">
      <c r="A1" t="s">
        <v>189</v>
      </c>
      <c r="L1" t="s">
        <v>120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190</v>
      </c>
      <c r="M2">
        <v>14</v>
      </c>
    </row>
    <row r="3" spans="1:13" x14ac:dyDescent="0.3">
      <c r="A3" s="3" t="s">
        <v>11</v>
      </c>
      <c r="B3" t="s">
        <v>190</v>
      </c>
      <c r="C3" s="1">
        <f t="shared" ref="C3:C16" si="0">E3*3+F3</f>
        <v>45</v>
      </c>
      <c r="D3">
        <v>26</v>
      </c>
      <c r="E3">
        <v>13</v>
      </c>
      <c r="F3">
        <v>6</v>
      </c>
      <c r="G3">
        <f t="shared" ref="G3:G16" si="1">D3-E3-F3</f>
        <v>7</v>
      </c>
      <c r="H3">
        <v>31</v>
      </c>
      <c r="I3">
        <v>22</v>
      </c>
      <c r="J3">
        <f t="shared" ref="J3:J16" si="2">H3-I3</f>
        <v>9</v>
      </c>
    </row>
    <row r="4" spans="1:13" x14ac:dyDescent="0.3">
      <c r="A4" s="4" t="s">
        <v>12</v>
      </c>
      <c r="B4" t="s">
        <v>191</v>
      </c>
      <c r="C4" s="1">
        <f t="shared" si="0"/>
        <v>45</v>
      </c>
      <c r="D4">
        <v>26</v>
      </c>
      <c r="E4">
        <v>14</v>
      </c>
      <c r="F4">
        <v>3</v>
      </c>
      <c r="G4">
        <f t="shared" si="1"/>
        <v>9</v>
      </c>
      <c r="H4">
        <v>35</v>
      </c>
      <c r="I4">
        <v>28</v>
      </c>
      <c r="J4">
        <f t="shared" si="2"/>
        <v>7</v>
      </c>
    </row>
    <row r="5" spans="1:13" x14ac:dyDescent="0.3">
      <c r="A5" s="5" t="s">
        <v>13</v>
      </c>
      <c r="B5" t="s">
        <v>179</v>
      </c>
      <c r="C5" s="1">
        <f t="shared" si="0"/>
        <v>44</v>
      </c>
      <c r="D5">
        <v>26</v>
      </c>
      <c r="E5">
        <v>14</v>
      </c>
      <c r="F5">
        <v>2</v>
      </c>
      <c r="G5">
        <f t="shared" si="1"/>
        <v>10</v>
      </c>
      <c r="H5">
        <v>44</v>
      </c>
      <c r="I5">
        <v>28</v>
      </c>
      <c r="J5">
        <f t="shared" si="2"/>
        <v>16</v>
      </c>
    </row>
    <row r="6" spans="1:13" x14ac:dyDescent="0.3">
      <c r="A6" s="5" t="s">
        <v>14</v>
      </c>
      <c r="B6" t="s">
        <v>178</v>
      </c>
      <c r="C6" s="1">
        <f t="shared" si="0"/>
        <v>43</v>
      </c>
      <c r="D6">
        <v>26</v>
      </c>
      <c r="E6">
        <v>12</v>
      </c>
      <c r="F6">
        <v>7</v>
      </c>
      <c r="G6">
        <f t="shared" si="1"/>
        <v>7</v>
      </c>
      <c r="H6">
        <v>34</v>
      </c>
      <c r="I6">
        <v>23</v>
      </c>
      <c r="J6">
        <f t="shared" si="2"/>
        <v>11</v>
      </c>
    </row>
    <row r="7" spans="1:13" x14ac:dyDescent="0.3">
      <c r="A7" t="s">
        <v>15</v>
      </c>
      <c r="B7" t="s">
        <v>181</v>
      </c>
      <c r="C7" s="1">
        <f t="shared" si="0"/>
        <v>43</v>
      </c>
      <c r="D7">
        <v>26</v>
      </c>
      <c r="E7">
        <v>13</v>
      </c>
      <c r="F7">
        <v>4</v>
      </c>
      <c r="G7">
        <f t="shared" si="1"/>
        <v>9</v>
      </c>
      <c r="H7">
        <v>35</v>
      </c>
      <c r="I7">
        <v>25</v>
      </c>
      <c r="J7">
        <f t="shared" si="2"/>
        <v>10</v>
      </c>
    </row>
    <row r="8" spans="1:13" x14ac:dyDescent="0.3">
      <c r="A8" t="s">
        <v>16</v>
      </c>
      <c r="B8" t="s">
        <v>183</v>
      </c>
      <c r="C8" s="1">
        <f t="shared" si="0"/>
        <v>39</v>
      </c>
      <c r="D8">
        <v>26</v>
      </c>
      <c r="E8">
        <v>10</v>
      </c>
      <c r="F8">
        <v>9</v>
      </c>
      <c r="G8">
        <f t="shared" si="1"/>
        <v>7</v>
      </c>
      <c r="H8">
        <v>38</v>
      </c>
      <c r="I8">
        <v>31</v>
      </c>
      <c r="J8">
        <f t="shared" si="2"/>
        <v>7</v>
      </c>
    </row>
    <row r="9" spans="1:13" x14ac:dyDescent="0.3">
      <c r="A9" t="s">
        <v>17</v>
      </c>
      <c r="B9" t="s">
        <v>180</v>
      </c>
      <c r="C9" s="1">
        <f t="shared" si="0"/>
        <v>37</v>
      </c>
      <c r="D9">
        <v>26</v>
      </c>
      <c r="E9">
        <v>10</v>
      </c>
      <c r="F9">
        <v>7</v>
      </c>
      <c r="G9">
        <f t="shared" si="1"/>
        <v>9</v>
      </c>
      <c r="H9">
        <v>26</v>
      </c>
      <c r="I9">
        <v>26</v>
      </c>
      <c r="J9">
        <f t="shared" si="2"/>
        <v>0</v>
      </c>
    </row>
    <row r="10" spans="1:13" x14ac:dyDescent="0.3">
      <c r="A10" s="5" t="s">
        <v>18</v>
      </c>
      <c r="B10" t="s">
        <v>185</v>
      </c>
      <c r="C10" s="1">
        <f t="shared" si="0"/>
        <v>37</v>
      </c>
      <c r="D10">
        <v>26</v>
      </c>
      <c r="E10">
        <v>10</v>
      </c>
      <c r="F10">
        <v>7</v>
      </c>
      <c r="G10">
        <f t="shared" si="1"/>
        <v>9</v>
      </c>
      <c r="H10">
        <v>31</v>
      </c>
      <c r="I10">
        <v>34</v>
      </c>
      <c r="J10">
        <f t="shared" si="2"/>
        <v>-3</v>
      </c>
    </row>
    <row r="11" spans="1:13" x14ac:dyDescent="0.3">
      <c r="A11" t="s">
        <v>19</v>
      </c>
      <c r="B11" t="s">
        <v>184</v>
      </c>
      <c r="C11" s="1">
        <f t="shared" si="0"/>
        <v>35</v>
      </c>
      <c r="D11">
        <v>26</v>
      </c>
      <c r="E11">
        <v>10</v>
      </c>
      <c r="F11">
        <v>5</v>
      </c>
      <c r="G11">
        <f t="shared" si="1"/>
        <v>11</v>
      </c>
      <c r="H11">
        <v>33</v>
      </c>
      <c r="I11">
        <v>42</v>
      </c>
      <c r="J11">
        <f t="shared" si="2"/>
        <v>-9</v>
      </c>
    </row>
    <row r="12" spans="1:13" x14ac:dyDescent="0.3">
      <c r="A12" t="s">
        <v>20</v>
      </c>
      <c r="B12" t="s">
        <v>187</v>
      </c>
      <c r="C12" s="1">
        <f t="shared" si="0"/>
        <v>32</v>
      </c>
      <c r="D12">
        <v>26</v>
      </c>
      <c r="E12">
        <v>9</v>
      </c>
      <c r="F12">
        <v>5</v>
      </c>
      <c r="G12">
        <f t="shared" si="1"/>
        <v>12</v>
      </c>
      <c r="H12">
        <v>27</v>
      </c>
      <c r="I12">
        <v>34</v>
      </c>
      <c r="J12">
        <f t="shared" si="2"/>
        <v>-7</v>
      </c>
    </row>
    <row r="13" spans="1:13" x14ac:dyDescent="0.3">
      <c r="A13" t="s">
        <v>21</v>
      </c>
      <c r="B13" t="s">
        <v>186</v>
      </c>
      <c r="C13" s="1">
        <f t="shared" si="0"/>
        <v>30</v>
      </c>
      <c r="D13">
        <v>26</v>
      </c>
      <c r="E13">
        <v>8</v>
      </c>
      <c r="F13">
        <v>6</v>
      </c>
      <c r="G13">
        <f t="shared" si="1"/>
        <v>12</v>
      </c>
      <c r="H13">
        <v>28</v>
      </c>
      <c r="I13">
        <v>38</v>
      </c>
      <c r="J13">
        <f t="shared" si="2"/>
        <v>-10</v>
      </c>
    </row>
    <row r="14" spans="1:13" x14ac:dyDescent="0.3">
      <c r="A14" s="5" t="s">
        <v>22</v>
      </c>
      <c r="B14" t="s">
        <v>182</v>
      </c>
      <c r="C14" s="1">
        <f t="shared" si="0"/>
        <v>28</v>
      </c>
      <c r="D14">
        <v>26</v>
      </c>
      <c r="E14">
        <v>8</v>
      </c>
      <c r="F14">
        <v>4</v>
      </c>
      <c r="G14">
        <f t="shared" si="1"/>
        <v>14</v>
      </c>
      <c r="H14">
        <v>28</v>
      </c>
      <c r="I14">
        <v>35</v>
      </c>
      <c r="J14">
        <f t="shared" si="2"/>
        <v>-7</v>
      </c>
    </row>
    <row r="15" spans="1:13" x14ac:dyDescent="0.3">
      <c r="A15" t="s">
        <v>23</v>
      </c>
      <c r="B15" t="s">
        <v>192</v>
      </c>
      <c r="C15" s="1">
        <f t="shared" si="0"/>
        <v>27</v>
      </c>
      <c r="D15">
        <v>26</v>
      </c>
      <c r="E15">
        <v>7</v>
      </c>
      <c r="F15">
        <v>6</v>
      </c>
      <c r="G15">
        <f t="shared" si="1"/>
        <v>13</v>
      </c>
      <c r="H15">
        <v>20</v>
      </c>
      <c r="I15">
        <v>32</v>
      </c>
      <c r="J15">
        <f t="shared" si="2"/>
        <v>-12</v>
      </c>
    </row>
    <row r="16" spans="1:13" x14ac:dyDescent="0.3">
      <c r="A16" t="s">
        <v>24</v>
      </c>
      <c r="B16" t="s">
        <v>188</v>
      </c>
      <c r="C16" s="1">
        <f t="shared" si="0"/>
        <v>22</v>
      </c>
      <c r="D16">
        <v>26</v>
      </c>
      <c r="E16">
        <v>5</v>
      </c>
      <c r="F16">
        <v>7</v>
      </c>
      <c r="G16">
        <f t="shared" si="1"/>
        <v>14</v>
      </c>
      <c r="H16">
        <v>23</v>
      </c>
      <c r="I16">
        <v>34</v>
      </c>
      <c r="J16">
        <f t="shared" si="2"/>
        <v>-11</v>
      </c>
    </row>
  </sheetData>
  <sortState xmlns:xlrd2="http://schemas.microsoft.com/office/spreadsheetml/2017/richdata2" ref="B3:J16">
    <sortCondition descending="1" ref="C3:C16"/>
    <sortCondition descending="1" ref="J3:J16"/>
    <sortCondition descending="1" ref="H3:H16"/>
  </sortState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424A-966A-4172-B71F-B1F1A291416A}">
  <dimension ref="A1:R23"/>
  <sheetViews>
    <sheetView workbookViewId="0">
      <selection activeCell="K27" sqref="K27"/>
    </sheetView>
  </sheetViews>
  <sheetFormatPr defaultRowHeight="14.4" x14ac:dyDescent="0.3"/>
  <sheetData>
    <row r="1" spans="1:18" x14ac:dyDescent="0.3">
      <c r="A1" t="s">
        <v>193</v>
      </c>
      <c r="L1" t="s">
        <v>209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52</v>
      </c>
      <c r="Q2" t="s">
        <v>208</v>
      </c>
      <c r="R2">
        <v>1</v>
      </c>
    </row>
    <row r="3" spans="1:18" x14ac:dyDescent="0.3">
      <c r="A3" s="3" t="s">
        <v>11</v>
      </c>
      <c r="B3" t="s">
        <v>208</v>
      </c>
      <c r="C3" s="1">
        <f t="shared" ref="C3:C18" si="0">E3*3+F3</f>
        <v>60</v>
      </c>
      <c r="D3">
        <v>30</v>
      </c>
      <c r="E3">
        <v>18</v>
      </c>
      <c r="F3">
        <v>6</v>
      </c>
      <c r="G3">
        <f t="shared" ref="G3:G18" si="1">D3-E3-F3</f>
        <v>6</v>
      </c>
      <c r="H3">
        <v>47</v>
      </c>
      <c r="I3">
        <v>31</v>
      </c>
      <c r="J3">
        <f t="shared" ref="J3:J18" si="2">H3-I3</f>
        <v>16</v>
      </c>
      <c r="L3" t="s">
        <v>207</v>
      </c>
      <c r="M3" t="s">
        <v>47</v>
      </c>
      <c r="N3" t="s">
        <v>210</v>
      </c>
      <c r="Q3" t="s">
        <v>196</v>
      </c>
      <c r="R3">
        <v>5</v>
      </c>
    </row>
    <row r="4" spans="1:18" x14ac:dyDescent="0.3">
      <c r="A4" s="3" t="s">
        <v>12</v>
      </c>
      <c r="B4" t="s">
        <v>196</v>
      </c>
      <c r="C4" s="1">
        <f t="shared" si="0"/>
        <v>51</v>
      </c>
      <c r="D4">
        <v>30</v>
      </c>
      <c r="E4">
        <v>15</v>
      </c>
      <c r="F4">
        <v>6</v>
      </c>
      <c r="G4">
        <f t="shared" si="1"/>
        <v>9</v>
      </c>
      <c r="H4">
        <v>45</v>
      </c>
      <c r="I4">
        <v>32</v>
      </c>
      <c r="J4">
        <f t="shared" si="2"/>
        <v>13</v>
      </c>
      <c r="L4" t="s">
        <v>201</v>
      </c>
      <c r="M4" t="s">
        <v>211</v>
      </c>
      <c r="N4" t="s">
        <v>205</v>
      </c>
    </row>
    <row r="5" spans="1:18" x14ac:dyDescent="0.3">
      <c r="A5" s="4" t="s">
        <v>13</v>
      </c>
      <c r="B5" t="s">
        <v>194</v>
      </c>
      <c r="C5" s="1">
        <f t="shared" si="0"/>
        <v>49</v>
      </c>
      <c r="D5">
        <v>30</v>
      </c>
      <c r="E5">
        <v>13</v>
      </c>
      <c r="F5">
        <v>10</v>
      </c>
      <c r="G5">
        <f t="shared" si="1"/>
        <v>7</v>
      </c>
      <c r="H5">
        <v>53</v>
      </c>
      <c r="I5">
        <v>45</v>
      </c>
      <c r="J5">
        <f t="shared" si="2"/>
        <v>8</v>
      </c>
      <c r="L5" t="s">
        <v>196</v>
      </c>
      <c r="M5" t="s">
        <v>151</v>
      </c>
      <c r="N5" t="s">
        <v>194</v>
      </c>
    </row>
    <row r="6" spans="1:18" x14ac:dyDescent="0.3">
      <c r="A6" s="4" t="s">
        <v>14</v>
      </c>
      <c r="B6" t="s">
        <v>195</v>
      </c>
      <c r="C6" s="1">
        <f t="shared" si="0"/>
        <v>44</v>
      </c>
      <c r="D6">
        <v>30</v>
      </c>
      <c r="E6">
        <v>12</v>
      </c>
      <c r="F6">
        <v>8</v>
      </c>
      <c r="G6">
        <f t="shared" si="1"/>
        <v>10</v>
      </c>
      <c r="H6">
        <v>40</v>
      </c>
      <c r="I6">
        <v>46</v>
      </c>
      <c r="J6">
        <f t="shared" si="2"/>
        <v>-6</v>
      </c>
      <c r="L6" t="s">
        <v>202</v>
      </c>
      <c r="M6" t="s">
        <v>47</v>
      </c>
      <c r="N6" t="s">
        <v>198</v>
      </c>
    </row>
    <row r="7" spans="1:18" x14ac:dyDescent="0.3">
      <c r="A7" t="s">
        <v>15</v>
      </c>
      <c r="B7" t="s">
        <v>201</v>
      </c>
      <c r="C7" s="1">
        <f t="shared" si="0"/>
        <v>43</v>
      </c>
      <c r="D7">
        <v>30</v>
      </c>
      <c r="E7">
        <v>12</v>
      </c>
      <c r="F7">
        <v>7</v>
      </c>
      <c r="G7">
        <f t="shared" si="1"/>
        <v>11</v>
      </c>
      <c r="H7">
        <v>31</v>
      </c>
      <c r="I7">
        <v>31</v>
      </c>
      <c r="J7">
        <f t="shared" si="2"/>
        <v>0</v>
      </c>
      <c r="L7" t="s">
        <v>197</v>
      </c>
      <c r="M7" t="s">
        <v>212</v>
      </c>
      <c r="N7" t="s">
        <v>203</v>
      </c>
    </row>
    <row r="8" spans="1:18" x14ac:dyDescent="0.3">
      <c r="A8" t="s">
        <v>16</v>
      </c>
      <c r="B8" t="s">
        <v>198</v>
      </c>
      <c r="C8" s="1">
        <f t="shared" si="0"/>
        <v>43</v>
      </c>
      <c r="D8">
        <v>30</v>
      </c>
      <c r="E8">
        <v>12</v>
      </c>
      <c r="F8">
        <v>7</v>
      </c>
      <c r="G8">
        <f t="shared" si="1"/>
        <v>11</v>
      </c>
      <c r="H8">
        <v>42</v>
      </c>
      <c r="I8">
        <v>45</v>
      </c>
      <c r="J8">
        <f t="shared" si="2"/>
        <v>-3</v>
      </c>
      <c r="L8" t="s">
        <v>206</v>
      </c>
      <c r="M8" t="s">
        <v>75</v>
      </c>
      <c r="N8" t="s">
        <v>200</v>
      </c>
    </row>
    <row r="9" spans="1:18" x14ac:dyDescent="0.3">
      <c r="A9" t="s">
        <v>17</v>
      </c>
      <c r="B9" t="s">
        <v>206</v>
      </c>
      <c r="C9" s="1">
        <f t="shared" si="0"/>
        <v>40</v>
      </c>
      <c r="D9">
        <v>30</v>
      </c>
      <c r="E9">
        <v>10</v>
      </c>
      <c r="F9">
        <v>10</v>
      </c>
      <c r="G9">
        <f t="shared" si="1"/>
        <v>10</v>
      </c>
      <c r="H9">
        <v>49</v>
      </c>
      <c r="I9">
        <v>43</v>
      </c>
      <c r="J9">
        <f t="shared" si="2"/>
        <v>6</v>
      </c>
      <c r="L9" t="s">
        <v>204</v>
      </c>
      <c r="M9" t="s">
        <v>45</v>
      </c>
      <c r="N9" t="s">
        <v>208</v>
      </c>
    </row>
    <row r="10" spans="1:18" x14ac:dyDescent="0.3">
      <c r="A10" s="5" t="s">
        <v>18</v>
      </c>
      <c r="B10" t="s">
        <v>202</v>
      </c>
      <c r="C10" s="1">
        <f t="shared" si="0"/>
        <v>40</v>
      </c>
      <c r="D10">
        <v>30</v>
      </c>
      <c r="E10">
        <v>10</v>
      </c>
      <c r="F10">
        <v>10</v>
      </c>
      <c r="G10">
        <f t="shared" si="1"/>
        <v>10</v>
      </c>
      <c r="H10">
        <v>38</v>
      </c>
      <c r="I10">
        <v>37</v>
      </c>
      <c r="J10">
        <f t="shared" si="2"/>
        <v>1</v>
      </c>
      <c r="L10" t="s">
        <v>195</v>
      </c>
      <c r="M10" t="s">
        <v>213</v>
      </c>
      <c r="N10" t="s">
        <v>199</v>
      </c>
    </row>
    <row r="11" spans="1:18" x14ac:dyDescent="0.3">
      <c r="A11" t="s">
        <v>19</v>
      </c>
      <c r="B11" t="s">
        <v>204</v>
      </c>
      <c r="C11" s="1">
        <f t="shared" si="0"/>
        <v>40</v>
      </c>
      <c r="D11">
        <v>30</v>
      </c>
      <c r="E11">
        <v>11</v>
      </c>
      <c r="F11">
        <v>7</v>
      </c>
      <c r="G11">
        <f t="shared" si="1"/>
        <v>12</v>
      </c>
      <c r="H11">
        <v>44</v>
      </c>
      <c r="I11">
        <v>46</v>
      </c>
      <c r="J11">
        <f t="shared" si="2"/>
        <v>-2</v>
      </c>
    </row>
    <row r="12" spans="1:18" x14ac:dyDescent="0.3">
      <c r="A12" t="s">
        <v>20</v>
      </c>
      <c r="B12" t="s">
        <v>203</v>
      </c>
      <c r="C12" s="1">
        <f t="shared" si="0"/>
        <v>39</v>
      </c>
      <c r="D12">
        <v>30</v>
      </c>
      <c r="E12">
        <v>11</v>
      </c>
      <c r="F12">
        <v>6</v>
      </c>
      <c r="G12">
        <f t="shared" si="1"/>
        <v>13</v>
      </c>
      <c r="H12">
        <v>52</v>
      </c>
      <c r="I12">
        <v>52</v>
      </c>
      <c r="J12">
        <f t="shared" si="2"/>
        <v>0</v>
      </c>
      <c r="L12" t="s">
        <v>53</v>
      </c>
    </row>
    <row r="13" spans="1:18" x14ac:dyDescent="0.3">
      <c r="A13" t="s">
        <v>21</v>
      </c>
      <c r="B13" t="s">
        <v>199</v>
      </c>
      <c r="C13" s="1">
        <f t="shared" si="0"/>
        <v>39</v>
      </c>
      <c r="D13">
        <v>30</v>
      </c>
      <c r="E13">
        <v>11</v>
      </c>
      <c r="F13">
        <v>6</v>
      </c>
      <c r="G13">
        <f t="shared" si="1"/>
        <v>13</v>
      </c>
      <c r="H13">
        <v>38</v>
      </c>
      <c r="I13">
        <v>40</v>
      </c>
      <c r="J13">
        <f t="shared" si="2"/>
        <v>-2</v>
      </c>
      <c r="L13" t="s">
        <v>207</v>
      </c>
      <c r="M13" t="s">
        <v>45</v>
      </c>
      <c r="N13" t="s">
        <v>201</v>
      </c>
    </row>
    <row r="14" spans="1:18" x14ac:dyDescent="0.3">
      <c r="A14" s="5" t="s">
        <v>22</v>
      </c>
      <c r="B14" t="s">
        <v>210</v>
      </c>
      <c r="C14" s="1">
        <f t="shared" si="0"/>
        <v>39</v>
      </c>
      <c r="D14">
        <v>30</v>
      </c>
      <c r="E14">
        <v>11</v>
      </c>
      <c r="F14">
        <v>6</v>
      </c>
      <c r="G14">
        <f t="shared" si="1"/>
        <v>13</v>
      </c>
      <c r="H14">
        <v>45</v>
      </c>
      <c r="I14">
        <v>48</v>
      </c>
      <c r="J14">
        <f t="shared" si="2"/>
        <v>-3</v>
      </c>
      <c r="L14" t="s">
        <v>196</v>
      </c>
      <c r="M14" t="s">
        <v>47</v>
      </c>
      <c r="N14" t="s">
        <v>202</v>
      </c>
    </row>
    <row r="15" spans="1:18" x14ac:dyDescent="0.3">
      <c r="A15" t="s">
        <v>23</v>
      </c>
      <c r="B15" t="s">
        <v>205</v>
      </c>
      <c r="C15" s="1">
        <f t="shared" si="0"/>
        <v>37</v>
      </c>
      <c r="D15">
        <v>30</v>
      </c>
      <c r="E15">
        <v>11</v>
      </c>
      <c r="F15">
        <v>4</v>
      </c>
      <c r="G15">
        <f t="shared" si="1"/>
        <v>15</v>
      </c>
      <c r="H15">
        <v>44</v>
      </c>
      <c r="I15">
        <v>40</v>
      </c>
      <c r="J15">
        <f t="shared" si="2"/>
        <v>4</v>
      </c>
      <c r="L15" t="s">
        <v>200</v>
      </c>
      <c r="M15" t="s">
        <v>43</v>
      </c>
      <c r="N15" t="s">
        <v>197</v>
      </c>
    </row>
    <row r="16" spans="1:18" x14ac:dyDescent="0.3">
      <c r="A16" t="s">
        <v>24</v>
      </c>
      <c r="B16" t="s">
        <v>197</v>
      </c>
      <c r="C16" s="1">
        <f t="shared" si="0"/>
        <v>37</v>
      </c>
      <c r="D16">
        <v>30</v>
      </c>
      <c r="E16">
        <v>11</v>
      </c>
      <c r="F16">
        <v>4</v>
      </c>
      <c r="G16">
        <f t="shared" si="1"/>
        <v>15</v>
      </c>
      <c r="H16">
        <v>40</v>
      </c>
      <c r="I16">
        <v>51</v>
      </c>
      <c r="J16">
        <f t="shared" si="2"/>
        <v>-11</v>
      </c>
      <c r="L16" t="s">
        <v>204</v>
      </c>
      <c r="M16" t="s">
        <v>80</v>
      </c>
      <c r="N16" t="s">
        <v>195</v>
      </c>
    </row>
    <row r="17" spans="1:14" x14ac:dyDescent="0.3">
      <c r="A17" t="s">
        <v>25</v>
      </c>
      <c r="B17" t="s">
        <v>200</v>
      </c>
      <c r="C17" s="1">
        <f t="shared" si="0"/>
        <v>35</v>
      </c>
      <c r="D17">
        <v>30</v>
      </c>
      <c r="E17">
        <v>10</v>
      </c>
      <c r="F17">
        <v>5</v>
      </c>
      <c r="G17">
        <f t="shared" si="1"/>
        <v>15</v>
      </c>
      <c r="H17">
        <v>35</v>
      </c>
      <c r="I17">
        <v>43</v>
      </c>
      <c r="J17">
        <f t="shared" si="2"/>
        <v>-8</v>
      </c>
    </row>
    <row r="18" spans="1:14" x14ac:dyDescent="0.3">
      <c r="A18" t="s">
        <v>26</v>
      </c>
      <c r="B18" t="s">
        <v>207</v>
      </c>
      <c r="C18" s="1">
        <f t="shared" si="0"/>
        <v>27</v>
      </c>
      <c r="D18">
        <v>30</v>
      </c>
      <c r="E18">
        <v>5</v>
      </c>
      <c r="F18">
        <v>12</v>
      </c>
      <c r="G18">
        <f t="shared" si="1"/>
        <v>13</v>
      </c>
      <c r="H18">
        <v>34</v>
      </c>
      <c r="I18">
        <v>51</v>
      </c>
      <c r="J18">
        <f t="shared" si="2"/>
        <v>-17</v>
      </c>
      <c r="L18" t="s">
        <v>55</v>
      </c>
    </row>
    <row r="19" spans="1:14" x14ac:dyDescent="0.3">
      <c r="C19" s="1"/>
      <c r="L19" t="s">
        <v>207</v>
      </c>
      <c r="M19" t="s">
        <v>79</v>
      </c>
      <c r="N19" t="s">
        <v>196</v>
      </c>
    </row>
    <row r="20" spans="1:14" x14ac:dyDescent="0.3">
      <c r="L20" t="s">
        <v>195</v>
      </c>
      <c r="M20" t="s">
        <v>46</v>
      </c>
      <c r="N20" t="s">
        <v>200</v>
      </c>
    </row>
    <row r="22" spans="1:14" x14ac:dyDescent="0.3">
      <c r="L22" t="s">
        <v>56</v>
      </c>
    </row>
    <row r="23" spans="1:14" x14ac:dyDescent="0.3">
      <c r="L23" t="s">
        <v>196</v>
      </c>
      <c r="M23" t="s">
        <v>214</v>
      </c>
      <c r="N23" t="s">
        <v>200</v>
      </c>
    </row>
  </sheetData>
  <sortState xmlns:xlrd2="http://schemas.microsoft.com/office/spreadsheetml/2017/richdata2" ref="B3:J18">
    <sortCondition descending="1" ref="C3:C18"/>
    <sortCondition descending="1" ref="J3:J18"/>
    <sortCondition descending="1" ref="H3:H1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7C32-27E9-4F98-85B6-798132C4BB63}">
  <dimension ref="A1:R29"/>
  <sheetViews>
    <sheetView workbookViewId="0">
      <selection activeCell="A2" sqref="A2:J20"/>
    </sheetView>
  </sheetViews>
  <sheetFormatPr defaultRowHeight="14.4" x14ac:dyDescent="0.3"/>
  <sheetData>
    <row r="1" spans="1:18" x14ac:dyDescent="0.3">
      <c r="A1" t="s">
        <v>215</v>
      </c>
      <c r="L1" t="s">
        <v>236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100</v>
      </c>
      <c r="Q2" t="s">
        <v>216</v>
      </c>
      <c r="R2">
        <v>1</v>
      </c>
    </row>
    <row r="3" spans="1:18" x14ac:dyDescent="0.3">
      <c r="A3" s="3" t="s">
        <v>11</v>
      </c>
      <c r="B3" t="s">
        <v>216</v>
      </c>
      <c r="C3" s="1">
        <f t="shared" ref="C3:C22" si="0">E3*3+F3</f>
        <v>74</v>
      </c>
      <c r="D3">
        <v>38</v>
      </c>
      <c r="E3">
        <v>22</v>
      </c>
      <c r="F3">
        <v>8</v>
      </c>
      <c r="G3">
        <f t="shared" ref="G3:G22" si="1">D3-E3-F3</f>
        <v>8</v>
      </c>
      <c r="H3">
        <v>42</v>
      </c>
      <c r="I3">
        <v>29</v>
      </c>
      <c r="J3">
        <f t="shared" ref="J3:J22" si="2">H3-I3</f>
        <v>13</v>
      </c>
      <c r="L3" t="s">
        <v>221</v>
      </c>
      <c r="M3" t="s">
        <v>44</v>
      </c>
      <c r="N3" t="s">
        <v>234</v>
      </c>
      <c r="Q3" t="s">
        <v>217</v>
      </c>
      <c r="R3">
        <v>1</v>
      </c>
    </row>
    <row r="4" spans="1:18" x14ac:dyDescent="0.3">
      <c r="A4" s="3" t="s">
        <v>12</v>
      </c>
      <c r="B4" t="s">
        <v>217</v>
      </c>
      <c r="C4" s="1">
        <f t="shared" si="0"/>
        <v>64</v>
      </c>
      <c r="D4">
        <v>38</v>
      </c>
      <c r="E4">
        <v>17</v>
      </c>
      <c r="F4">
        <v>13</v>
      </c>
      <c r="G4">
        <f t="shared" si="1"/>
        <v>8</v>
      </c>
      <c r="H4">
        <v>39</v>
      </c>
      <c r="I4">
        <v>25</v>
      </c>
      <c r="J4">
        <f t="shared" si="2"/>
        <v>14</v>
      </c>
      <c r="L4" t="s">
        <v>218</v>
      </c>
      <c r="M4" t="s">
        <v>45</v>
      </c>
      <c r="N4" t="s">
        <v>235</v>
      </c>
    </row>
    <row r="5" spans="1:18" x14ac:dyDescent="0.3">
      <c r="A5" s="4" t="s">
        <v>13</v>
      </c>
      <c r="B5" t="s">
        <v>218</v>
      </c>
      <c r="C5" s="1">
        <f t="shared" si="0"/>
        <v>63</v>
      </c>
      <c r="D5">
        <v>38</v>
      </c>
      <c r="E5">
        <v>18</v>
      </c>
      <c r="F5">
        <v>9</v>
      </c>
      <c r="G5">
        <f t="shared" si="1"/>
        <v>11</v>
      </c>
      <c r="H5">
        <v>52</v>
      </c>
      <c r="I5">
        <v>34</v>
      </c>
      <c r="J5">
        <f t="shared" si="2"/>
        <v>18</v>
      </c>
      <c r="L5" t="s">
        <v>231</v>
      </c>
      <c r="M5" t="s">
        <v>44</v>
      </c>
      <c r="N5" t="s">
        <v>219</v>
      </c>
    </row>
    <row r="6" spans="1:18" x14ac:dyDescent="0.3">
      <c r="A6" s="4" t="s">
        <v>14</v>
      </c>
      <c r="B6" t="s">
        <v>219</v>
      </c>
      <c r="C6" s="1">
        <f t="shared" si="0"/>
        <v>63</v>
      </c>
      <c r="D6">
        <v>38</v>
      </c>
      <c r="E6">
        <v>17</v>
      </c>
      <c r="F6">
        <v>12</v>
      </c>
      <c r="G6">
        <f t="shared" si="1"/>
        <v>9</v>
      </c>
      <c r="H6">
        <v>42</v>
      </c>
      <c r="I6">
        <v>33</v>
      </c>
      <c r="J6">
        <f t="shared" si="2"/>
        <v>9</v>
      </c>
      <c r="L6" t="s">
        <v>227</v>
      </c>
      <c r="M6" t="s">
        <v>44</v>
      </c>
      <c r="N6" t="s">
        <v>216</v>
      </c>
    </row>
    <row r="7" spans="1:18" x14ac:dyDescent="0.3">
      <c r="A7" t="s">
        <v>15</v>
      </c>
      <c r="B7" t="s">
        <v>222</v>
      </c>
      <c r="C7" s="1">
        <f t="shared" si="0"/>
        <v>58</v>
      </c>
      <c r="D7">
        <v>38</v>
      </c>
      <c r="E7">
        <v>15</v>
      </c>
      <c r="F7">
        <v>13</v>
      </c>
      <c r="G7">
        <f t="shared" si="1"/>
        <v>10</v>
      </c>
      <c r="H7">
        <v>41</v>
      </c>
      <c r="I7">
        <v>30</v>
      </c>
      <c r="J7">
        <f t="shared" si="2"/>
        <v>11</v>
      </c>
    </row>
    <row r="8" spans="1:18" x14ac:dyDescent="0.3">
      <c r="A8" t="s">
        <v>16</v>
      </c>
      <c r="B8" t="s">
        <v>220</v>
      </c>
      <c r="C8" s="1">
        <f t="shared" si="0"/>
        <v>56</v>
      </c>
      <c r="D8">
        <v>38</v>
      </c>
      <c r="E8">
        <v>15</v>
      </c>
      <c r="F8">
        <v>11</v>
      </c>
      <c r="G8">
        <f t="shared" si="1"/>
        <v>12</v>
      </c>
      <c r="H8">
        <v>30</v>
      </c>
      <c r="I8">
        <v>36</v>
      </c>
      <c r="J8">
        <f t="shared" si="2"/>
        <v>-6</v>
      </c>
      <c r="L8" t="s">
        <v>52</v>
      </c>
    </row>
    <row r="9" spans="1:18" x14ac:dyDescent="0.3">
      <c r="A9" t="s">
        <v>17</v>
      </c>
      <c r="B9" t="s">
        <v>221</v>
      </c>
      <c r="C9" s="1">
        <f t="shared" si="0"/>
        <v>54</v>
      </c>
      <c r="D9">
        <v>38</v>
      </c>
      <c r="E9">
        <v>16</v>
      </c>
      <c r="F9">
        <v>6</v>
      </c>
      <c r="G9">
        <f t="shared" si="1"/>
        <v>16</v>
      </c>
      <c r="H9">
        <v>50</v>
      </c>
      <c r="I9">
        <v>46</v>
      </c>
      <c r="J9">
        <f t="shared" si="2"/>
        <v>4</v>
      </c>
      <c r="L9" t="s">
        <v>228</v>
      </c>
      <c r="M9" t="s">
        <v>150</v>
      </c>
      <c r="N9" t="s">
        <v>234</v>
      </c>
    </row>
    <row r="10" spans="1:18" x14ac:dyDescent="0.3">
      <c r="A10" s="5" t="s">
        <v>18</v>
      </c>
      <c r="B10" t="s">
        <v>223</v>
      </c>
      <c r="C10" s="1">
        <f t="shared" si="0"/>
        <v>51</v>
      </c>
      <c r="D10">
        <v>38</v>
      </c>
      <c r="E10">
        <v>13</v>
      </c>
      <c r="F10">
        <v>12</v>
      </c>
      <c r="G10">
        <f t="shared" si="1"/>
        <v>13</v>
      </c>
      <c r="H10">
        <v>42</v>
      </c>
      <c r="I10">
        <v>46</v>
      </c>
      <c r="J10">
        <f t="shared" si="2"/>
        <v>-4</v>
      </c>
      <c r="L10" t="s">
        <v>220</v>
      </c>
      <c r="M10" t="s">
        <v>150</v>
      </c>
      <c r="N10" t="s">
        <v>218</v>
      </c>
    </row>
    <row r="11" spans="1:18" x14ac:dyDescent="0.3">
      <c r="A11" t="s">
        <v>19</v>
      </c>
      <c r="B11" t="s">
        <v>224</v>
      </c>
      <c r="C11" s="1">
        <f t="shared" si="0"/>
        <v>50</v>
      </c>
      <c r="D11">
        <v>38</v>
      </c>
      <c r="E11">
        <v>14</v>
      </c>
      <c r="F11">
        <v>8</v>
      </c>
      <c r="G11">
        <f t="shared" si="1"/>
        <v>16</v>
      </c>
      <c r="H11">
        <v>38</v>
      </c>
      <c r="I11">
        <v>32</v>
      </c>
      <c r="J11">
        <f t="shared" si="2"/>
        <v>6</v>
      </c>
      <c r="L11" t="s">
        <v>217</v>
      </c>
      <c r="M11" t="s">
        <v>152</v>
      </c>
      <c r="N11" t="s">
        <v>219</v>
      </c>
    </row>
    <row r="12" spans="1:18" x14ac:dyDescent="0.3">
      <c r="A12" t="s">
        <v>20</v>
      </c>
      <c r="B12" t="s">
        <v>225</v>
      </c>
      <c r="C12" s="1">
        <f t="shared" si="0"/>
        <v>49</v>
      </c>
      <c r="D12">
        <v>38</v>
      </c>
      <c r="E12">
        <v>14</v>
      </c>
      <c r="F12">
        <v>7</v>
      </c>
      <c r="G12">
        <f t="shared" si="1"/>
        <v>17</v>
      </c>
      <c r="H12">
        <v>37</v>
      </c>
      <c r="I12">
        <v>37</v>
      </c>
      <c r="J12">
        <f t="shared" si="2"/>
        <v>0</v>
      </c>
      <c r="L12" t="s">
        <v>226</v>
      </c>
      <c r="M12" t="s">
        <v>75</v>
      </c>
      <c r="N12" t="s">
        <v>216</v>
      </c>
    </row>
    <row r="13" spans="1:18" x14ac:dyDescent="0.3">
      <c r="A13" t="s">
        <v>21</v>
      </c>
      <c r="B13" t="s">
        <v>226</v>
      </c>
      <c r="C13" s="1">
        <f t="shared" si="0"/>
        <v>49</v>
      </c>
      <c r="D13">
        <v>38</v>
      </c>
      <c r="E13">
        <v>12</v>
      </c>
      <c r="F13">
        <v>13</v>
      </c>
      <c r="G13">
        <f t="shared" si="1"/>
        <v>13</v>
      </c>
      <c r="H13">
        <v>30</v>
      </c>
      <c r="I13">
        <v>36</v>
      </c>
      <c r="J13">
        <f t="shared" si="2"/>
        <v>-6</v>
      </c>
      <c r="L13" t="s">
        <v>229</v>
      </c>
      <c r="M13" t="s">
        <v>45</v>
      </c>
      <c r="N13" t="s">
        <v>225</v>
      </c>
    </row>
    <row r="14" spans="1:18" x14ac:dyDescent="0.3">
      <c r="A14" s="5" t="s">
        <v>22</v>
      </c>
      <c r="B14" t="s">
        <v>227</v>
      </c>
      <c r="C14" s="1">
        <f t="shared" si="0"/>
        <v>48</v>
      </c>
      <c r="D14">
        <v>38</v>
      </c>
      <c r="E14">
        <v>12</v>
      </c>
      <c r="F14">
        <v>12</v>
      </c>
      <c r="G14">
        <f t="shared" si="1"/>
        <v>14</v>
      </c>
      <c r="H14">
        <v>37</v>
      </c>
      <c r="I14">
        <v>40</v>
      </c>
      <c r="J14">
        <f t="shared" si="2"/>
        <v>-3</v>
      </c>
      <c r="L14" t="s">
        <v>224</v>
      </c>
      <c r="M14" t="s">
        <v>237</v>
      </c>
      <c r="N14" t="s">
        <v>233</v>
      </c>
    </row>
    <row r="15" spans="1:18" x14ac:dyDescent="0.3">
      <c r="A15" t="s">
        <v>23</v>
      </c>
      <c r="B15" t="s">
        <v>228</v>
      </c>
      <c r="C15" s="1">
        <f t="shared" si="0"/>
        <v>47</v>
      </c>
      <c r="D15">
        <v>38</v>
      </c>
      <c r="E15">
        <v>11</v>
      </c>
      <c r="F15">
        <v>14</v>
      </c>
      <c r="G15">
        <f t="shared" si="1"/>
        <v>13</v>
      </c>
      <c r="H15">
        <v>34</v>
      </c>
      <c r="I15">
        <v>35</v>
      </c>
      <c r="J15">
        <f t="shared" si="2"/>
        <v>-1</v>
      </c>
      <c r="L15" t="s">
        <v>223</v>
      </c>
      <c r="M15" t="s">
        <v>45</v>
      </c>
      <c r="N15" t="s">
        <v>230</v>
      </c>
    </row>
    <row r="16" spans="1:18" x14ac:dyDescent="0.3">
      <c r="A16" t="s">
        <v>24</v>
      </c>
      <c r="B16" t="s">
        <v>229</v>
      </c>
      <c r="C16" s="1">
        <f t="shared" si="0"/>
        <v>47</v>
      </c>
      <c r="D16">
        <v>38</v>
      </c>
      <c r="E16">
        <v>12</v>
      </c>
      <c r="F16">
        <v>11</v>
      </c>
      <c r="G16">
        <f t="shared" si="1"/>
        <v>15</v>
      </c>
      <c r="H16">
        <v>28</v>
      </c>
      <c r="I16">
        <v>37</v>
      </c>
      <c r="J16">
        <f t="shared" si="2"/>
        <v>-9</v>
      </c>
      <c r="L16" t="s">
        <v>222</v>
      </c>
      <c r="M16" t="s">
        <v>45</v>
      </c>
      <c r="N16" t="s">
        <v>232</v>
      </c>
    </row>
    <row r="17" spans="1:14" x14ac:dyDescent="0.3">
      <c r="A17" t="s">
        <v>25</v>
      </c>
      <c r="B17" t="s">
        <v>230</v>
      </c>
      <c r="C17" s="1">
        <f t="shared" si="0"/>
        <v>46</v>
      </c>
      <c r="D17">
        <v>38</v>
      </c>
      <c r="E17">
        <v>11</v>
      </c>
      <c r="F17">
        <v>13</v>
      </c>
      <c r="G17">
        <f t="shared" si="1"/>
        <v>14</v>
      </c>
      <c r="H17">
        <v>36</v>
      </c>
      <c r="I17">
        <v>37</v>
      </c>
      <c r="J17">
        <f t="shared" si="2"/>
        <v>-1</v>
      </c>
    </row>
    <row r="18" spans="1:14" x14ac:dyDescent="0.3">
      <c r="A18" t="s">
        <v>26</v>
      </c>
      <c r="B18" t="s">
        <v>231</v>
      </c>
      <c r="C18" s="1">
        <f t="shared" si="0"/>
        <v>46</v>
      </c>
      <c r="D18">
        <v>38</v>
      </c>
      <c r="E18">
        <v>11</v>
      </c>
      <c r="F18">
        <v>13</v>
      </c>
      <c r="G18">
        <f t="shared" si="1"/>
        <v>14</v>
      </c>
      <c r="H18">
        <v>28</v>
      </c>
      <c r="I18">
        <v>31</v>
      </c>
      <c r="J18">
        <f t="shared" si="2"/>
        <v>-3</v>
      </c>
      <c r="L18" t="s">
        <v>53</v>
      </c>
    </row>
    <row r="19" spans="1:14" x14ac:dyDescent="0.3">
      <c r="A19" t="s">
        <v>122</v>
      </c>
      <c r="B19" t="s">
        <v>232</v>
      </c>
      <c r="C19" s="1">
        <f t="shared" si="0"/>
        <v>45</v>
      </c>
      <c r="D19">
        <v>38</v>
      </c>
      <c r="E19">
        <v>12</v>
      </c>
      <c r="F19">
        <v>9</v>
      </c>
      <c r="G19">
        <f t="shared" si="1"/>
        <v>17</v>
      </c>
      <c r="H19">
        <v>34</v>
      </c>
      <c r="I19">
        <v>40</v>
      </c>
      <c r="J19">
        <f t="shared" si="2"/>
        <v>-6</v>
      </c>
      <c r="L19" t="s">
        <v>218</v>
      </c>
      <c r="M19" t="s">
        <v>151</v>
      </c>
      <c r="N19" t="s">
        <v>234</v>
      </c>
    </row>
    <row r="20" spans="1:14" x14ac:dyDescent="0.3">
      <c r="A20" t="s">
        <v>123</v>
      </c>
      <c r="B20" t="s">
        <v>233</v>
      </c>
      <c r="C20" s="1">
        <f t="shared" si="0"/>
        <v>44</v>
      </c>
      <c r="D20">
        <v>38</v>
      </c>
      <c r="E20">
        <v>10</v>
      </c>
      <c r="F20">
        <v>14</v>
      </c>
      <c r="G20">
        <f t="shared" si="1"/>
        <v>14</v>
      </c>
      <c r="H20">
        <v>29</v>
      </c>
      <c r="I20">
        <v>35</v>
      </c>
      <c r="J20">
        <f t="shared" si="2"/>
        <v>-6</v>
      </c>
      <c r="L20" t="s">
        <v>216</v>
      </c>
      <c r="M20" t="s">
        <v>238</v>
      </c>
      <c r="N20" t="s">
        <v>217</v>
      </c>
    </row>
    <row r="21" spans="1:14" x14ac:dyDescent="0.3">
      <c r="A21" t="s">
        <v>124</v>
      </c>
      <c r="B21" t="s">
        <v>234</v>
      </c>
      <c r="C21" s="1">
        <f t="shared" si="0"/>
        <v>42</v>
      </c>
      <c r="D21">
        <v>38</v>
      </c>
      <c r="E21">
        <v>10</v>
      </c>
      <c r="F21">
        <v>12</v>
      </c>
      <c r="G21">
        <f t="shared" si="1"/>
        <v>16</v>
      </c>
      <c r="H21">
        <v>26</v>
      </c>
      <c r="I21">
        <v>37</v>
      </c>
      <c r="J21">
        <f t="shared" si="2"/>
        <v>-11</v>
      </c>
      <c r="L21" t="s">
        <v>229</v>
      </c>
      <c r="M21" t="s">
        <v>150</v>
      </c>
      <c r="N21" t="s">
        <v>233</v>
      </c>
    </row>
    <row r="22" spans="1:14" x14ac:dyDescent="0.3">
      <c r="A22" t="s">
        <v>125</v>
      </c>
      <c r="B22" t="s">
        <v>235</v>
      </c>
      <c r="C22" s="1">
        <f t="shared" si="0"/>
        <v>35</v>
      </c>
      <c r="D22">
        <v>38</v>
      </c>
      <c r="E22">
        <v>9</v>
      </c>
      <c r="F22">
        <v>8</v>
      </c>
      <c r="G22">
        <f t="shared" si="1"/>
        <v>21</v>
      </c>
      <c r="H22">
        <v>31</v>
      </c>
      <c r="I22">
        <v>50</v>
      </c>
      <c r="J22">
        <f t="shared" si="2"/>
        <v>-19</v>
      </c>
      <c r="L22" t="s">
        <v>223</v>
      </c>
      <c r="M22" t="s">
        <v>239</v>
      </c>
      <c r="N22" t="s">
        <v>222</v>
      </c>
    </row>
    <row r="24" spans="1:14" x14ac:dyDescent="0.3">
      <c r="L24" t="s">
        <v>55</v>
      </c>
    </row>
    <row r="25" spans="1:14" x14ac:dyDescent="0.3">
      <c r="L25" t="s">
        <v>217</v>
      </c>
      <c r="M25" t="s">
        <v>45</v>
      </c>
      <c r="N25" t="s">
        <v>218</v>
      </c>
    </row>
    <row r="26" spans="1:14" x14ac:dyDescent="0.3">
      <c r="L26" t="s">
        <v>233</v>
      </c>
      <c r="M26" t="s">
        <v>47</v>
      </c>
      <c r="N26" t="s">
        <v>222</v>
      </c>
    </row>
    <row r="28" spans="1:14" x14ac:dyDescent="0.3">
      <c r="L28" t="s">
        <v>56</v>
      </c>
    </row>
    <row r="29" spans="1:14" x14ac:dyDescent="0.3">
      <c r="L29" t="s">
        <v>233</v>
      </c>
      <c r="M29" t="s">
        <v>75</v>
      </c>
      <c r="N29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8E3A-A1A5-4DC3-AA11-B5A696BA40A1}">
  <dimension ref="A1:R23"/>
  <sheetViews>
    <sheetView workbookViewId="0">
      <selection activeCell="L2" sqref="L2:L22"/>
    </sheetView>
  </sheetViews>
  <sheetFormatPr defaultRowHeight="14.4" x14ac:dyDescent="0.3"/>
  <sheetData>
    <row r="1" spans="1:18" x14ac:dyDescent="0.3">
      <c r="A1" t="s">
        <v>240</v>
      </c>
      <c r="L1" t="s">
        <v>236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52</v>
      </c>
      <c r="Q2" t="s">
        <v>258</v>
      </c>
      <c r="R2">
        <v>32</v>
      </c>
    </row>
    <row r="3" spans="1:18" x14ac:dyDescent="0.3">
      <c r="A3" s="3" t="s">
        <v>11</v>
      </c>
      <c r="B3" t="s">
        <v>258</v>
      </c>
      <c r="C3" s="1">
        <f t="shared" ref="C3:C18" si="0">E3*3+F3</f>
        <v>50</v>
      </c>
      <c r="D3">
        <v>30</v>
      </c>
      <c r="E3">
        <v>14</v>
      </c>
      <c r="F3">
        <v>8</v>
      </c>
      <c r="G3">
        <f t="shared" ref="G3:G18" si="1">D3-E3-F3</f>
        <v>8</v>
      </c>
      <c r="H3">
        <v>48</v>
      </c>
      <c r="I3">
        <v>34</v>
      </c>
      <c r="J3">
        <f t="shared" ref="J3:J18" si="2">H3-I3</f>
        <v>14</v>
      </c>
      <c r="L3" t="s">
        <v>241</v>
      </c>
      <c r="M3" t="s">
        <v>46</v>
      </c>
      <c r="N3" t="s">
        <v>258</v>
      </c>
      <c r="Q3" t="s">
        <v>247</v>
      </c>
      <c r="R3">
        <v>3</v>
      </c>
    </row>
    <row r="4" spans="1:18" x14ac:dyDescent="0.3">
      <c r="A4" s="3" t="s">
        <v>12</v>
      </c>
      <c r="B4" t="s">
        <v>241</v>
      </c>
      <c r="C4" s="1">
        <f t="shared" si="0"/>
        <v>47</v>
      </c>
      <c r="D4">
        <v>30</v>
      </c>
      <c r="E4">
        <v>13</v>
      </c>
      <c r="F4">
        <v>8</v>
      </c>
      <c r="G4">
        <f t="shared" si="1"/>
        <v>9</v>
      </c>
      <c r="H4">
        <v>55</v>
      </c>
      <c r="I4">
        <v>48</v>
      </c>
      <c r="J4">
        <f t="shared" si="2"/>
        <v>7</v>
      </c>
      <c r="L4" t="s">
        <v>246</v>
      </c>
      <c r="M4" t="s">
        <v>102</v>
      </c>
      <c r="N4" t="s">
        <v>249</v>
      </c>
    </row>
    <row r="5" spans="1:18" x14ac:dyDescent="0.3">
      <c r="A5" s="4" t="s">
        <v>13</v>
      </c>
      <c r="B5" t="s">
        <v>248</v>
      </c>
      <c r="C5" s="1">
        <f t="shared" si="0"/>
        <v>47</v>
      </c>
      <c r="D5">
        <v>30</v>
      </c>
      <c r="E5">
        <v>14</v>
      </c>
      <c r="F5">
        <v>5</v>
      </c>
      <c r="G5">
        <f t="shared" si="1"/>
        <v>11</v>
      </c>
      <c r="H5">
        <v>49</v>
      </c>
      <c r="I5">
        <v>50</v>
      </c>
      <c r="J5">
        <f t="shared" si="2"/>
        <v>-1</v>
      </c>
      <c r="L5" t="s">
        <v>251</v>
      </c>
      <c r="M5" t="s">
        <v>44</v>
      </c>
      <c r="N5" t="s">
        <v>255</v>
      </c>
    </row>
    <row r="6" spans="1:18" x14ac:dyDescent="0.3">
      <c r="A6" s="5" t="s">
        <v>14</v>
      </c>
      <c r="B6" t="s">
        <v>245</v>
      </c>
      <c r="C6" s="1">
        <f t="shared" si="0"/>
        <v>45</v>
      </c>
      <c r="D6">
        <v>30</v>
      </c>
      <c r="E6">
        <v>12</v>
      </c>
      <c r="F6">
        <v>9</v>
      </c>
      <c r="G6">
        <f t="shared" si="1"/>
        <v>9</v>
      </c>
      <c r="H6">
        <v>36</v>
      </c>
      <c r="I6">
        <v>35</v>
      </c>
      <c r="J6">
        <f t="shared" si="2"/>
        <v>1</v>
      </c>
      <c r="L6" t="s">
        <v>254</v>
      </c>
      <c r="M6" t="s">
        <v>44</v>
      </c>
      <c r="N6" t="s">
        <v>250</v>
      </c>
    </row>
    <row r="7" spans="1:18" x14ac:dyDescent="0.3">
      <c r="A7" t="s">
        <v>15</v>
      </c>
      <c r="B7" t="s">
        <v>250</v>
      </c>
      <c r="C7" s="1">
        <f t="shared" si="0"/>
        <v>43</v>
      </c>
      <c r="D7">
        <v>30</v>
      </c>
      <c r="E7">
        <v>12</v>
      </c>
      <c r="F7">
        <v>7</v>
      </c>
      <c r="G7">
        <f t="shared" si="1"/>
        <v>11</v>
      </c>
      <c r="H7">
        <v>39</v>
      </c>
      <c r="I7">
        <v>38</v>
      </c>
      <c r="J7">
        <f t="shared" si="2"/>
        <v>1</v>
      </c>
      <c r="L7" t="s">
        <v>252</v>
      </c>
      <c r="M7" t="s">
        <v>81</v>
      </c>
      <c r="N7" t="s">
        <v>243</v>
      </c>
    </row>
    <row r="8" spans="1:18" x14ac:dyDescent="0.3">
      <c r="A8" t="s">
        <v>16</v>
      </c>
      <c r="B8" t="s">
        <v>249</v>
      </c>
      <c r="C8" s="1">
        <f t="shared" si="0"/>
        <v>42</v>
      </c>
      <c r="D8">
        <v>30</v>
      </c>
      <c r="E8">
        <v>11</v>
      </c>
      <c r="F8">
        <v>9</v>
      </c>
      <c r="G8">
        <f t="shared" si="1"/>
        <v>10</v>
      </c>
      <c r="H8">
        <v>41</v>
      </c>
      <c r="I8">
        <v>35</v>
      </c>
      <c r="J8">
        <f t="shared" si="2"/>
        <v>6</v>
      </c>
      <c r="L8" t="s">
        <v>247</v>
      </c>
      <c r="M8" t="s">
        <v>47</v>
      </c>
      <c r="N8" t="s">
        <v>245</v>
      </c>
    </row>
    <row r="9" spans="1:18" x14ac:dyDescent="0.3">
      <c r="A9" t="s">
        <v>17</v>
      </c>
      <c r="B9" t="s">
        <v>254</v>
      </c>
      <c r="C9" s="1">
        <f t="shared" si="0"/>
        <v>42</v>
      </c>
      <c r="D9">
        <v>30</v>
      </c>
      <c r="E9">
        <v>11</v>
      </c>
      <c r="F9">
        <v>9</v>
      </c>
      <c r="G9">
        <f t="shared" si="1"/>
        <v>10</v>
      </c>
      <c r="H9">
        <v>46</v>
      </c>
      <c r="I9">
        <v>43</v>
      </c>
      <c r="J9">
        <f t="shared" si="2"/>
        <v>3</v>
      </c>
      <c r="L9" t="s">
        <v>242</v>
      </c>
      <c r="M9" t="s">
        <v>48</v>
      </c>
      <c r="N9" t="s">
        <v>248</v>
      </c>
    </row>
    <row r="10" spans="1:18" x14ac:dyDescent="0.3">
      <c r="A10" s="5" t="s">
        <v>18</v>
      </c>
      <c r="B10" t="s">
        <v>253</v>
      </c>
      <c r="C10" s="1">
        <f t="shared" si="0"/>
        <v>40</v>
      </c>
      <c r="D10">
        <v>30</v>
      </c>
      <c r="E10">
        <v>10</v>
      </c>
      <c r="F10">
        <v>10</v>
      </c>
      <c r="G10">
        <f t="shared" si="1"/>
        <v>10</v>
      </c>
      <c r="H10">
        <v>35</v>
      </c>
      <c r="I10">
        <v>34</v>
      </c>
      <c r="J10">
        <f t="shared" si="2"/>
        <v>1</v>
      </c>
      <c r="L10" t="s">
        <v>253</v>
      </c>
      <c r="M10" t="s">
        <v>43</v>
      </c>
      <c r="N10" t="s">
        <v>244</v>
      </c>
    </row>
    <row r="11" spans="1:18" x14ac:dyDescent="0.3">
      <c r="A11" t="s">
        <v>19</v>
      </c>
      <c r="B11" t="s">
        <v>255</v>
      </c>
      <c r="C11" s="1">
        <f t="shared" si="0"/>
        <v>40</v>
      </c>
      <c r="D11">
        <v>30</v>
      </c>
      <c r="E11">
        <v>10</v>
      </c>
      <c r="F11">
        <v>10</v>
      </c>
      <c r="G11">
        <f t="shared" si="1"/>
        <v>10</v>
      </c>
      <c r="H11">
        <v>38</v>
      </c>
      <c r="I11">
        <v>43</v>
      </c>
      <c r="J11">
        <f t="shared" si="2"/>
        <v>-5</v>
      </c>
    </row>
    <row r="12" spans="1:18" x14ac:dyDescent="0.3">
      <c r="A12" t="s">
        <v>20</v>
      </c>
      <c r="B12" t="s">
        <v>243</v>
      </c>
      <c r="C12" s="1">
        <f t="shared" si="0"/>
        <v>39</v>
      </c>
      <c r="D12">
        <v>30</v>
      </c>
      <c r="E12">
        <v>11</v>
      </c>
      <c r="F12">
        <v>6</v>
      </c>
      <c r="G12">
        <f t="shared" si="1"/>
        <v>13</v>
      </c>
      <c r="H12">
        <v>37</v>
      </c>
      <c r="I12">
        <v>39</v>
      </c>
      <c r="J12">
        <f t="shared" si="2"/>
        <v>-2</v>
      </c>
      <c r="L12" t="s">
        <v>53</v>
      </c>
    </row>
    <row r="13" spans="1:18" x14ac:dyDescent="0.3">
      <c r="A13" t="s">
        <v>21</v>
      </c>
      <c r="B13" t="s">
        <v>246</v>
      </c>
      <c r="C13" s="1">
        <f t="shared" si="0"/>
        <v>38</v>
      </c>
      <c r="D13">
        <v>30</v>
      </c>
      <c r="E13">
        <v>10</v>
      </c>
      <c r="F13">
        <v>8</v>
      </c>
      <c r="G13">
        <f t="shared" si="1"/>
        <v>12</v>
      </c>
      <c r="H13">
        <v>33</v>
      </c>
      <c r="I13">
        <v>33</v>
      </c>
      <c r="J13">
        <f t="shared" si="2"/>
        <v>0</v>
      </c>
      <c r="L13" t="s">
        <v>249</v>
      </c>
      <c r="M13" t="s">
        <v>44</v>
      </c>
      <c r="N13" t="s">
        <v>258</v>
      </c>
    </row>
    <row r="14" spans="1:18" x14ac:dyDescent="0.3">
      <c r="A14" s="5" t="s">
        <v>22</v>
      </c>
      <c r="B14" t="s">
        <v>242</v>
      </c>
      <c r="C14" s="1">
        <f t="shared" si="0"/>
        <v>38</v>
      </c>
      <c r="D14">
        <v>30</v>
      </c>
      <c r="E14">
        <v>9</v>
      </c>
      <c r="F14">
        <v>11</v>
      </c>
      <c r="G14">
        <f t="shared" si="1"/>
        <v>10</v>
      </c>
      <c r="H14">
        <v>35</v>
      </c>
      <c r="I14">
        <v>36</v>
      </c>
      <c r="J14">
        <f t="shared" si="2"/>
        <v>-1</v>
      </c>
      <c r="L14" t="s">
        <v>255</v>
      </c>
      <c r="M14" t="s">
        <v>256</v>
      </c>
      <c r="N14" t="s">
        <v>250</v>
      </c>
    </row>
    <row r="15" spans="1:18" x14ac:dyDescent="0.3">
      <c r="A15" t="s">
        <v>23</v>
      </c>
      <c r="B15" t="s">
        <v>251</v>
      </c>
      <c r="C15" s="1">
        <f t="shared" si="0"/>
        <v>38</v>
      </c>
      <c r="D15">
        <v>30</v>
      </c>
      <c r="E15">
        <v>11</v>
      </c>
      <c r="F15">
        <v>5</v>
      </c>
      <c r="G15">
        <f t="shared" si="1"/>
        <v>14</v>
      </c>
      <c r="H15">
        <v>34</v>
      </c>
      <c r="I15">
        <v>41</v>
      </c>
      <c r="J15">
        <f t="shared" si="2"/>
        <v>-7</v>
      </c>
      <c r="L15" t="s">
        <v>247</v>
      </c>
      <c r="M15" t="s">
        <v>45</v>
      </c>
      <c r="N15" t="s">
        <v>252</v>
      </c>
    </row>
    <row r="16" spans="1:18" x14ac:dyDescent="0.3">
      <c r="A16" t="s">
        <v>24</v>
      </c>
      <c r="B16" t="s">
        <v>244</v>
      </c>
      <c r="C16" s="1">
        <f t="shared" si="0"/>
        <v>36</v>
      </c>
      <c r="D16">
        <v>30</v>
      </c>
      <c r="E16">
        <v>10</v>
      </c>
      <c r="F16">
        <v>6</v>
      </c>
      <c r="G16">
        <f t="shared" si="1"/>
        <v>14</v>
      </c>
      <c r="H16">
        <v>41</v>
      </c>
      <c r="I16">
        <v>45</v>
      </c>
      <c r="J16">
        <f t="shared" si="2"/>
        <v>-4</v>
      </c>
      <c r="L16" t="s">
        <v>242</v>
      </c>
      <c r="M16" t="s">
        <v>54</v>
      </c>
      <c r="N16" t="s">
        <v>253</v>
      </c>
    </row>
    <row r="17" spans="1:14" x14ac:dyDescent="0.3">
      <c r="A17" s="4" t="s">
        <v>25</v>
      </c>
      <c r="B17" t="s">
        <v>247</v>
      </c>
      <c r="C17" s="1">
        <f t="shared" si="0"/>
        <v>35</v>
      </c>
      <c r="D17">
        <v>30</v>
      </c>
      <c r="E17">
        <v>9</v>
      </c>
      <c r="F17">
        <v>8</v>
      </c>
      <c r="G17">
        <f t="shared" si="1"/>
        <v>13</v>
      </c>
      <c r="H17">
        <v>30</v>
      </c>
      <c r="I17">
        <v>37</v>
      </c>
      <c r="J17">
        <f t="shared" si="2"/>
        <v>-7</v>
      </c>
    </row>
    <row r="18" spans="1:14" x14ac:dyDescent="0.3">
      <c r="A18" t="s">
        <v>26</v>
      </c>
      <c r="B18" t="s">
        <v>252</v>
      </c>
      <c r="C18" s="1">
        <f t="shared" si="0"/>
        <v>34</v>
      </c>
      <c r="D18">
        <v>30</v>
      </c>
      <c r="E18">
        <v>9</v>
      </c>
      <c r="F18">
        <v>7</v>
      </c>
      <c r="G18">
        <f t="shared" si="1"/>
        <v>14</v>
      </c>
      <c r="H18">
        <v>33</v>
      </c>
      <c r="I18">
        <v>40</v>
      </c>
      <c r="J18">
        <f t="shared" si="2"/>
        <v>-7</v>
      </c>
      <c r="L18" t="s">
        <v>55</v>
      </c>
    </row>
    <row r="19" spans="1:14" x14ac:dyDescent="0.3">
      <c r="L19" t="s">
        <v>250</v>
      </c>
      <c r="M19" t="s">
        <v>45</v>
      </c>
      <c r="N19" t="s">
        <v>258</v>
      </c>
    </row>
    <row r="20" spans="1:14" x14ac:dyDescent="0.3">
      <c r="L20" t="s">
        <v>247</v>
      </c>
      <c r="M20" t="s">
        <v>257</v>
      </c>
      <c r="N20" t="s">
        <v>242</v>
      </c>
    </row>
    <row r="22" spans="1:14" x14ac:dyDescent="0.3">
      <c r="L22" t="s">
        <v>56</v>
      </c>
    </row>
    <row r="23" spans="1:14" x14ac:dyDescent="0.3">
      <c r="L23" t="s">
        <v>250</v>
      </c>
      <c r="M23" t="s">
        <v>256</v>
      </c>
      <c r="N23" t="s">
        <v>247</v>
      </c>
    </row>
  </sheetData>
  <sortState xmlns:xlrd2="http://schemas.microsoft.com/office/spreadsheetml/2017/richdata2" ref="B3:J18">
    <sortCondition descending="1" ref="C3:C18"/>
    <sortCondition descending="1" ref="J3:J18"/>
    <sortCondition descending="1" ref="H3:H1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3CC7-C1AA-4D21-858A-1E3C8042EEB1}">
  <dimension ref="A1:R23"/>
  <sheetViews>
    <sheetView workbookViewId="0">
      <selection activeCell="C3" sqref="C3:C18"/>
    </sheetView>
  </sheetViews>
  <sheetFormatPr defaultRowHeight="14.4" x14ac:dyDescent="0.3"/>
  <sheetData>
    <row r="1" spans="1:18" x14ac:dyDescent="0.3">
      <c r="A1" t="s">
        <v>259</v>
      </c>
      <c r="L1" t="s">
        <v>276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52</v>
      </c>
      <c r="Q2" t="s">
        <v>262</v>
      </c>
      <c r="R2">
        <v>5</v>
      </c>
    </row>
    <row r="3" spans="1:18" x14ac:dyDescent="0.3">
      <c r="A3" s="3" t="s">
        <v>11</v>
      </c>
      <c r="B3" t="s">
        <v>262</v>
      </c>
      <c r="C3" s="1">
        <f t="shared" ref="C3:C18" si="0">E3*3+F3</f>
        <v>57</v>
      </c>
      <c r="D3">
        <v>30</v>
      </c>
      <c r="E3">
        <v>16</v>
      </c>
      <c r="F3">
        <v>9</v>
      </c>
      <c r="G3">
        <f t="shared" ref="G3:G18" si="1">D3-E3-F3</f>
        <v>5</v>
      </c>
      <c r="H3">
        <v>43</v>
      </c>
      <c r="I3">
        <v>21</v>
      </c>
      <c r="J3">
        <f t="shared" ref="J3:J18" si="2">H3-I3</f>
        <v>22</v>
      </c>
      <c r="L3" t="s">
        <v>269</v>
      </c>
      <c r="M3" t="s">
        <v>277</v>
      </c>
      <c r="N3" t="s">
        <v>268</v>
      </c>
      <c r="Q3" t="s">
        <v>271</v>
      </c>
      <c r="R3">
        <v>1</v>
      </c>
    </row>
    <row r="4" spans="1:18" x14ac:dyDescent="0.3">
      <c r="A4" s="3" t="s">
        <v>12</v>
      </c>
      <c r="B4" t="s">
        <v>264</v>
      </c>
      <c r="C4" s="1">
        <f t="shared" si="0"/>
        <v>56</v>
      </c>
      <c r="D4">
        <v>30</v>
      </c>
      <c r="E4">
        <v>15</v>
      </c>
      <c r="F4">
        <v>11</v>
      </c>
      <c r="G4">
        <f t="shared" si="1"/>
        <v>4</v>
      </c>
      <c r="H4">
        <v>50</v>
      </c>
      <c r="I4">
        <v>31</v>
      </c>
      <c r="J4">
        <f t="shared" si="2"/>
        <v>19</v>
      </c>
      <c r="L4" t="s">
        <v>271</v>
      </c>
      <c r="M4" t="s">
        <v>151</v>
      </c>
      <c r="N4" t="s">
        <v>264</v>
      </c>
    </row>
    <row r="5" spans="1:18" x14ac:dyDescent="0.3">
      <c r="A5" s="4" t="s">
        <v>13</v>
      </c>
      <c r="B5" t="s">
        <v>260</v>
      </c>
      <c r="C5" s="1">
        <f t="shared" si="0"/>
        <v>51</v>
      </c>
      <c r="D5">
        <v>30</v>
      </c>
      <c r="E5">
        <v>14</v>
      </c>
      <c r="F5">
        <v>9</v>
      </c>
      <c r="G5">
        <f t="shared" si="1"/>
        <v>7</v>
      </c>
      <c r="H5">
        <v>45</v>
      </c>
      <c r="I5">
        <v>26</v>
      </c>
      <c r="J5">
        <f t="shared" si="2"/>
        <v>19</v>
      </c>
      <c r="L5" t="s">
        <v>261</v>
      </c>
      <c r="M5" t="s">
        <v>47</v>
      </c>
      <c r="N5" t="s">
        <v>272</v>
      </c>
    </row>
    <row r="6" spans="1:18" x14ac:dyDescent="0.3">
      <c r="A6" s="5" t="s">
        <v>14</v>
      </c>
      <c r="B6" t="s">
        <v>261</v>
      </c>
      <c r="C6" s="1">
        <f t="shared" si="0"/>
        <v>50</v>
      </c>
      <c r="D6">
        <v>30</v>
      </c>
      <c r="E6">
        <v>14</v>
      </c>
      <c r="F6">
        <v>8</v>
      </c>
      <c r="G6">
        <f t="shared" si="1"/>
        <v>8</v>
      </c>
      <c r="H6">
        <v>42</v>
      </c>
      <c r="I6">
        <v>32</v>
      </c>
      <c r="J6">
        <f t="shared" si="2"/>
        <v>10</v>
      </c>
      <c r="L6" t="s">
        <v>267</v>
      </c>
      <c r="M6" t="s">
        <v>151</v>
      </c>
      <c r="N6" t="s">
        <v>260</v>
      </c>
    </row>
    <row r="7" spans="1:18" x14ac:dyDescent="0.3">
      <c r="A7" t="s">
        <v>15</v>
      </c>
      <c r="B7" t="s">
        <v>266</v>
      </c>
      <c r="C7" s="1">
        <f t="shared" si="0"/>
        <v>50</v>
      </c>
      <c r="D7">
        <v>30</v>
      </c>
      <c r="E7">
        <v>14</v>
      </c>
      <c r="F7">
        <v>8</v>
      </c>
      <c r="G7">
        <f t="shared" si="1"/>
        <v>8</v>
      </c>
      <c r="H7">
        <v>33</v>
      </c>
      <c r="I7">
        <v>27</v>
      </c>
      <c r="J7">
        <f t="shared" si="2"/>
        <v>6</v>
      </c>
      <c r="L7" t="s">
        <v>275</v>
      </c>
      <c r="M7" t="s">
        <v>45</v>
      </c>
      <c r="N7" t="s">
        <v>273</v>
      </c>
    </row>
    <row r="8" spans="1:18" x14ac:dyDescent="0.3">
      <c r="A8" t="s">
        <v>16</v>
      </c>
      <c r="B8" t="s">
        <v>267</v>
      </c>
      <c r="C8" s="1">
        <f t="shared" si="0"/>
        <v>46</v>
      </c>
      <c r="D8">
        <v>30</v>
      </c>
      <c r="E8">
        <v>14</v>
      </c>
      <c r="F8">
        <v>4</v>
      </c>
      <c r="G8">
        <f t="shared" si="1"/>
        <v>12</v>
      </c>
      <c r="H8">
        <v>40</v>
      </c>
      <c r="I8">
        <v>31</v>
      </c>
      <c r="J8">
        <f t="shared" si="2"/>
        <v>9</v>
      </c>
      <c r="L8" t="s">
        <v>266</v>
      </c>
      <c r="M8" t="s">
        <v>43</v>
      </c>
      <c r="N8" t="s">
        <v>274</v>
      </c>
    </row>
    <row r="9" spans="1:18" x14ac:dyDescent="0.3">
      <c r="A9" t="s">
        <v>17</v>
      </c>
      <c r="B9" t="s">
        <v>263</v>
      </c>
      <c r="C9" s="1">
        <f t="shared" si="0"/>
        <v>44</v>
      </c>
      <c r="D9">
        <v>30</v>
      </c>
      <c r="E9">
        <v>12</v>
      </c>
      <c r="F9">
        <v>8</v>
      </c>
      <c r="G9">
        <f t="shared" si="1"/>
        <v>10</v>
      </c>
      <c r="H9">
        <v>38</v>
      </c>
      <c r="I9">
        <v>33</v>
      </c>
      <c r="J9">
        <f t="shared" si="2"/>
        <v>5</v>
      </c>
      <c r="L9" t="s">
        <v>265</v>
      </c>
      <c r="M9" t="s">
        <v>44</v>
      </c>
      <c r="N9" t="s">
        <v>270</v>
      </c>
    </row>
    <row r="10" spans="1:18" x14ac:dyDescent="0.3">
      <c r="A10" s="5" t="s">
        <v>18</v>
      </c>
      <c r="B10" t="s">
        <v>269</v>
      </c>
      <c r="C10" s="1">
        <f t="shared" si="0"/>
        <v>40</v>
      </c>
      <c r="D10">
        <v>30</v>
      </c>
      <c r="E10">
        <v>11</v>
      </c>
      <c r="F10">
        <v>7</v>
      </c>
      <c r="G10">
        <f t="shared" si="1"/>
        <v>12</v>
      </c>
      <c r="H10">
        <v>33</v>
      </c>
      <c r="I10">
        <v>34</v>
      </c>
      <c r="J10">
        <f t="shared" si="2"/>
        <v>-1</v>
      </c>
      <c r="L10" t="s">
        <v>262</v>
      </c>
      <c r="M10" t="s">
        <v>43</v>
      </c>
      <c r="N10" t="s">
        <v>263</v>
      </c>
    </row>
    <row r="11" spans="1:18" x14ac:dyDescent="0.3">
      <c r="A11" t="s">
        <v>19</v>
      </c>
      <c r="B11" t="s">
        <v>274</v>
      </c>
      <c r="C11" s="1">
        <f t="shared" si="0"/>
        <v>39</v>
      </c>
      <c r="D11">
        <v>30</v>
      </c>
      <c r="E11">
        <v>11</v>
      </c>
      <c r="F11">
        <v>6</v>
      </c>
      <c r="G11">
        <f t="shared" si="1"/>
        <v>13</v>
      </c>
      <c r="H11">
        <v>30</v>
      </c>
      <c r="I11">
        <v>43</v>
      </c>
      <c r="J11">
        <f t="shared" si="2"/>
        <v>-13</v>
      </c>
    </row>
    <row r="12" spans="1:18" x14ac:dyDescent="0.3">
      <c r="A12" t="s">
        <v>20</v>
      </c>
      <c r="B12" t="s">
        <v>275</v>
      </c>
      <c r="C12" s="1">
        <f t="shared" si="0"/>
        <v>36</v>
      </c>
      <c r="D12">
        <v>30</v>
      </c>
      <c r="E12">
        <v>8</v>
      </c>
      <c r="F12">
        <v>12</v>
      </c>
      <c r="G12">
        <f t="shared" si="1"/>
        <v>10</v>
      </c>
      <c r="H12">
        <v>31</v>
      </c>
      <c r="I12">
        <v>36</v>
      </c>
      <c r="J12">
        <f t="shared" si="2"/>
        <v>-5</v>
      </c>
      <c r="L12" t="s">
        <v>53</v>
      </c>
    </row>
    <row r="13" spans="1:18" x14ac:dyDescent="0.3">
      <c r="A13" t="s">
        <v>21</v>
      </c>
      <c r="B13" t="s">
        <v>270</v>
      </c>
      <c r="C13" s="1">
        <f t="shared" si="0"/>
        <v>36</v>
      </c>
      <c r="D13">
        <v>30</v>
      </c>
      <c r="E13">
        <v>10</v>
      </c>
      <c r="F13">
        <v>6</v>
      </c>
      <c r="G13">
        <f t="shared" si="1"/>
        <v>14</v>
      </c>
      <c r="H13">
        <v>36</v>
      </c>
      <c r="I13">
        <v>42</v>
      </c>
      <c r="J13">
        <f t="shared" si="2"/>
        <v>-6</v>
      </c>
      <c r="L13" t="s">
        <v>268</v>
      </c>
      <c r="M13" t="s">
        <v>44</v>
      </c>
      <c r="N13" t="s">
        <v>271</v>
      </c>
    </row>
    <row r="14" spans="1:18" x14ac:dyDescent="0.3">
      <c r="A14" s="5" t="s">
        <v>22</v>
      </c>
      <c r="B14" t="s">
        <v>265</v>
      </c>
      <c r="C14" s="1">
        <f t="shared" si="0"/>
        <v>35</v>
      </c>
      <c r="D14">
        <v>30</v>
      </c>
      <c r="E14">
        <v>9</v>
      </c>
      <c r="F14">
        <v>8</v>
      </c>
      <c r="G14">
        <f t="shared" si="1"/>
        <v>13</v>
      </c>
      <c r="H14">
        <v>34</v>
      </c>
      <c r="I14">
        <v>39</v>
      </c>
      <c r="J14">
        <f t="shared" si="2"/>
        <v>-5</v>
      </c>
      <c r="L14" t="s">
        <v>267</v>
      </c>
      <c r="M14" t="s">
        <v>45</v>
      </c>
      <c r="N14" t="s">
        <v>261</v>
      </c>
    </row>
    <row r="15" spans="1:18" x14ac:dyDescent="0.3">
      <c r="A15" s="4" t="s">
        <v>23</v>
      </c>
      <c r="B15" t="s">
        <v>271</v>
      </c>
      <c r="C15" s="1">
        <f t="shared" si="0"/>
        <v>35</v>
      </c>
      <c r="D15">
        <v>30</v>
      </c>
      <c r="E15">
        <v>10</v>
      </c>
      <c r="F15">
        <v>5</v>
      </c>
      <c r="G15">
        <f t="shared" si="1"/>
        <v>15</v>
      </c>
      <c r="H15">
        <v>33</v>
      </c>
      <c r="I15">
        <v>47</v>
      </c>
      <c r="J15">
        <f t="shared" si="2"/>
        <v>-14</v>
      </c>
      <c r="L15" t="s">
        <v>266</v>
      </c>
      <c r="M15" t="s">
        <v>43</v>
      </c>
      <c r="N15" t="s">
        <v>275</v>
      </c>
    </row>
    <row r="16" spans="1:18" x14ac:dyDescent="0.3">
      <c r="A16" t="s">
        <v>24</v>
      </c>
      <c r="B16" t="s">
        <v>272</v>
      </c>
      <c r="C16" s="1">
        <f t="shared" si="0"/>
        <v>33</v>
      </c>
      <c r="D16">
        <v>30</v>
      </c>
      <c r="E16">
        <v>10</v>
      </c>
      <c r="F16">
        <v>3</v>
      </c>
      <c r="G16">
        <f t="shared" si="1"/>
        <v>17</v>
      </c>
      <c r="H16">
        <v>27</v>
      </c>
      <c r="I16">
        <v>45</v>
      </c>
      <c r="J16">
        <f t="shared" si="2"/>
        <v>-18</v>
      </c>
      <c r="L16" t="s">
        <v>270</v>
      </c>
      <c r="M16" t="s">
        <v>102</v>
      </c>
      <c r="N16" t="s">
        <v>262</v>
      </c>
    </row>
    <row r="17" spans="1:14" x14ac:dyDescent="0.3">
      <c r="A17" s="5" t="s">
        <v>25</v>
      </c>
      <c r="B17" t="s">
        <v>268</v>
      </c>
      <c r="C17" s="1">
        <f t="shared" si="0"/>
        <v>29</v>
      </c>
      <c r="D17">
        <v>30</v>
      </c>
      <c r="E17">
        <v>8</v>
      </c>
      <c r="F17">
        <v>5</v>
      </c>
      <c r="G17">
        <f t="shared" si="1"/>
        <v>17</v>
      </c>
      <c r="H17">
        <v>27</v>
      </c>
      <c r="I17">
        <v>40</v>
      </c>
      <c r="J17">
        <f t="shared" si="2"/>
        <v>-13</v>
      </c>
    </row>
    <row r="18" spans="1:14" x14ac:dyDescent="0.3">
      <c r="A18" t="s">
        <v>26</v>
      </c>
      <c r="B18" t="s">
        <v>273</v>
      </c>
      <c r="C18" s="1">
        <f t="shared" si="0"/>
        <v>25</v>
      </c>
      <c r="D18">
        <v>30</v>
      </c>
      <c r="E18">
        <v>6</v>
      </c>
      <c r="F18">
        <v>7</v>
      </c>
      <c r="G18">
        <f t="shared" si="1"/>
        <v>17</v>
      </c>
      <c r="H18">
        <v>27</v>
      </c>
      <c r="I18">
        <v>42</v>
      </c>
      <c r="J18">
        <f t="shared" si="2"/>
        <v>-15</v>
      </c>
      <c r="L18" t="s">
        <v>55</v>
      </c>
    </row>
    <row r="19" spans="1:14" x14ac:dyDescent="0.3">
      <c r="L19" t="s">
        <v>271</v>
      </c>
      <c r="M19" t="s">
        <v>47</v>
      </c>
      <c r="N19" t="s">
        <v>267</v>
      </c>
    </row>
    <row r="20" spans="1:14" x14ac:dyDescent="0.3">
      <c r="L20" t="s">
        <v>266</v>
      </c>
      <c r="M20" t="s">
        <v>45</v>
      </c>
      <c r="N20" t="s">
        <v>262</v>
      </c>
    </row>
    <row r="22" spans="1:14" x14ac:dyDescent="0.3">
      <c r="L22" t="s">
        <v>56</v>
      </c>
    </row>
    <row r="23" spans="1:14" x14ac:dyDescent="0.3">
      <c r="L23" t="s">
        <v>266</v>
      </c>
      <c r="M23" t="s">
        <v>46</v>
      </c>
      <c r="N23" t="s">
        <v>271</v>
      </c>
    </row>
  </sheetData>
  <sortState xmlns:xlrd2="http://schemas.microsoft.com/office/spreadsheetml/2017/richdata2" ref="B3:J18">
    <sortCondition descending="1" ref="C3:C18"/>
    <sortCondition descending="1" ref="J3:J18"/>
    <sortCondition descending="1" ref="H3:H1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315C-22E1-4E4A-90E2-CBEA64F97F2D}">
  <dimension ref="A1:M20"/>
  <sheetViews>
    <sheetView workbookViewId="0">
      <selection activeCell="M3" sqref="M3"/>
    </sheetView>
  </sheetViews>
  <sheetFormatPr defaultRowHeight="14.4" x14ac:dyDescent="0.3"/>
  <sheetData>
    <row r="1" spans="1:13" x14ac:dyDescent="0.3">
      <c r="A1" t="s">
        <v>278</v>
      </c>
      <c r="L1" t="s">
        <v>120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279</v>
      </c>
      <c r="M2">
        <v>4</v>
      </c>
    </row>
    <row r="3" spans="1:13" x14ac:dyDescent="0.3">
      <c r="A3" s="3" t="s">
        <v>11</v>
      </c>
      <c r="B3" t="s">
        <v>279</v>
      </c>
      <c r="C3" s="1">
        <f t="shared" ref="C3:C20" si="0">E3*3+F3</f>
        <v>59</v>
      </c>
      <c r="D3">
        <v>34</v>
      </c>
      <c r="E3">
        <v>16</v>
      </c>
      <c r="F3">
        <v>11</v>
      </c>
      <c r="G3">
        <f t="shared" ref="G3:G20" si="1">D3-E3-F3</f>
        <v>7</v>
      </c>
      <c r="H3">
        <v>48</v>
      </c>
      <c r="I3">
        <v>37</v>
      </c>
      <c r="J3">
        <f t="shared" ref="J3:J20" si="2">H3-I3</f>
        <v>11</v>
      </c>
    </row>
    <row r="4" spans="1:13" x14ac:dyDescent="0.3">
      <c r="A4" s="4" t="s">
        <v>12</v>
      </c>
      <c r="B4" t="s">
        <v>281</v>
      </c>
      <c r="C4" s="1">
        <f t="shared" si="0"/>
        <v>59</v>
      </c>
      <c r="D4">
        <v>34</v>
      </c>
      <c r="E4">
        <v>17</v>
      </c>
      <c r="F4">
        <v>8</v>
      </c>
      <c r="G4">
        <f t="shared" si="1"/>
        <v>9</v>
      </c>
      <c r="H4">
        <v>45</v>
      </c>
      <c r="I4">
        <v>35</v>
      </c>
      <c r="J4">
        <f t="shared" si="2"/>
        <v>10</v>
      </c>
    </row>
    <row r="5" spans="1:13" x14ac:dyDescent="0.3">
      <c r="A5" s="5" t="s">
        <v>13</v>
      </c>
      <c r="B5" t="s">
        <v>282</v>
      </c>
      <c r="C5" s="1">
        <f t="shared" si="0"/>
        <v>58</v>
      </c>
      <c r="D5">
        <v>34</v>
      </c>
      <c r="E5">
        <v>16</v>
      </c>
      <c r="F5">
        <v>10</v>
      </c>
      <c r="G5">
        <f t="shared" si="1"/>
        <v>8</v>
      </c>
      <c r="H5">
        <v>55</v>
      </c>
      <c r="I5">
        <v>34</v>
      </c>
      <c r="J5">
        <f t="shared" si="2"/>
        <v>21</v>
      </c>
    </row>
    <row r="6" spans="1:13" x14ac:dyDescent="0.3">
      <c r="A6" s="5" t="s">
        <v>14</v>
      </c>
      <c r="B6" t="s">
        <v>284</v>
      </c>
      <c r="C6" s="1">
        <f t="shared" si="0"/>
        <v>57</v>
      </c>
      <c r="D6">
        <v>34</v>
      </c>
      <c r="E6">
        <v>17</v>
      </c>
      <c r="F6">
        <v>6</v>
      </c>
      <c r="G6">
        <f t="shared" si="1"/>
        <v>11</v>
      </c>
      <c r="H6">
        <v>43</v>
      </c>
      <c r="I6">
        <v>31</v>
      </c>
      <c r="J6">
        <f t="shared" si="2"/>
        <v>12</v>
      </c>
    </row>
    <row r="7" spans="1:13" x14ac:dyDescent="0.3">
      <c r="A7" t="s">
        <v>15</v>
      </c>
      <c r="B7" t="s">
        <v>291</v>
      </c>
      <c r="C7" s="1">
        <f t="shared" si="0"/>
        <v>54</v>
      </c>
      <c r="D7">
        <v>34</v>
      </c>
      <c r="E7">
        <v>15</v>
      </c>
      <c r="F7">
        <v>9</v>
      </c>
      <c r="G7">
        <f t="shared" si="1"/>
        <v>10</v>
      </c>
      <c r="H7">
        <v>39</v>
      </c>
      <c r="I7">
        <v>38</v>
      </c>
      <c r="J7">
        <f t="shared" si="2"/>
        <v>1</v>
      </c>
    </row>
    <row r="8" spans="1:13" x14ac:dyDescent="0.3">
      <c r="A8" t="s">
        <v>16</v>
      </c>
      <c r="B8" t="s">
        <v>280</v>
      </c>
      <c r="C8" s="1">
        <f t="shared" si="0"/>
        <v>53</v>
      </c>
      <c r="D8">
        <v>34</v>
      </c>
      <c r="E8">
        <v>14</v>
      </c>
      <c r="F8">
        <v>11</v>
      </c>
      <c r="G8">
        <f t="shared" si="1"/>
        <v>9</v>
      </c>
      <c r="H8">
        <v>37</v>
      </c>
      <c r="I8">
        <v>34</v>
      </c>
      <c r="J8">
        <f t="shared" si="2"/>
        <v>3</v>
      </c>
    </row>
    <row r="9" spans="1:13" x14ac:dyDescent="0.3">
      <c r="A9" t="s">
        <v>17</v>
      </c>
      <c r="B9" t="s">
        <v>283</v>
      </c>
      <c r="C9" s="1">
        <f t="shared" si="0"/>
        <v>52</v>
      </c>
      <c r="D9">
        <v>34</v>
      </c>
      <c r="E9">
        <v>13</v>
      </c>
      <c r="F9">
        <v>13</v>
      </c>
      <c r="G9">
        <f t="shared" si="1"/>
        <v>8</v>
      </c>
      <c r="H9">
        <v>45</v>
      </c>
      <c r="I9">
        <v>36</v>
      </c>
      <c r="J9">
        <f t="shared" si="2"/>
        <v>9</v>
      </c>
    </row>
    <row r="10" spans="1:13" x14ac:dyDescent="0.3">
      <c r="A10" s="5" t="s">
        <v>18</v>
      </c>
      <c r="B10" t="s">
        <v>287</v>
      </c>
      <c r="C10" s="1">
        <f t="shared" si="0"/>
        <v>48</v>
      </c>
      <c r="D10">
        <v>34</v>
      </c>
      <c r="E10">
        <v>12</v>
      </c>
      <c r="F10">
        <v>12</v>
      </c>
      <c r="G10">
        <f t="shared" si="1"/>
        <v>10</v>
      </c>
      <c r="H10">
        <v>46</v>
      </c>
      <c r="I10">
        <v>39</v>
      </c>
      <c r="J10">
        <f t="shared" si="2"/>
        <v>7</v>
      </c>
    </row>
    <row r="11" spans="1:13" x14ac:dyDescent="0.3">
      <c r="A11" t="s">
        <v>19</v>
      </c>
      <c r="B11" t="s">
        <v>289</v>
      </c>
      <c r="C11" s="1">
        <f t="shared" si="0"/>
        <v>43</v>
      </c>
      <c r="D11">
        <v>34</v>
      </c>
      <c r="E11">
        <v>10</v>
      </c>
      <c r="F11">
        <v>13</v>
      </c>
      <c r="G11">
        <f t="shared" si="1"/>
        <v>11</v>
      </c>
      <c r="H11">
        <v>44</v>
      </c>
      <c r="I11">
        <v>37</v>
      </c>
      <c r="J11">
        <f t="shared" si="2"/>
        <v>7</v>
      </c>
    </row>
    <row r="12" spans="1:13" x14ac:dyDescent="0.3">
      <c r="A12" t="s">
        <v>20</v>
      </c>
      <c r="B12" t="s">
        <v>285</v>
      </c>
      <c r="C12" s="1">
        <f t="shared" si="0"/>
        <v>43</v>
      </c>
      <c r="D12">
        <v>34</v>
      </c>
      <c r="E12">
        <v>11</v>
      </c>
      <c r="F12">
        <v>10</v>
      </c>
      <c r="G12">
        <f t="shared" si="1"/>
        <v>13</v>
      </c>
      <c r="H12">
        <v>36</v>
      </c>
      <c r="I12">
        <v>41</v>
      </c>
      <c r="J12">
        <f t="shared" si="2"/>
        <v>-5</v>
      </c>
    </row>
    <row r="13" spans="1:13" x14ac:dyDescent="0.3">
      <c r="A13" t="s">
        <v>21</v>
      </c>
      <c r="B13" t="s">
        <v>288</v>
      </c>
      <c r="C13" s="1">
        <f t="shared" si="0"/>
        <v>42</v>
      </c>
      <c r="D13">
        <v>34</v>
      </c>
      <c r="E13">
        <v>11</v>
      </c>
      <c r="F13">
        <v>9</v>
      </c>
      <c r="G13">
        <f t="shared" si="1"/>
        <v>14</v>
      </c>
      <c r="H13">
        <v>40</v>
      </c>
      <c r="I13">
        <v>46</v>
      </c>
      <c r="J13">
        <f t="shared" si="2"/>
        <v>-6</v>
      </c>
    </row>
    <row r="14" spans="1:13" x14ac:dyDescent="0.3">
      <c r="A14" s="5" t="s">
        <v>22</v>
      </c>
      <c r="B14" t="s">
        <v>286</v>
      </c>
      <c r="C14" s="1">
        <f t="shared" si="0"/>
        <v>40</v>
      </c>
      <c r="D14">
        <v>34</v>
      </c>
      <c r="E14">
        <v>10</v>
      </c>
      <c r="F14">
        <v>10</v>
      </c>
      <c r="G14">
        <f t="shared" si="1"/>
        <v>14</v>
      </c>
      <c r="H14">
        <v>41</v>
      </c>
      <c r="I14">
        <v>39</v>
      </c>
      <c r="J14">
        <f t="shared" si="2"/>
        <v>2</v>
      </c>
    </row>
    <row r="15" spans="1:13" x14ac:dyDescent="0.3">
      <c r="A15" t="s">
        <v>23</v>
      </c>
      <c r="B15" t="s">
        <v>296</v>
      </c>
      <c r="C15" s="1">
        <f t="shared" si="0"/>
        <v>40</v>
      </c>
      <c r="D15">
        <v>34</v>
      </c>
      <c r="E15">
        <v>10</v>
      </c>
      <c r="F15">
        <v>10</v>
      </c>
      <c r="G15">
        <f t="shared" si="1"/>
        <v>14</v>
      </c>
      <c r="H15">
        <v>47</v>
      </c>
      <c r="I15">
        <v>52</v>
      </c>
      <c r="J15">
        <f t="shared" si="2"/>
        <v>-5</v>
      </c>
    </row>
    <row r="16" spans="1:13" x14ac:dyDescent="0.3">
      <c r="A16" t="s">
        <v>24</v>
      </c>
      <c r="B16" t="s">
        <v>293</v>
      </c>
      <c r="C16" s="1">
        <f t="shared" si="0"/>
        <v>38</v>
      </c>
      <c r="D16">
        <v>34</v>
      </c>
      <c r="E16">
        <v>9</v>
      </c>
      <c r="F16">
        <v>11</v>
      </c>
      <c r="G16">
        <f t="shared" si="1"/>
        <v>14</v>
      </c>
      <c r="H16">
        <v>36</v>
      </c>
      <c r="I16">
        <v>47</v>
      </c>
      <c r="J16">
        <f t="shared" si="2"/>
        <v>-11</v>
      </c>
    </row>
    <row r="17" spans="1:10" x14ac:dyDescent="0.3">
      <c r="A17" t="s">
        <v>25</v>
      </c>
      <c r="B17" t="s">
        <v>295</v>
      </c>
      <c r="C17" s="1">
        <f t="shared" si="0"/>
        <v>36</v>
      </c>
      <c r="D17">
        <v>34</v>
      </c>
      <c r="E17">
        <v>7</v>
      </c>
      <c r="F17">
        <v>15</v>
      </c>
      <c r="G17">
        <f t="shared" si="1"/>
        <v>12</v>
      </c>
      <c r="H17">
        <v>31</v>
      </c>
      <c r="I17">
        <v>41</v>
      </c>
      <c r="J17">
        <f t="shared" si="2"/>
        <v>-10</v>
      </c>
    </row>
    <row r="18" spans="1:10" x14ac:dyDescent="0.3">
      <c r="A18" t="s">
        <v>26</v>
      </c>
      <c r="B18" t="s">
        <v>294</v>
      </c>
      <c r="C18" s="1">
        <f t="shared" si="0"/>
        <v>35</v>
      </c>
      <c r="D18">
        <v>34</v>
      </c>
      <c r="E18">
        <v>8</v>
      </c>
      <c r="F18">
        <v>11</v>
      </c>
      <c r="G18">
        <f t="shared" si="1"/>
        <v>15</v>
      </c>
      <c r="H18">
        <v>28</v>
      </c>
      <c r="I18">
        <v>44</v>
      </c>
      <c r="J18">
        <f t="shared" si="2"/>
        <v>-16</v>
      </c>
    </row>
    <row r="19" spans="1:10" x14ac:dyDescent="0.3">
      <c r="A19" t="s">
        <v>122</v>
      </c>
      <c r="B19" t="s">
        <v>290</v>
      </c>
      <c r="C19" s="1">
        <f t="shared" si="0"/>
        <v>34</v>
      </c>
      <c r="D19">
        <v>34</v>
      </c>
      <c r="E19">
        <v>6</v>
      </c>
      <c r="F19">
        <v>16</v>
      </c>
      <c r="G19">
        <f t="shared" si="1"/>
        <v>12</v>
      </c>
      <c r="H19">
        <v>36</v>
      </c>
      <c r="I19">
        <v>50</v>
      </c>
      <c r="J19">
        <f t="shared" si="2"/>
        <v>-14</v>
      </c>
    </row>
    <row r="20" spans="1:10" x14ac:dyDescent="0.3">
      <c r="A20" t="s">
        <v>123</v>
      </c>
      <c r="B20" t="s">
        <v>292</v>
      </c>
      <c r="C20" s="1">
        <f t="shared" si="0"/>
        <v>30</v>
      </c>
      <c r="D20">
        <v>34</v>
      </c>
      <c r="E20">
        <v>6</v>
      </c>
      <c r="F20">
        <v>12</v>
      </c>
      <c r="G20">
        <f t="shared" si="1"/>
        <v>16</v>
      </c>
      <c r="H20">
        <v>36</v>
      </c>
      <c r="I20">
        <v>51</v>
      </c>
      <c r="J20">
        <f t="shared" si="2"/>
        <v>-15</v>
      </c>
    </row>
  </sheetData>
  <sortState xmlns:xlrd2="http://schemas.microsoft.com/office/spreadsheetml/2017/richdata2" ref="B3:J20">
    <sortCondition descending="1" ref="C3:C20"/>
    <sortCondition descending="1" ref="J3:J20"/>
    <sortCondition descending="1" ref="H3:H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África do Sul</vt:lpstr>
      <vt:lpstr>Angola</vt:lpstr>
      <vt:lpstr>Argélia</vt:lpstr>
      <vt:lpstr>Botswana</vt:lpstr>
      <vt:lpstr>Egito</vt:lpstr>
      <vt:lpstr>Gana</vt:lpstr>
      <vt:lpstr>Guiné</vt:lpstr>
      <vt:lpstr>Marrocos</vt:lpstr>
      <vt:lpstr>Nigéria</vt:lpstr>
      <vt:lpstr>Tanzânia</vt:lpstr>
      <vt:lpstr>Tunísia</vt:lpstr>
      <vt:lpstr>Zâmbia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2025-12-29T18:04:39Z</dcterms:created>
  <dcterms:modified xsi:type="dcterms:W3CDTF">2026-07-26T05:06:59Z</dcterms:modified>
</cp:coreProperties>
</file>