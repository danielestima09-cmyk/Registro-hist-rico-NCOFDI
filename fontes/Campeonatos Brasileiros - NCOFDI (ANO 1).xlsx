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AB085FFB-44F4-48FF-B80B-12852858C3DE}" xr6:coauthVersionLast="47" xr6:coauthVersionMax="47" xr10:uidLastSave="{00000000-0000-0000-0000-000000000000}"/>
  <bookViews>
    <workbookView xWindow="-108" yWindow="-108" windowWidth="23256" windowHeight="13176" activeTab="6" xr2:uid="{3A0A60E6-83D2-420C-BB48-C07A975CCCD1}"/>
  </bookViews>
  <sheets>
    <sheet name="Supercopa" sheetId="6" r:id="rId1"/>
    <sheet name="Série A" sheetId="1" r:id="rId2"/>
    <sheet name="Série B" sheetId="2" r:id="rId3"/>
    <sheet name="Série C" sheetId="3" r:id="rId4"/>
    <sheet name="Série D" sheetId="4" r:id="rId5"/>
    <sheet name="Copa do Brasil" sheetId="5" r:id="rId6"/>
    <sheet name="Regionai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9" i="7" l="1"/>
  <c r="AG48" i="7"/>
  <c r="AI49" i="7"/>
  <c r="AI48" i="7"/>
  <c r="AP45" i="7"/>
  <c r="AM45" i="7"/>
  <c r="AI45" i="7"/>
  <c r="AP44" i="7"/>
  <c r="AM44" i="7"/>
  <c r="AI44" i="7"/>
  <c r="AP43" i="7"/>
  <c r="AM43" i="7"/>
  <c r="AI43" i="7"/>
  <c r="AP42" i="7"/>
  <c r="AM42" i="7"/>
  <c r="AI42" i="7"/>
  <c r="AP41" i="7"/>
  <c r="AM41" i="7"/>
  <c r="AI41" i="7"/>
  <c r="AP40" i="7"/>
  <c r="AM40" i="7"/>
  <c r="AI40" i="7"/>
  <c r="AP36" i="7"/>
  <c r="AM36" i="7"/>
  <c r="AI36" i="7"/>
  <c r="AP35" i="7"/>
  <c r="AM35" i="7"/>
  <c r="AI35" i="7"/>
  <c r="AP34" i="7"/>
  <c r="AM34" i="7"/>
  <c r="AI34" i="7"/>
  <c r="AP33" i="7"/>
  <c r="AM33" i="7"/>
  <c r="AI33" i="7"/>
  <c r="AP32" i="7"/>
  <c r="AM32" i="7"/>
  <c r="AI32" i="7"/>
  <c r="AP31" i="7"/>
  <c r="AM31" i="7"/>
  <c r="AI31" i="7"/>
  <c r="AI23" i="7"/>
  <c r="AG23" i="7"/>
  <c r="AI22" i="7"/>
  <c r="AG22" i="7"/>
  <c r="AP19" i="7"/>
  <c r="AM19" i="7"/>
  <c r="AI19" i="7"/>
  <c r="AP18" i="7"/>
  <c r="AM18" i="7"/>
  <c r="AI18" i="7"/>
  <c r="AP17" i="7"/>
  <c r="AM17" i="7"/>
  <c r="AI17" i="7"/>
  <c r="AP16" i="7"/>
  <c r="AM16" i="7"/>
  <c r="AI16" i="7"/>
  <c r="AP15" i="7"/>
  <c r="AM15" i="7"/>
  <c r="AI15" i="7"/>
  <c r="AP14" i="7"/>
  <c r="AM14" i="7"/>
  <c r="AI14" i="7"/>
  <c r="AP10" i="7"/>
  <c r="AM10" i="7"/>
  <c r="AI10" i="7"/>
  <c r="AP9" i="7"/>
  <c r="AM9" i="7"/>
  <c r="AI9" i="7"/>
  <c r="AP8" i="7"/>
  <c r="AM8" i="7"/>
  <c r="AI8" i="7"/>
  <c r="AP7" i="7"/>
  <c r="AM7" i="7"/>
  <c r="AI7" i="7"/>
  <c r="AP6" i="7"/>
  <c r="AM6" i="7"/>
  <c r="AI6" i="7"/>
  <c r="AP5" i="7"/>
  <c r="AM5" i="7"/>
  <c r="AI5" i="7"/>
  <c r="S38" i="7"/>
  <c r="S37" i="7"/>
  <c r="Q37" i="7"/>
  <c r="S36" i="7"/>
  <c r="S35" i="7"/>
  <c r="Q38" i="7"/>
  <c r="Q36" i="7"/>
  <c r="Q35" i="7"/>
  <c r="Z28" i="7"/>
  <c r="W28" i="7"/>
  <c r="S28" i="7"/>
  <c r="Z30" i="7"/>
  <c r="W30" i="7"/>
  <c r="S30" i="7"/>
  <c r="Z29" i="7"/>
  <c r="W29" i="7"/>
  <c r="S29" i="7"/>
  <c r="Z32" i="7"/>
  <c r="W32" i="7"/>
  <c r="S32" i="7"/>
  <c r="Z31" i="7"/>
  <c r="W31" i="7"/>
  <c r="S31" i="7"/>
  <c r="Z23" i="7"/>
  <c r="W23" i="7"/>
  <c r="S23" i="7"/>
  <c r="Z22" i="7"/>
  <c r="W22" i="7"/>
  <c r="S22" i="7"/>
  <c r="Z24" i="7"/>
  <c r="W24" i="7"/>
  <c r="S24" i="7"/>
  <c r="Z20" i="7"/>
  <c r="W20" i="7"/>
  <c r="S20" i="7"/>
  <c r="Z21" i="7"/>
  <c r="W21" i="7"/>
  <c r="S21" i="7"/>
  <c r="Z14" i="7"/>
  <c r="W14" i="7"/>
  <c r="S14" i="7"/>
  <c r="Z13" i="7"/>
  <c r="W13" i="7"/>
  <c r="S13" i="7"/>
  <c r="Z12" i="7"/>
  <c r="W12" i="7"/>
  <c r="S12" i="7"/>
  <c r="Z16" i="7"/>
  <c r="W16" i="7"/>
  <c r="S16" i="7"/>
  <c r="Z15" i="7"/>
  <c r="W15" i="7"/>
  <c r="S15" i="7"/>
  <c r="Z6" i="7"/>
  <c r="W6" i="7"/>
  <c r="S6" i="7"/>
  <c r="Z4" i="7"/>
  <c r="W4" i="7"/>
  <c r="S4" i="7"/>
  <c r="Z7" i="7"/>
  <c r="W7" i="7"/>
  <c r="S7" i="7"/>
  <c r="Z5" i="7"/>
  <c r="W5" i="7"/>
  <c r="S5" i="7"/>
  <c r="Z8" i="7"/>
  <c r="W8" i="7"/>
  <c r="S8" i="7"/>
  <c r="G22" i="7"/>
  <c r="E22" i="7"/>
  <c r="C22" i="7"/>
  <c r="A22" i="7"/>
  <c r="G21" i="7"/>
  <c r="E21" i="7"/>
  <c r="C21" i="7"/>
  <c r="A21" i="7"/>
  <c r="J14" i="7"/>
  <c r="G14" i="7"/>
  <c r="C14" i="7"/>
  <c r="J16" i="7"/>
  <c r="G16" i="7"/>
  <c r="C16" i="7"/>
  <c r="J17" i="7"/>
  <c r="G17" i="7"/>
  <c r="C17" i="7"/>
  <c r="J13" i="7"/>
  <c r="G13" i="7"/>
  <c r="C13" i="7"/>
  <c r="J18" i="7"/>
  <c r="G18" i="7"/>
  <c r="C18" i="7"/>
  <c r="J15" i="7"/>
  <c r="G15" i="7"/>
  <c r="C15" i="7"/>
  <c r="J5" i="7"/>
  <c r="G5" i="7"/>
  <c r="C5" i="7"/>
  <c r="J8" i="7"/>
  <c r="G8" i="7"/>
  <c r="C8" i="7"/>
  <c r="J7" i="7"/>
  <c r="G7" i="7"/>
  <c r="C7" i="7"/>
  <c r="J9" i="7"/>
  <c r="G9" i="7"/>
  <c r="C9" i="7"/>
  <c r="J4" i="7"/>
  <c r="G4" i="7"/>
  <c r="C4" i="7"/>
  <c r="J6" i="7"/>
  <c r="G6" i="7"/>
  <c r="C6" i="7"/>
  <c r="R48" i="4"/>
  <c r="P48" i="4"/>
  <c r="N48" i="4"/>
  <c r="L48" i="4"/>
  <c r="R47" i="4"/>
  <c r="P47" i="4"/>
  <c r="N47" i="4"/>
  <c r="L47" i="4"/>
  <c r="R45" i="4"/>
  <c r="P45" i="4"/>
  <c r="N45" i="4"/>
  <c r="L45" i="4"/>
  <c r="R44" i="4"/>
  <c r="P44" i="4"/>
  <c r="N44" i="4"/>
  <c r="L44" i="4"/>
  <c r="R42" i="4"/>
  <c r="P42" i="4"/>
  <c r="N42" i="4"/>
  <c r="L42" i="4"/>
  <c r="R41" i="4"/>
  <c r="P41" i="4"/>
  <c r="N41" i="4"/>
  <c r="L41" i="4"/>
  <c r="R39" i="4"/>
  <c r="P39" i="4"/>
  <c r="N39" i="4"/>
  <c r="L39" i="4"/>
  <c r="R38" i="4"/>
  <c r="P38" i="4"/>
  <c r="N38" i="4"/>
  <c r="L38" i="4"/>
  <c r="R36" i="4"/>
  <c r="P36" i="4"/>
  <c r="N36" i="4"/>
  <c r="L36" i="4"/>
  <c r="R35" i="4"/>
  <c r="P35" i="4"/>
  <c r="N35" i="4"/>
  <c r="L35" i="4"/>
  <c r="P33" i="4"/>
  <c r="N33" i="4"/>
  <c r="R33" i="4"/>
  <c r="L33" i="4"/>
  <c r="P32" i="4"/>
  <c r="N32" i="4"/>
  <c r="R32" i="4"/>
  <c r="L32" i="4"/>
  <c r="R30" i="4"/>
  <c r="P30" i="4"/>
  <c r="N30" i="4"/>
  <c r="L30" i="4"/>
  <c r="P29" i="4"/>
  <c r="N29" i="4"/>
  <c r="R29" i="4"/>
  <c r="L29" i="4"/>
  <c r="P27" i="4"/>
  <c r="N27" i="4"/>
  <c r="R27" i="4"/>
  <c r="L27" i="4"/>
  <c r="R26" i="4"/>
  <c r="P26" i="4"/>
  <c r="N26" i="4"/>
  <c r="L26" i="4"/>
  <c r="R24" i="4"/>
  <c r="P24" i="4"/>
  <c r="N24" i="4"/>
  <c r="L24" i="4"/>
  <c r="P23" i="4"/>
  <c r="N23" i="4"/>
  <c r="N20" i="4"/>
  <c r="P20" i="4"/>
  <c r="R20" i="4"/>
  <c r="L20" i="4"/>
  <c r="R23" i="4"/>
  <c r="L23" i="4"/>
  <c r="R21" i="4"/>
  <c r="P21" i="4"/>
  <c r="L21" i="4"/>
  <c r="N21" i="4"/>
  <c r="R18" i="4"/>
  <c r="P18" i="4"/>
  <c r="N18" i="4"/>
  <c r="L18" i="4"/>
  <c r="R17" i="4"/>
  <c r="P17" i="4"/>
  <c r="N17" i="4"/>
  <c r="L17" i="4"/>
  <c r="R15" i="4"/>
  <c r="P15" i="4"/>
  <c r="N15" i="4"/>
  <c r="L15" i="4"/>
  <c r="L14" i="4"/>
  <c r="R14" i="4"/>
  <c r="P14" i="4"/>
  <c r="N14" i="4"/>
  <c r="R12" i="4"/>
  <c r="P12" i="4"/>
  <c r="N12" i="4"/>
  <c r="L12" i="4"/>
  <c r="R11" i="4"/>
  <c r="P11" i="4"/>
  <c r="N11" i="4"/>
  <c r="L11" i="4"/>
  <c r="R9" i="4"/>
  <c r="P9" i="4"/>
  <c r="N9" i="4"/>
  <c r="L9" i="4"/>
  <c r="R8" i="4"/>
  <c r="P8" i="4"/>
  <c r="N8" i="4"/>
  <c r="L8" i="4"/>
  <c r="R6" i="4"/>
  <c r="P6" i="4"/>
  <c r="N6" i="4"/>
  <c r="L6" i="4"/>
  <c r="R5" i="4"/>
  <c r="P5" i="4"/>
  <c r="N5" i="4"/>
  <c r="L5" i="4"/>
  <c r="R3" i="4"/>
  <c r="P3" i="4"/>
  <c r="N3" i="4"/>
  <c r="L3" i="4"/>
  <c r="R2" i="4"/>
  <c r="P2" i="4"/>
  <c r="N2" i="4"/>
  <c r="L2" i="4"/>
  <c r="J143" i="4"/>
  <c r="G143" i="4"/>
  <c r="C143" i="4"/>
  <c r="J142" i="4"/>
  <c r="G142" i="4"/>
  <c r="C142" i="4"/>
  <c r="J141" i="4"/>
  <c r="G141" i="4"/>
  <c r="C141" i="4"/>
  <c r="J140" i="4"/>
  <c r="G140" i="4"/>
  <c r="C140" i="4"/>
  <c r="J139" i="4"/>
  <c r="G139" i="4"/>
  <c r="C139" i="4"/>
  <c r="J138" i="4"/>
  <c r="G138" i="4"/>
  <c r="C138" i="4"/>
  <c r="J134" i="4"/>
  <c r="G134" i="4"/>
  <c r="C134" i="4"/>
  <c r="J133" i="4"/>
  <c r="G133" i="4"/>
  <c r="C133" i="4"/>
  <c r="J132" i="4"/>
  <c r="G132" i="4"/>
  <c r="C132" i="4"/>
  <c r="J131" i="4"/>
  <c r="G131" i="4"/>
  <c r="C131" i="4"/>
  <c r="J130" i="4"/>
  <c r="G130" i="4"/>
  <c r="C130" i="4"/>
  <c r="J129" i="4"/>
  <c r="G129" i="4"/>
  <c r="C129" i="4"/>
  <c r="J125" i="4"/>
  <c r="G125" i="4"/>
  <c r="C125" i="4"/>
  <c r="J124" i="4"/>
  <c r="G124" i="4"/>
  <c r="C124" i="4"/>
  <c r="J123" i="4"/>
  <c r="G123" i="4"/>
  <c r="C123" i="4"/>
  <c r="J122" i="4"/>
  <c r="G122" i="4"/>
  <c r="C122" i="4"/>
  <c r="J121" i="4"/>
  <c r="G121" i="4"/>
  <c r="C121" i="4"/>
  <c r="J120" i="4"/>
  <c r="G120" i="4"/>
  <c r="C120" i="4"/>
  <c r="J116" i="4"/>
  <c r="G116" i="4"/>
  <c r="C116" i="4"/>
  <c r="J115" i="4"/>
  <c r="G115" i="4"/>
  <c r="C115" i="4"/>
  <c r="J114" i="4"/>
  <c r="G114" i="4"/>
  <c r="C114" i="4"/>
  <c r="J113" i="4"/>
  <c r="G113" i="4"/>
  <c r="C113" i="4"/>
  <c r="J112" i="4"/>
  <c r="G112" i="4"/>
  <c r="C112" i="4"/>
  <c r="J111" i="4"/>
  <c r="G111" i="4"/>
  <c r="C111" i="4"/>
  <c r="J107" i="4"/>
  <c r="G107" i="4"/>
  <c r="C107" i="4"/>
  <c r="J106" i="4"/>
  <c r="G106" i="4"/>
  <c r="C106" i="4"/>
  <c r="J105" i="4"/>
  <c r="G105" i="4"/>
  <c r="C105" i="4"/>
  <c r="J104" i="4"/>
  <c r="G104" i="4"/>
  <c r="C104" i="4"/>
  <c r="J103" i="4"/>
  <c r="G103" i="4"/>
  <c r="C103" i="4"/>
  <c r="J102" i="4"/>
  <c r="G102" i="4"/>
  <c r="C102" i="4"/>
  <c r="J98" i="4"/>
  <c r="G98" i="4"/>
  <c r="C98" i="4"/>
  <c r="J97" i="4"/>
  <c r="G97" i="4"/>
  <c r="C97" i="4"/>
  <c r="J96" i="4"/>
  <c r="G96" i="4"/>
  <c r="C96" i="4"/>
  <c r="J95" i="4"/>
  <c r="G95" i="4"/>
  <c r="C95" i="4"/>
  <c r="J94" i="4"/>
  <c r="G94" i="4"/>
  <c r="C94" i="4"/>
  <c r="J93" i="4"/>
  <c r="G93" i="4"/>
  <c r="C93" i="4"/>
  <c r="J89" i="4"/>
  <c r="G89" i="4"/>
  <c r="C89" i="4"/>
  <c r="J88" i="4"/>
  <c r="G88" i="4"/>
  <c r="C88" i="4"/>
  <c r="J87" i="4"/>
  <c r="G87" i="4"/>
  <c r="C87" i="4"/>
  <c r="J86" i="4"/>
  <c r="G86" i="4"/>
  <c r="C86" i="4"/>
  <c r="J85" i="4"/>
  <c r="G85" i="4"/>
  <c r="C85" i="4"/>
  <c r="J84" i="4"/>
  <c r="G84" i="4"/>
  <c r="C84" i="4"/>
  <c r="J80" i="4"/>
  <c r="G80" i="4"/>
  <c r="C80" i="4"/>
  <c r="J79" i="4"/>
  <c r="G79" i="4"/>
  <c r="C79" i="4"/>
  <c r="J78" i="4"/>
  <c r="G78" i="4"/>
  <c r="C78" i="4"/>
  <c r="J77" i="4"/>
  <c r="G77" i="4"/>
  <c r="C77" i="4"/>
  <c r="J76" i="4"/>
  <c r="G76" i="4"/>
  <c r="C76" i="4"/>
  <c r="J75" i="4"/>
  <c r="G75" i="4"/>
  <c r="C75" i="4"/>
  <c r="J71" i="4"/>
  <c r="G71" i="4"/>
  <c r="C71" i="4"/>
  <c r="J70" i="4"/>
  <c r="G70" i="4"/>
  <c r="C70" i="4"/>
  <c r="J69" i="4"/>
  <c r="G69" i="4"/>
  <c r="C69" i="4"/>
  <c r="J68" i="4"/>
  <c r="G68" i="4"/>
  <c r="C68" i="4"/>
  <c r="J67" i="4"/>
  <c r="G67" i="4"/>
  <c r="C67" i="4"/>
  <c r="J66" i="4"/>
  <c r="G66" i="4"/>
  <c r="C66" i="4"/>
  <c r="J62" i="4"/>
  <c r="G62" i="4"/>
  <c r="C62" i="4"/>
  <c r="J61" i="4"/>
  <c r="G61" i="4"/>
  <c r="C61" i="4"/>
  <c r="J60" i="4"/>
  <c r="G60" i="4"/>
  <c r="C60" i="4"/>
  <c r="J59" i="4"/>
  <c r="G59" i="4"/>
  <c r="C59" i="4"/>
  <c r="J58" i="4"/>
  <c r="G58" i="4"/>
  <c r="C58" i="4"/>
  <c r="J57" i="4"/>
  <c r="G57" i="4"/>
  <c r="C57" i="4"/>
  <c r="J53" i="4"/>
  <c r="G53" i="4"/>
  <c r="C53" i="4"/>
  <c r="J49" i="4"/>
  <c r="G49" i="4"/>
  <c r="C49" i="4"/>
  <c r="J51" i="4"/>
  <c r="G51" i="4"/>
  <c r="C51" i="4"/>
  <c r="J52" i="4"/>
  <c r="G52" i="4"/>
  <c r="C52" i="4"/>
  <c r="J48" i="4"/>
  <c r="G48" i="4"/>
  <c r="C48" i="4"/>
  <c r="J50" i="4"/>
  <c r="G50" i="4"/>
  <c r="C50" i="4"/>
  <c r="J42" i="4"/>
  <c r="G42" i="4"/>
  <c r="C42" i="4"/>
  <c r="J40" i="4"/>
  <c r="G40" i="4"/>
  <c r="C40" i="4"/>
  <c r="J41" i="4"/>
  <c r="G41" i="4"/>
  <c r="C41" i="4"/>
  <c r="J44" i="4"/>
  <c r="G44" i="4"/>
  <c r="C44" i="4"/>
  <c r="J43" i="4"/>
  <c r="G43" i="4"/>
  <c r="C43" i="4"/>
  <c r="J39" i="4"/>
  <c r="G39" i="4"/>
  <c r="C39" i="4"/>
  <c r="J35" i="4"/>
  <c r="G35" i="4"/>
  <c r="C35" i="4"/>
  <c r="J30" i="4"/>
  <c r="G30" i="4"/>
  <c r="C30" i="4"/>
  <c r="J32" i="4"/>
  <c r="G32" i="4"/>
  <c r="C32" i="4"/>
  <c r="J33" i="4"/>
  <c r="G33" i="4"/>
  <c r="C33" i="4"/>
  <c r="J34" i="4"/>
  <c r="G34" i="4"/>
  <c r="C34" i="4"/>
  <c r="J31" i="4"/>
  <c r="G31" i="4"/>
  <c r="C31" i="4"/>
  <c r="J24" i="4"/>
  <c r="G24" i="4"/>
  <c r="C24" i="4"/>
  <c r="J21" i="4"/>
  <c r="G21" i="4"/>
  <c r="C21" i="4"/>
  <c r="J23" i="4"/>
  <c r="G23" i="4"/>
  <c r="C23" i="4"/>
  <c r="J26" i="4"/>
  <c r="G26" i="4"/>
  <c r="C26" i="4"/>
  <c r="J25" i="4"/>
  <c r="G25" i="4"/>
  <c r="C25" i="4"/>
  <c r="J22" i="4"/>
  <c r="G22" i="4"/>
  <c r="C22" i="4"/>
  <c r="J16" i="4"/>
  <c r="G16" i="4"/>
  <c r="C16" i="4"/>
  <c r="J17" i="4"/>
  <c r="G17" i="4"/>
  <c r="C17" i="4"/>
  <c r="J12" i="4"/>
  <c r="G12" i="4"/>
  <c r="C12" i="4"/>
  <c r="J14" i="4"/>
  <c r="G14" i="4"/>
  <c r="C14" i="4"/>
  <c r="J15" i="4"/>
  <c r="G15" i="4"/>
  <c r="C15" i="4"/>
  <c r="J13" i="4"/>
  <c r="G13" i="4"/>
  <c r="C13" i="4"/>
  <c r="C5" i="4"/>
  <c r="C3" i="4"/>
  <c r="C7" i="4"/>
  <c r="C8" i="4"/>
  <c r="C4" i="4"/>
  <c r="C6" i="4"/>
  <c r="J5" i="4"/>
  <c r="J3" i="4"/>
  <c r="J7" i="4"/>
  <c r="J8" i="4"/>
  <c r="J4" i="4"/>
  <c r="J6" i="4"/>
  <c r="G5" i="4"/>
  <c r="G3" i="4"/>
  <c r="G7" i="4"/>
  <c r="G8" i="4"/>
  <c r="G4" i="4"/>
  <c r="G6" i="4"/>
  <c r="J36" i="3"/>
  <c r="G36" i="3"/>
  <c r="J35" i="3"/>
  <c r="G35" i="3"/>
  <c r="J34" i="3"/>
  <c r="G34" i="3"/>
  <c r="J33" i="3"/>
  <c r="G33" i="3"/>
  <c r="J29" i="3"/>
  <c r="G29" i="3"/>
  <c r="J28" i="3"/>
  <c r="G28" i="3"/>
  <c r="J27" i="3"/>
  <c r="G27" i="3"/>
  <c r="J26" i="3"/>
  <c r="G26" i="3"/>
  <c r="J21" i="3"/>
  <c r="G21" i="3"/>
  <c r="J20" i="3"/>
  <c r="G20" i="3"/>
  <c r="J19" i="3"/>
  <c r="G19" i="3"/>
  <c r="J18" i="3"/>
  <c r="G18" i="3"/>
  <c r="J17" i="3"/>
  <c r="G17" i="3"/>
  <c r="J16" i="3"/>
  <c r="G16" i="3"/>
  <c r="J15" i="3"/>
  <c r="G15" i="3"/>
  <c r="J14" i="3"/>
  <c r="G14" i="3"/>
  <c r="J13" i="3"/>
  <c r="G13" i="3"/>
  <c r="J12" i="3"/>
  <c r="G12" i="3"/>
  <c r="J11" i="3"/>
  <c r="G11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J2" i="3"/>
  <c r="G2" i="3"/>
  <c r="J21" i="2"/>
  <c r="G21" i="2"/>
  <c r="J20" i="2"/>
  <c r="G20" i="2"/>
  <c r="J19" i="2"/>
  <c r="G19" i="2"/>
  <c r="J18" i="2"/>
  <c r="G18" i="2"/>
  <c r="J17" i="2"/>
  <c r="G17" i="2"/>
  <c r="J16" i="2"/>
  <c r="G16" i="2"/>
  <c r="J15" i="2"/>
  <c r="G15" i="2"/>
  <c r="J14" i="2"/>
  <c r="G14" i="2"/>
  <c r="J13" i="2"/>
  <c r="G13" i="2"/>
  <c r="J12" i="2"/>
  <c r="G12" i="2"/>
  <c r="J11" i="2"/>
  <c r="G11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J2" i="2"/>
  <c r="G2" i="2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  <c r="J2" i="1"/>
  <c r="G2" i="1"/>
</calcChain>
</file>

<file path=xl/sharedStrings.xml><?xml version="1.0" encoding="utf-8"?>
<sst xmlns="http://schemas.openxmlformats.org/spreadsheetml/2006/main" count="2232" uniqueCount="568">
  <si>
    <t>Flamengo</t>
  </si>
  <si>
    <t>Corinthians</t>
  </si>
  <si>
    <t>1x1 (4x3)</t>
  </si>
  <si>
    <t>Pedro 70'</t>
  </si>
  <si>
    <t>Memphis 91'</t>
  </si>
  <si>
    <t>Pedro</t>
  </si>
  <si>
    <t>Bruno Henrique</t>
  </si>
  <si>
    <t>Arrascaeta</t>
  </si>
  <si>
    <t>Pulgar</t>
  </si>
  <si>
    <t>Saúl</t>
  </si>
  <si>
    <t>Memphis</t>
  </si>
  <si>
    <t>Romero</t>
  </si>
  <si>
    <t>Garro</t>
  </si>
  <si>
    <t>Raniele</t>
  </si>
  <si>
    <t>José Martínez</t>
  </si>
  <si>
    <t>Campeão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</si>
  <si>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</si>
  <si>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</si>
  <si>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</si>
  <si>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</si>
  <si>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</si>
  <si>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</si>
  <si>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</si>
  <si>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</si>
  <si>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</si>
  <si>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</si>
  <si>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1.</t>
  </si>
  <si>
    <t>2.</t>
  </si>
  <si>
    <t>3.</t>
  </si>
  <si>
    <t>4.</t>
  </si>
  <si>
    <t>Fortaleza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</si>
  <si>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</si>
  <si>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</si>
  <si>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</si>
  <si>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</si>
  <si>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</si>
  <si>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</si>
  <si>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</si>
  <si>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</si>
  <si>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</si>
  <si>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</si>
  <si>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</si>
  <si>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</si>
  <si>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</si>
  <si>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</si>
  <si>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</si>
  <si>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</si>
  <si>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Grêmio</t>
  </si>
  <si>
    <t>Atlético-MG</t>
  </si>
  <si>
    <t>São Paulo</t>
  </si>
  <si>
    <t>Cruzeiro</t>
  </si>
  <si>
    <t>Chapecoense</t>
  </si>
  <si>
    <t>Bahia</t>
  </si>
  <si>
    <t>Botafogo</t>
  </si>
  <si>
    <t>Mirassol</t>
  </si>
  <si>
    <t>Palmeiras</t>
  </si>
  <si>
    <t>Vasco</t>
  </si>
  <si>
    <t>RB Bragantino</t>
  </si>
  <si>
    <t>Vitória</t>
  </si>
  <si>
    <t>Santos</t>
  </si>
  <si>
    <t>Fluminense</t>
  </si>
  <si>
    <t>Internacional</t>
  </si>
  <si>
    <t>Athletico-PR</t>
  </si>
  <si>
    <t>Coritiba</t>
  </si>
  <si>
    <t>Remo</t>
  </si>
  <si>
    <t>América-MG</t>
  </si>
  <si>
    <t>Atlético-GO</t>
  </si>
  <si>
    <t>Botafogo-SP</t>
  </si>
  <si>
    <t>Novorizontino</t>
  </si>
  <si>
    <t>CRB</t>
  </si>
  <si>
    <t>Londrina</t>
  </si>
  <si>
    <t>Criciúma</t>
  </si>
  <si>
    <t>Athletic</t>
  </si>
  <si>
    <t>Ponte Preta</t>
  </si>
  <si>
    <t>Vila Nova</t>
  </si>
  <si>
    <t>Avaí</t>
  </si>
  <si>
    <t>São Bernardo</t>
  </si>
  <si>
    <t>Sport</t>
  </si>
  <si>
    <t>Náutico</t>
  </si>
  <si>
    <t>Juventude</t>
  </si>
  <si>
    <t>Goiás</t>
  </si>
  <si>
    <t>Cuiabá</t>
  </si>
  <si>
    <t>Ceará</t>
  </si>
  <si>
    <t>Operário</t>
  </si>
  <si>
    <t>Guarani</t>
  </si>
  <si>
    <t>Anápolis</t>
  </si>
  <si>
    <t>Inter de Limeira</t>
  </si>
  <si>
    <t>Maringá</t>
  </si>
  <si>
    <t>Botafogo-PB</t>
  </si>
  <si>
    <t>Floresta</t>
  </si>
  <si>
    <t>Ferroviária</t>
  </si>
  <si>
    <t>Caxias</t>
  </si>
  <si>
    <t>Itabaiana</t>
  </si>
  <si>
    <t>Ituano</t>
  </si>
  <si>
    <t>Santa Cruz</t>
  </si>
  <si>
    <t>Ypiranga</t>
  </si>
  <si>
    <t>Amazonas</t>
  </si>
  <si>
    <t>Barra</t>
  </si>
  <si>
    <t>Confiança</t>
  </si>
  <si>
    <t>Figueirense</t>
  </si>
  <si>
    <t>Paysandu</t>
  </si>
  <si>
    <t>Volta Redonda</t>
  </si>
  <si>
    <t>Brusque</t>
  </si>
  <si>
    <t>Maranhão</t>
  </si>
  <si>
    <t>2a fase</t>
  </si>
  <si>
    <t>Grupo A</t>
  </si>
  <si>
    <t>Grupo B</t>
  </si>
  <si>
    <t>Final</t>
  </si>
  <si>
    <t>0x3</t>
  </si>
  <si>
    <t>0x2</t>
  </si>
  <si>
    <t>Tomas Bastos</t>
  </si>
  <si>
    <t>Douglas Skilo</t>
  </si>
  <si>
    <t>Robinho</t>
  </si>
  <si>
    <t>Robinho (3x)</t>
  </si>
  <si>
    <t>1a fase</t>
  </si>
  <si>
    <t>Pantanal</t>
  </si>
  <si>
    <t>Ji-Paraná</t>
  </si>
  <si>
    <t>Ivinhema</t>
  </si>
  <si>
    <t>Independente-AP</t>
  </si>
  <si>
    <t>Baré-RR</t>
  </si>
  <si>
    <t>Madureira</t>
  </si>
  <si>
    <t>Gama</t>
  </si>
  <si>
    <t>Monte Roraima</t>
  </si>
  <si>
    <t>Galvez</t>
  </si>
  <si>
    <t>Guaporé</t>
  </si>
  <si>
    <t>Vasco-AC</t>
  </si>
  <si>
    <t>Primavera-SP</t>
  </si>
  <si>
    <t>Araguaína</t>
  </si>
  <si>
    <t>Velo Clube</t>
  </si>
  <si>
    <t>Sampaio Corrêa-RJ</t>
  </si>
  <si>
    <t>Desportiva Ferroviária</t>
  </si>
  <si>
    <t>Piauí</t>
  </si>
  <si>
    <t>Betim</t>
  </si>
  <si>
    <t>Tirol</t>
  </si>
  <si>
    <t>América-SE</t>
  </si>
  <si>
    <t>Santa Catarina</t>
  </si>
  <si>
    <t>IAPE</t>
  </si>
  <si>
    <t>Porto-BA</t>
  </si>
  <si>
    <t>Serra Branca</t>
  </si>
  <si>
    <t>Laguna</t>
  </si>
  <si>
    <t>Maguary</t>
  </si>
  <si>
    <t>Primavera-MT</t>
  </si>
  <si>
    <t>Bragantino-PA</t>
  </si>
  <si>
    <t>4x0</t>
  </si>
  <si>
    <t>Léo Itaperuna (3x)</t>
  </si>
  <si>
    <t>Jonatan Silva</t>
  </si>
  <si>
    <t>2x1</t>
  </si>
  <si>
    <t>Lukas</t>
  </si>
  <si>
    <t>Gean Carlo</t>
  </si>
  <si>
    <t>Lucas Rondineles</t>
  </si>
  <si>
    <t>Elcinho</t>
  </si>
  <si>
    <t>Geovane Maranhão</t>
  </si>
  <si>
    <t>1x2</t>
  </si>
  <si>
    <t>Moisés Ribeiro</t>
  </si>
  <si>
    <t>Boca</t>
  </si>
  <si>
    <t>Eydison</t>
  </si>
  <si>
    <t>2x0</t>
  </si>
  <si>
    <t>Dudu Vieira</t>
  </si>
  <si>
    <t>Patrick Gama</t>
  </si>
  <si>
    <t>Índio</t>
  </si>
  <si>
    <t>João Gabriel</t>
  </si>
  <si>
    <t>1x1 (5x3)</t>
  </si>
  <si>
    <t>Gabriel Viana</t>
  </si>
  <si>
    <t>Gabriel Mancha</t>
  </si>
  <si>
    <t>Alexander Lecaros</t>
  </si>
  <si>
    <t>Janelson</t>
  </si>
  <si>
    <t>1x1 (4x5)</t>
  </si>
  <si>
    <t>Abner</t>
  </si>
  <si>
    <t>Henrique Rodrigues</t>
  </si>
  <si>
    <t>Pio</t>
  </si>
  <si>
    <t>Paulinho</t>
  </si>
  <si>
    <t>Danilo Itaporanga</t>
  </si>
  <si>
    <t>1x1 (5x6)</t>
  </si>
  <si>
    <t>Kerllon</t>
  </si>
  <si>
    <t>Renan Henrique</t>
  </si>
  <si>
    <t>1x1 (6x7)</t>
  </si>
  <si>
    <t>Alison Araçoiaba</t>
  </si>
  <si>
    <t>Sousa Tibiri</t>
  </si>
  <si>
    <t>1x0</t>
  </si>
  <si>
    <t>Kaiky</t>
  </si>
  <si>
    <t>Tomi Montefiore</t>
  </si>
  <si>
    <t>ABC</t>
  </si>
  <si>
    <t>Castanhal</t>
  </si>
  <si>
    <t>Retrô</t>
  </si>
  <si>
    <t>Uberlândia</t>
  </si>
  <si>
    <t>Nacional-AM</t>
  </si>
  <si>
    <t>CSA</t>
  </si>
  <si>
    <t>Joinville</t>
  </si>
  <si>
    <t>Imperatriz</t>
  </si>
  <si>
    <t>Tombense</t>
  </si>
  <si>
    <t>Porto Vitória</t>
  </si>
  <si>
    <t>Penedense</t>
  </si>
  <si>
    <t>Oratório</t>
  </si>
  <si>
    <t>GAS</t>
  </si>
  <si>
    <t>Manaus</t>
  </si>
  <si>
    <t>Capital-TO</t>
  </si>
  <si>
    <t>Guarany de Bagé</t>
  </si>
  <si>
    <t>Portuguesa-SP</t>
  </si>
  <si>
    <t>Atlético-BA</t>
  </si>
  <si>
    <t>Nova Iguaçu</t>
  </si>
  <si>
    <t>Boavista</t>
  </si>
  <si>
    <t>Lagarto</t>
  </si>
  <si>
    <t>América-RN</t>
  </si>
  <si>
    <t>Altos</t>
  </si>
  <si>
    <t>Mixto</t>
  </si>
  <si>
    <t>Azuriz</t>
  </si>
  <si>
    <t>Independência</t>
  </si>
  <si>
    <t>Águia de Marabá</t>
  </si>
  <si>
    <t>Rio Branco-ES</t>
  </si>
  <si>
    <t>Trem</t>
  </si>
  <si>
    <t>CEOV Operário</t>
  </si>
  <si>
    <t>Manauara</t>
  </si>
  <si>
    <t>Juazeirense</t>
  </si>
  <si>
    <t>ASA</t>
  </si>
  <si>
    <t>Operário-MS</t>
  </si>
  <si>
    <t>Jacuipense</t>
  </si>
  <si>
    <t>Cianorte</t>
  </si>
  <si>
    <t>Tuna Luso</t>
  </si>
  <si>
    <t>Sousa</t>
  </si>
  <si>
    <t>Ceilândia</t>
  </si>
  <si>
    <t>Maracanã</t>
  </si>
  <si>
    <t>Fluminense-PI</t>
  </si>
  <si>
    <t>Porto Velho</t>
  </si>
  <si>
    <t>Tocantinópolis</t>
  </si>
  <si>
    <t>Capital-DF</t>
  </si>
  <si>
    <t>São Luiz</t>
  </si>
  <si>
    <t>Portuguesa-RJ</t>
  </si>
  <si>
    <t>Rodrigo Rodrigues</t>
  </si>
  <si>
    <t>Thiaguinho</t>
  </si>
  <si>
    <t>Marcelo Toscano</t>
  </si>
  <si>
    <t>Diego Ceará</t>
  </si>
  <si>
    <t>Elieser</t>
  </si>
  <si>
    <t>Lucero</t>
  </si>
  <si>
    <t>Gabriel Vinícius</t>
  </si>
  <si>
    <t>Willian Dubgod</t>
  </si>
  <si>
    <t>Luis Octávio</t>
  </si>
  <si>
    <t>Vitor</t>
  </si>
  <si>
    <t>André Luís</t>
  </si>
  <si>
    <t>Pablo (2x)</t>
  </si>
  <si>
    <t>1x1 (3x1)</t>
  </si>
  <si>
    <t>Calebe</t>
  </si>
  <si>
    <t>0x1</t>
  </si>
  <si>
    <t>Siloé</t>
  </si>
  <si>
    <t>1x1 (5x4)</t>
  </si>
  <si>
    <t>Tchê Tchê</t>
  </si>
  <si>
    <t>0x0 (2x4)</t>
  </si>
  <si>
    <t>1x1 (3x5)</t>
  </si>
  <si>
    <t>Kennedy</t>
  </si>
  <si>
    <t>3x0</t>
  </si>
  <si>
    <t>Erick Varão</t>
  </si>
  <si>
    <t>1x1 (2x3)</t>
  </si>
  <si>
    <t>Pablo Dyego</t>
  </si>
  <si>
    <t>Adriano</t>
  </si>
  <si>
    <t>Jonas</t>
  </si>
  <si>
    <t>Wanderson Dias</t>
  </si>
  <si>
    <t>Wanderson Dias (2x)</t>
  </si>
  <si>
    <t>Rafinha Potiguar</t>
  </si>
  <si>
    <t>Lucas Silva</t>
  </si>
  <si>
    <t>2x2 (7x6)</t>
  </si>
  <si>
    <t>Bruninho</t>
  </si>
  <si>
    <t>Éderson</t>
  </si>
  <si>
    <t>Souza</t>
  </si>
  <si>
    <t>Iarley</t>
  </si>
  <si>
    <t>Alan Pedro</t>
  </si>
  <si>
    <t>Matheus Alemão</t>
  </si>
  <si>
    <t>Yugo Masukake</t>
  </si>
  <si>
    <t>Guilherme Pira</t>
  </si>
  <si>
    <t>Erick Bahia</t>
  </si>
  <si>
    <t>0x0 (5x6)</t>
  </si>
  <si>
    <t>Neto</t>
  </si>
  <si>
    <t>Foguete</t>
  </si>
  <si>
    <t>Pardal</t>
  </si>
  <si>
    <t>Rafael Ibiapino</t>
  </si>
  <si>
    <t>Keliton</t>
  </si>
  <si>
    <t>Gustavo Ramos</t>
  </si>
  <si>
    <t>Léo Fenga</t>
  </si>
  <si>
    <t>0x0 (4x3)</t>
  </si>
  <si>
    <t>2x3</t>
  </si>
  <si>
    <t>Ariel Nahuelpán</t>
  </si>
  <si>
    <t>Reny Max</t>
  </si>
  <si>
    <t>Marcos Wilder</t>
  </si>
  <si>
    <t>3x1</t>
  </si>
  <si>
    <t>3a fase</t>
  </si>
  <si>
    <t>Crystopher (GC)</t>
  </si>
  <si>
    <t>Adam Bareiro</t>
  </si>
  <si>
    <t>Giovani</t>
  </si>
  <si>
    <t>Dellatorre</t>
  </si>
  <si>
    <t>Rafa Silva</t>
  </si>
  <si>
    <t>0x0 (1x4)</t>
  </si>
  <si>
    <t>Paulo Rangel</t>
  </si>
  <si>
    <t>Andrezinho</t>
  </si>
  <si>
    <t>Max Miller</t>
  </si>
  <si>
    <t>Tchê Tchê (2x)</t>
  </si>
  <si>
    <t>Ítalo Carvalho</t>
  </si>
  <si>
    <t>Rodrigo</t>
  </si>
  <si>
    <t>Vitinho</t>
  </si>
  <si>
    <t>Joãozinho</t>
  </si>
  <si>
    <t>Diego Torres</t>
  </si>
  <si>
    <t>Pedro Oliveira</t>
  </si>
  <si>
    <t>Rafhael Lucas</t>
  </si>
  <si>
    <t>Felipinho</t>
  </si>
  <si>
    <t>0x0 (4x5)</t>
  </si>
  <si>
    <t>Balão Marabá</t>
  </si>
  <si>
    <t>Gabriel Marreta</t>
  </si>
  <si>
    <t>Adenilson</t>
  </si>
  <si>
    <t>Raylson Miranda</t>
  </si>
  <si>
    <t>Lucas Dias</t>
  </si>
  <si>
    <t>Marlyson</t>
  </si>
  <si>
    <t>Matheus Cadorini</t>
  </si>
  <si>
    <t>0x0 (9x10)</t>
  </si>
  <si>
    <t>Neto Costa</t>
  </si>
  <si>
    <t>Kukri</t>
  </si>
  <si>
    <t>0x0 (3x5)</t>
  </si>
  <si>
    <t>Will</t>
  </si>
  <si>
    <t>Jorge</t>
  </si>
  <si>
    <t>Danrley</t>
  </si>
  <si>
    <t>Danilo Peu (2x)</t>
  </si>
  <si>
    <t>1x1 (11x10)</t>
  </si>
  <si>
    <t>Yan Philippe</t>
  </si>
  <si>
    <t>2x2 (4x5)</t>
  </si>
  <si>
    <t>Xandy (2x)</t>
  </si>
  <si>
    <t>Romarinho</t>
  </si>
  <si>
    <t>Wisman</t>
  </si>
  <si>
    <t>Lucas Bala</t>
  </si>
  <si>
    <t>Adrian</t>
  </si>
  <si>
    <t>Henrique Silva</t>
  </si>
  <si>
    <t>Bruno Mota</t>
  </si>
  <si>
    <t>Henrique Freitas</t>
  </si>
  <si>
    <t>Marinho (2x)</t>
  </si>
  <si>
    <t>Geovane</t>
  </si>
  <si>
    <t>Marcos Paulo</t>
  </si>
  <si>
    <t>Igor Torres</t>
  </si>
  <si>
    <t>Weverton</t>
  </si>
  <si>
    <t>Adriano Michael Jackson</t>
  </si>
  <si>
    <t>Flavinho</t>
  </si>
  <si>
    <t>Guilherme Parede</t>
  </si>
  <si>
    <t>Lucas Sales</t>
  </si>
  <si>
    <t>Keké</t>
  </si>
  <si>
    <t>Elvis</t>
  </si>
  <si>
    <t>André Lima</t>
  </si>
  <si>
    <t>Alessio da Cruz</t>
  </si>
  <si>
    <t>1x1 (2x4)</t>
  </si>
  <si>
    <t>Danilo Peu</t>
  </si>
  <si>
    <t>5x2</t>
  </si>
  <si>
    <t>Naylhor</t>
  </si>
  <si>
    <t>Soares</t>
  </si>
  <si>
    <t>Éderson (2x)</t>
  </si>
  <si>
    <t>Jean Felipe</t>
  </si>
  <si>
    <t>Anderson Ligeiro</t>
  </si>
  <si>
    <t>Jajá</t>
  </si>
  <si>
    <t>Veraldo</t>
  </si>
  <si>
    <t>Matheus Bambu</t>
  </si>
  <si>
    <t>Geninho</t>
  </si>
  <si>
    <t>Luis Mandaca</t>
  </si>
  <si>
    <t>Gabriel Taliari (2x)</t>
  </si>
  <si>
    <t>Vitinho (GC)</t>
  </si>
  <si>
    <t>Henrique Dourado</t>
  </si>
  <si>
    <t>Daniego</t>
  </si>
  <si>
    <t>Rossi (2x)</t>
  </si>
  <si>
    <t>Marlon</t>
  </si>
  <si>
    <t>4a fase</t>
  </si>
  <si>
    <t>Gabriel Corrêa</t>
  </si>
  <si>
    <t>Marinho</t>
  </si>
  <si>
    <t>Rafael Ibiapino (2x)</t>
  </si>
  <si>
    <t>0x0 (0x3)</t>
  </si>
  <si>
    <t>João Victor</t>
  </si>
  <si>
    <t>Jonatan Silva (2x)</t>
  </si>
  <si>
    <t>Rickson</t>
  </si>
  <si>
    <t>Yalle</t>
  </si>
  <si>
    <t>Éverton Brito</t>
  </si>
  <si>
    <t>Natalício</t>
  </si>
  <si>
    <t>Pedro Campanholi</t>
  </si>
  <si>
    <t>Digão</t>
  </si>
  <si>
    <t>Giovane Gomez (2x)</t>
  </si>
  <si>
    <t>Jádson</t>
  </si>
  <si>
    <t>Danúbio</t>
  </si>
  <si>
    <t>0x0 (3x4)</t>
  </si>
  <si>
    <t>5a fase</t>
  </si>
  <si>
    <t>Jhon Jhon</t>
  </si>
  <si>
    <t>Eduardo Sasha</t>
  </si>
  <si>
    <t>Nathan Mendes</t>
  </si>
  <si>
    <t>Magno Ribeiro</t>
  </si>
  <si>
    <t>0x0</t>
  </si>
  <si>
    <t>1x1</t>
  </si>
  <si>
    <t>Thiago Maia</t>
  </si>
  <si>
    <t>Ytalo (2x)</t>
  </si>
  <si>
    <t>Vitão</t>
  </si>
  <si>
    <t>Robinho Jr.</t>
  </si>
  <si>
    <t>Rollheiser</t>
  </si>
  <si>
    <t>Caio Vinícius</t>
  </si>
  <si>
    <t>Víctor Cantillo</t>
  </si>
  <si>
    <t>Renato Marques</t>
  </si>
  <si>
    <t>Carlos Vinícius</t>
  </si>
  <si>
    <t>1x1 (4x2)</t>
  </si>
  <si>
    <t>Erick Noriega</t>
  </si>
  <si>
    <t>Neto Moura</t>
  </si>
  <si>
    <t>Luiz Fernando</t>
  </si>
  <si>
    <t>Stiven Mendoza</t>
  </si>
  <si>
    <t>Matheus Cadorini (2x)</t>
  </si>
  <si>
    <t>Maceió</t>
  </si>
  <si>
    <t>João Vitor</t>
  </si>
  <si>
    <t>Arthur Cabral</t>
  </si>
  <si>
    <t>Matheus Martins</t>
  </si>
  <si>
    <t>Ray Silva</t>
  </si>
  <si>
    <t>Memphis (2x)</t>
  </si>
  <si>
    <t>Agustín Canobbio</t>
  </si>
  <si>
    <t>Lucho Acosta (2x)</t>
  </si>
  <si>
    <t>Kevin Serna (2x)</t>
  </si>
  <si>
    <t>Lucas Moura</t>
  </si>
  <si>
    <t>Luciano (2x)</t>
  </si>
  <si>
    <t>Ailton Jr.</t>
  </si>
  <si>
    <t>Marcos Antônio</t>
  </si>
  <si>
    <t>Pablo Maia</t>
  </si>
  <si>
    <t>Vitor Roque</t>
  </si>
  <si>
    <t>Caio Mello</t>
  </si>
  <si>
    <t>Joaquín Piquerez</t>
  </si>
  <si>
    <t>Maurício (GC)</t>
  </si>
  <si>
    <t>2x1 (5x3)</t>
  </si>
  <si>
    <t>Neto Pessoa</t>
  </si>
  <si>
    <t>Willian José</t>
  </si>
  <si>
    <t>Willian José (2x)</t>
  </si>
  <si>
    <t>Giovane Gomez</t>
  </si>
  <si>
    <t>Cristovam (GC)</t>
  </si>
  <si>
    <t>Keny Arroyo</t>
  </si>
  <si>
    <t>Gabriel Dias</t>
  </si>
  <si>
    <t>Erik</t>
  </si>
  <si>
    <t>Matheus Pereira</t>
  </si>
  <si>
    <t>Oitavas de final</t>
  </si>
  <si>
    <t>Maranhão 10'</t>
  </si>
  <si>
    <t>João Victor 7', 64'</t>
  </si>
  <si>
    <t>Diego Torres 90'</t>
  </si>
  <si>
    <t>3x2</t>
  </si>
  <si>
    <t>Luciano 36'</t>
  </si>
  <si>
    <t>Lucas Moura 25', 39'</t>
  </si>
  <si>
    <t>Tiquinho Soares 83'</t>
  </si>
  <si>
    <t>João Schmidt 94'</t>
  </si>
  <si>
    <t>Lucas Moura 1'</t>
  </si>
  <si>
    <t>Lucas Hipólito 24'</t>
  </si>
  <si>
    <t>Matheus Cadorini 89'</t>
  </si>
  <si>
    <t>Rossi 55'</t>
  </si>
  <si>
    <t>Caio Mello 99'</t>
  </si>
  <si>
    <t>Juliano 40'</t>
  </si>
  <si>
    <t>Eduardo Sasha 26', 60'</t>
  </si>
  <si>
    <t>Pedro 33'</t>
  </si>
  <si>
    <t>Samuel Lino 37'</t>
  </si>
  <si>
    <t>0x5</t>
  </si>
  <si>
    <t>Éderson 45+2'</t>
  </si>
  <si>
    <t>Aderlan 65'</t>
  </si>
  <si>
    <t>Soares 19', 89'</t>
  </si>
  <si>
    <t>Erik 91'</t>
  </si>
  <si>
    <t>Ademir 33'</t>
  </si>
  <si>
    <t>Erik 79'</t>
  </si>
  <si>
    <t>Éderson 88'</t>
  </si>
  <si>
    <t>Kevin Viveros 8'</t>
  </si>
  <si>
    <t>Luiz Fernando 74'</t>
  </si>
  <si>
    <t>Kevin Viveros 23'</t>
  </si>
  <si>
    <t>Quartas de final</t>
  </si>
  <si>
    <t>Roger Modesto 23', 87'</t>
  </si>
  <si>
    <t>Juninho Capixaba 53'</t>
  </si>
  <si>
    <t>Luiz Fernando 70'</t>
  </si>
  <si>
    <t>5x1</t>
  </si>
  <si>
    <t>Eduardo Sasha 3'</t>
  </si>
  <si>
    <t>Kevin Viveros 26'</t>
  </si>
  <si>
    <t>Giuliano 55'</t>
  </si>
  <si>
    <t>Habraão 67'</t>
  </si>
  <si>
    <t>Luiz Fernando 56', 76'</t>
  </si>
  <si>
    <t>Soares 25'</t>
  </si>
  <si>
    <t>Renê 88'</t>
  </si>
  <si>
    <t>Maceió 31', 102'</t>
  </si>
  <si>
    <t>Denis 24'</t>
  </si>
  <si>
    <t>Maranhão 18'</t>
  </si>
  <si>
    <t>2x2</t>
  </si>
  <si>
    <t>Ryuta Takahashi 15', 49'</t>
  </si>
  <si>
    <t>Bruno Henrique 40'</t>
  </si>
  <si>
    <t>Pedro 87'</t>
  </si>
  <si>
    <t>Semifinal</t>
  </si>
  <si>
    <t>Rossi 58'</t>
  </si>
  <si>
    <t>4x1</t>
  </si>
  <si>
    <t>Luiz Fernando 28'</t>
  </si>
  <si>
    <t>Patrick 54'</t>
  </si>
  <si>
    <t>Kevin Viveros 69', 71'</t>
  </si>
  <si>
    <t>Castro 40'</t>
  </si>
  <si>
    <t>Renê 99'</t>
  </si>
  <si>
    <t>Maranhão 32'</t>
  </si>
  <si>
    <t>Emerson Barbosa 45'</t>
  </si>
  <si>
    <t>Maranhão 23'</t>
  </si>
  <si>
    <t>Willian Farias 45+4'</t>
  </si>
  <si>
    <t>Humaitá</t>
  </si>
  <si>
    <t>São Raimundo-RR</t>
  </si>
  <si>
    <t>Grupo C</t>
  </si>
  <si>
    <t>Sampaio Corrêa-MA</t>
  </si>
  <si>
    <t>Moto Club</t>
  </si>
  <si>
    <t>Grupo D</t>
  </si>
  <si>
    <t>Parnahyba</t>
  </si>
  <si>
    <t>Iguatu</t>
  </si>
  <si>
    <t>Grupo E</t>
  </si>
  <si>
    <t>Ferroviário</t>
  </si>
  <si>
    <t>Atlético-CE</t>
  </si>
  <si>
    <t>Grupo F</t>
  </si>
  <si>
    <t>Grupo G</t>
  </si>
  <si>
    <t>Treze</t>
  </si>
  <si>
    <t>Decisão</t>
  </si>
  <si>
    <t>Central</t>
  </si>
  <si>
    <t>CSE</t>
  </si>
  <si>
    <t>Sergipe</t>
  </si>
  <si>
    <t>Grupo H</t>
  </si>
  <si>
    <t>Democrata GV</t>
  </si>
  <si>
    <t>Real Noroeste</t>
  </si>
  <si>
    <t>Grupo I</t>
  </si>
  <si>
    <t>Luverdense</t>
  </si>
  <si>
    <t>Grupo J</t>
  </si>
  <si>
    <t>Grupo K</t>
  </si>
  <si>
    <t>União Rondonópolis</t>
  </si>
  <si>
    <t>Goiatuba</t>
  </si>
  <si>
    <t>CRAC</t>
  </si>
  <si>
    <t>Brasiliense</t>
  </si>
  <si>
    <t>Inhumas</t>
  </si>
  <si>
    <t>Aparecidense</t>
  </si>
  <si>
    <t>Grupo L</t>
  </si>
  <si>
    <t>Ouvidorense</t>
  </si>
  <si>
    <t>Noroeste</t>
  </si>
  <si>
    <t>XV de Piracicaba</t>
  </si>
  <si>
    <t>Grupo M</t>
  </si>
  <si>
    <t>Grupo N</t>
  </si>
  <si>
    <t>Vitória-ES</t>
  </si>
  <si>
    <t>Maricá</t>
  </si>
  <si>
    <t>América-RJ</t>
  </si>
  <si>
    <t>Água Santa</t>
  </si>
  <si>
    <t>Grupo O</t>
  </si>
  <si>
    <t>Cascavel</t>
  </si>
  <si>
    <t>São Joseense</t>
  </si>
  <si>
    <t>Marcílio Dias</t>
  </si>
  <si>
    <t>Blumenau</t>
  </si>
  <si>
    <t>Grupo P</t>
  </si>
  <si>
    <t>Pouso Alegre</t>
  </si>
  <si>
    <t>São José-RS</t>
  </si>
  <si>
    <t>Brasil de Pelotas</t>
  </si>
  <si>
    <t>2x1 (4x5)</t>
  </si>
  <si>
    <t>1x2 (4x5)</t>
  </si>
  <si>
    <t>4x2 (0x3)</t>
  </si>
  <si>
    <t>4x2</t>
  </si>
  <si>
    <t>3x3</t>
  </si>
  <si>
    <t>1x1 (3x2)</t>
  </si>
  <si>
    <t>3x2 (4x5)</t>
  </si>
  <si>
    <t>1x1 (3x4)</t>
  </si>
  <si>
    <t>0x0 (5x3)</t>
  </si>
  <si>
    <t>1x2 (5x6)</t>
  </si>
  <si>
    <t>1x0 (4x2)</t>
  </si>
  <si>
    <t>3x1 (5x4)</t>
  </si>
  <si>
    <t>1x3</t>
  </si>
  <si>
    <t>0x2 (3x4)</t>
  </si>
  <si>
    <t>Playoff</t>
  </si>
  <si>
    <t>1x0 (6x5)</t>
  </si>
  <si>
    <t>Tabela geral</t>
  </si>
  <si>
    <t>21.</t>
  </si>
  <si>
    <t>22.</t>
  </si>
  <si>
    <t>Copa Sul-Sudeste</t>
  </si>
  <si>
    <t>C</t>
  </si>
  <si>
    <t>F</t>
  </si>
  <si>
    <t>Copa do Nordeste</t>
  </si>
  <si>
    <t>0x4</t>
  </si>
  <si>
    <t>1x0 (4x5)</t>
  </si>
  <si>
    <t>Copa Verde</t>
  </si>
  <si>
    <t>Norte</t>
  </si>
  <si>
    <t>2x2 (7x8)</t>
  </si>
  <si>
    <t>Centro-Oeste</t>
  </si>
  <si>
    <t>Final geral</t>
  </si>
  <si>
    <t>Campeões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</si>
</sst>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" fillId="0" borderId="0" xfId="0" applyFont="1"/>
    <xf numFmtId="0" fontId="4" fillId="4" borderId="0" xfId="0" applyFont="1" applyFill="1"/>
    <xf numFmtId="0" fontId="3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6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96E7-C34A-425C-B341-ED41A2C25AFC}">
  <dimension ref="A1:G7"/>
  <sheetViews>
    <sheetView workbookViewId="0">
      <selection activeCell="G3" sqref="G3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</v>
      </c>
      <c r="F1" t="s">
        <v>15</v>
      </c>
    </row>
    <row r="2" spans="1:7" x14ac:dyDescent="0.3">
      <c r="A2" t="s">
        <v>3</v>
      </c>
      <c r="C2" t="s">
        <v>4</v>
      </c>
      <c r="F2" t="s">
        <v>0</v>
      </c>
      <c r="G2">
        <v>4</v>
      </c>
    </row>
    <row r="3" spans="1:7" x14ac:dyDescent="0.3">
      <c r="A3" s="1" t="s">
        <v>5</v>
      </c>
      <c r="C3" s="1" t="s">
        <v>10</v>
      </c>
    </row>
    <row r="4" spans="1:7" x14ac:dyDescent="0.3">
      <c r="A4" s="1" t="s">
        <v>6</v>
      </c>
      <c r="C4" s="1" t="s">
        <v>11</v>
      </c>
    </row>
    <row r="5" spans="1:7" x14ac:dyDescent="0.3">
      <c r="A5" s="1" t="s">
        <v>7</v>
      </c>
      <c r="C5" s="2" t="s">
        <v>12</v>
      </c>
    </row>
    <row r="6" spans="1:7" x14ac:dyDescent="0.3">
      <c r="A6" s="2" t="s">
        <v>8</v>
      </c>
      <c r="C6" s="1" t="s">
        <v>13</v>
      </c>
    </row>
    <row r="7" spans="1:7" x14ac:dyDescent="0.3">
      <c r="A7" s="1" t="s">
        <v>9</v>
      </c>
      <c r="C7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D61C-9439-455C-8740-404761B11823}">
  <dimension ref="A1:M21"/>
  <sheetViews>
    <sheetView workbookViewId="0">
      <selection activeCell="B9" sqref="B9"/>
    </sheetView>
  </sheetViews>
  <sheetFormatPr defaultRowHeight="14.4" x14ac:dyDescent="0.3"/>
  <sheetData>
    <row r="1" spans="1:13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L1" t="s">
        <v>15</v>
      </c>
    </row>
    <row r="2" spans="1:13" x14ac:dyDescent="0.3">
      <c r="A2" s="5" t="s">
        <v>26</v>
      </c>
      <c r="B2" t="s">
        <v>47</v>
      </c>
      <c r="C2" s="4">
        <v>64</v>
      </c>
      <c r="D2">
        <v>38</v>
      </c>
      <c r="E2">
        <v>19</v>
      </c>
      <c r="F2">
        <v>7</v>
      </c>
      <c r="G2">
        <f>D2-E2-F2</f>
        <v>12</v>
      </c>
      <c r="H2">
        <v>60</v>
      </c>
      <c r="I2">
        <v>45</v>
      </c>
      <c r="J2">
        <f>H2-I2</f>
        <v>15</v>
      </c>
      <c r="L2" t="s">
        <v>47</v>
      </c>
      <c r="M2">
        <v>3</v>
      </c>
    </row>
    <row r="3" spans="1:13" x14ac:dyDescent="0.3">
      <c r="A3" s="5" t="s">
        <v>27</v>
      </c>
      <c r="B3" t="s">
        <v>1</v>
      </c>
      <c r="C3" s="4">
        <v>63</v>
      </c>
      <c r="D3">
        <v>38</v>
      </c>
      <c r="E3">
        <v>19</v>
      </c>
      <c r="F3">
        <v>6</v>
      </c>
      <c r="G3">
        <f t="shared" ref="G3:G21" si="0">D3-E3-F3</f>
        <v>13</v>
      </c>
      <c r="H3">
        <v>63</v>
      </c>
      <c r="I3">
        <v>47</v>
      </c>
      <c r="J3">
        <f t="shared" ref="J3:J21" si="1">H3-I3</f>
        <v>16</v>
      </c>
    </row>
    <row r="4" spans="1:13" x14ac:dyDescent="0.3">
      <c r="A4" s="5" t="s">
        <v>28</v>
      </c>
      <c r="B4" t="s">
        <v>48</v>
      </c>
      <c r="C4" s="4">
        <v>61</v>
      </c>
      <c r="D4">
        <v>38</v>
      </c>
      <c r="E4">
        <v>20</v>
      </c>
      <c r="F4">
        <v>1</v>
      </c>
      <c r="G4">
        <f t="shared" si="0"/>
        <v>17</v>
      </c>
      <c r="H4">
        <v>62</v>
      </c>
      <c r="I4">
        <v>61</v>
      </c>
      <c r="J4">
        <f t="shared" si="1"/>
        <v>1</v>
      </c>
    </row>
    <row r="5" spans="1:13" x14ac:dyDescent="0.3">
      <c r="A5" s="5" t="s">
        <v>29</v>
      </c>
      <c r="B5" t="s">
        <v>49</v>
      </c>
      <c r="C5" s="4">
        <v>60</v>
      </c>
      <c r="D5">
        <v>38</v>
      </c>
      <c r="E5">
        <v>17</v>
      </c>
      <c r="F5">
        <v>9</v>
      </c>
      <c r="G5">
        <f t="shared" si="0"/>
        <v>12</v>
      </c>
      <c r="H5">
        <v>60</v>
      </c>
      <c r="I5">
        <v>50</v>
      </c>
      <c r="J5">
        <f t="shared" si="1"/>
        <v>10</v>
      </c>
    </row>
    <row r="6" spans="1:13" x14ac:dyDescent="0.3">
      <c r="A6" s="6" t="s">
        <v>31</v>
      </c>
      <c r="B6" t="s">
        <v>50</v>
      </c>
      <c r="C6" s="4">
        <v>60</v>
      </c>
      <c r="D6">
        <v>38</v>
      </c>
      <c r="E6">
        <v>17</v>
      </c>
      <c r="F6">
        <v>9</v>
      </c>
      <c r="G6">
        <f t="shared" si="0"/>
        <v>12</v>
      </c>
      <c r="H6">
        <v>61</v>
      </c>
      <c r="I6">
        <v>53</v>
      </c>
      <c r="J6">
        <f t="shared" si="1"/>
        <v>8</v>
      </c>
    </row>
    <row r="7" spans="1:13" x14ac:dyDescent="0.3">
      <c r="A7" s="7" t="s">
        <v>32</v>
      </c>
      <c r="B7" t="s">
        <v>51</v>
      </c>
      <c r="C7" s="4">
        <v>59</v>
      </c>
      <c r="D7">
        <v>38</v>
      </c>
      <c r="E7">
        <v>18</v>
      </c>
      <c r="F7">
        <v>5</v>
      </c>
      <c r="G7">
        <f t="shared" si="0"/>
        <v>15</v>
      </c>
      <c r="H7">
        <v>63</v>
      </c>
      <c r="I7">
        <v>55</v>
      </c>
      <c r="J7">
        <f t="shared" si="1"/>
        <v>8</v>
      </c>
    </row>
    <row r="8" spans="1:13" x14ac:dyDescent="0.3">
      <c r="A8" s="7" t="s">
        <v>33</v>
      </c>
      <c r="B8" t="s">
        <v>52</v>
      </c>
      <c r="C8" s="4">
        <v>58</v>
      </c>
      <c r="D8">
        <v>38</v>
      </c>
      <c r="E8">
        <v>16</v>
      </c>
      <c r="F8">
        <v>10</v>
      </c>
      <c r="G8">
        <f t="shared" si="0"/>
        <v>12</v>
      </c>
      <c r="H8">
        <v>59</v>
      </c>
      <c r="I8">
        <v>52</v>
      </c>
      <c r="J8">
        <f t="shared" si="1"/>
        <v>7</v>
      </c>
    </row>
    <row r="9" spans="1:13" x14ac:dyDescent="0.3">
      <c r="A9" s="7" t="s">
        <v>34</v>
      </c>
      <c r="B9" t="s">
        <v>53</v>
      </c>
      <c r="C9" s="4">
        <v>56</v>
      </c>
      <c r="D9">
        <v>38</v>
      </c>
      <c r="E9">
        <v>16</v>
      </c>
      <c r="F9">
        <v>8</v>
      </c>
      <c r="G9">
        <f t="shared" si="0"/>
        <v>14</v>
      </c>
      <c r="H9">
        <v>55</v>
      </c>
      <c r="I9">
        <v>50</v>
      </c>
      <c r="J9">
        <f t="shared" si="1"/>
        <v>5</v>
      </c>
    </row>
    <row r="10" spans="1:13" x14ac:dyDescent="0.3">
      <c r="A10" s="5" t="s">
        <v>35</v>
      </c>
      <c r="B10" t="s">
        <v>54</v>
      </c>
      <c r="C10" s="4">
        <v>55</v>
      </c>
      <c r="D10">
        <v>38</v>
      </c>
      <c r="E10">
        <v>15</v>
      </c>
      <c r="F10">
        <v>10</v>
      </c>
      <c r="G10">
        <f t="shared" si="0"/>
        <v>13</v>
      </c>
      <c r="H10">
        <v>57</v>
      </c>
      <c r="I10">
        <v>50</v>
      </c>
      <c r="J10">
        <f t="shared" si="1"/>
        <v>7</v>
      </c>
    </row>
    <row r="11" spans="1:13" x14ac:dyDescent="0.3">
      <c r="A11" s="7" t="s">
        <v>36</v>
      </c>
      <c r="B11" t="s">
        <v>55</v>
      </c>
      <c r="C11" s="4">
        <v>54</v>
      </c>
      <c r="D11">
        <v>38</v>
      </c>
      <c r="E11">
        <v>16</v>
      </c>
      <c r="F11">
        <v>6</v>
      </c>
      <c r="G11">
        <f t="shared" si="0"/>
        <v>16</v>
      </c>
      <c r="H11">
        <v>58</v>
      </c>
      <c r="I11">
        <v>60</v>
      </c>
      <c r="J11">
        <f t="shared" si="1"/>
        <v>-2</v>
      </c>
    </row>
    <row r="12" spans="1:13" x14ac:dyDescent="0.3">
      <c r="A12" s="7" t="s">
        <v>37</v>
      </c>
      <c r="B12" t="s">
        <v>56</v>
      </c>
      <c r="C12" s="4">
        <v>54</v>
      </c>
      <c r="D12">
        <v>38</v>
      </c>
      <c r="E12">
        <v>14</v>
      </c>
      <c r="F12">
        <v>12</v>
      </c>
      <c r="G12">
        <f t="shared" si="0"/>
        <v>12</v>
      </c>
      <c r="H12">
        <v>60</v>
      </c>
      <c r="I12">
        <v>57</v>
      </c>
      <c r="J12">
        <f t="shared" si="1"/>
        <v>3</v>
      </c>
    </row>
    <row r="13" spans="1:13" x14ac:dyDescent="0.3">
      <c r="A13" s="7" t="s">
        <v>38</v>
      </c>
      <c r="B13" t="s">
        <v>0</v>
      </c>
      <c r="C13" s="4">
        <v>51</v>
      </c>
      <c r="D13">
        <v>38</v>
      </c>
      <c r="E13">
        <v>15</v>
      </c>
      <c r="F13">
        <v>6</v>
      </c>
      <c r="G13">
        <f t="shared" si="0"/>
        <v>17</v>
      </c>
      <c r="H13">
        <v>60</v>
      </c>
      <c r="I13">
        <v>60</v>
      </c>
      <c r="J13">
        <f t="shared" si="1"/>
        <v>0</v>
      </c>
    </row>
    <row r="14" spans="1:13" x14ac:dyDescent="0.3">
      <c r="A14" s="8" t="s">
        <v>39</v>
      </c>
      <c r="B14" t="s">
        <v>57</v>
      </c>
      <c r="C14" s="4">
        <v>50</v>
      </c>
      <c r="D14">
        <v>38</v>
      </c>
      <c r="E14">
        <v>14</v>
      </c>
      <c r="F14">
        <v>8</v>
      </c>
      <c r="G14">
        <f t="shared" si="0"/>
        <v>16</v>
      </c>
      <c r="H14">
        <v>59</v>
      </c>
      <c r="I14">
        <v>66</v>
      </c>
      <c r="J14">
        <f t="shared" si="1"/>
        <v>-7</v>
      </c>
    </row>
    <row r="15" spans="1:13" x14ac:dyDescent="0.3">
      <c r="A15" t="s">
        <v>40</v>
      </c>
      <c r="B15" t="s">
        <v>58</v>
      </c>
      <c r="C15" s="4">
        <v>50</v>
      </c>
      <c r="D15">
        <v>38</v>
      </c>
      <c r="E15">
        <v>14</v>
      </c>
      <c r="F15">
        <v>8</v>
      </c>
      <c r="G15">
        <f t="shared" si="0"/>
        <v>16</v>
      </c>
      <c r="H15">
        <v>56</v>
      </c>
      <c r="I15">
        <v>68</v>
      </c>
      <c r="J15">
        <f t="shared" si="1"/>
        <v>-12</v>
      </c>
    </row>
    <row r="16" spans="1:13" x14ac:dyDescent="0.3">
      <c r="A16" t="s">
        <v>41</v>
      </c>
      <c r="B16" t="s">
        <v>59</v>
      </c>
      <c r="C16" s="4">
        <v>49</v>
      </c>
      <c r="D16">
        <v>38</v>
      </c>
      <c r="E16">
        <v>14</v>
      </c>
      <c r="F16">
        <v>7</v>
      </c>
      <c r="G16">
        <f t="shared" si="0"/>
        <v>17</v>
      </c>
      <c r="H16">
        <v>53</v>
      </c>
      <c r="I16">
        <v>66</v>
      </c>
      <c r="J16">
        <f t="shared" si="1"/>
        <v>-13</v>
      </c>
    </row>
    <row r="17" spans="1:10" x14ac:dyDescent="0.3">
      <c r="A17" t="s">
        <v>42</v>
      </c>
      <c r="B17" t="s">
        <v>60</v>
      </c>
      <c r="C17" s="4">
        <v>48</v>
      </c>
      <c r="D17">
        <v>38</v>
      </c>
      <c r="E17">
        <v>15</v>
      </c>
      <c r="F17">
        <v>3</v>
      </c>
      <c r="G17">
        <f t="shared" si="0"/>
        <v>20</v>
      </c>
      <c r="H17">
        <v>54</v>
      </c>
      <c r="I17">
        <v>57</v>
      </c>
      <c r="J17">
        <f t="shared" si="1"/>
        <v>-3</v>
      </c>
    </row>
    <row r="18" spans="1:10" x14ac:dyDescent="0.3">
      <c r="A18" s="2" t="s">
        <v>43</v>
      </c>
      <c r="B18" t="s">
        <v>61</v>
      </c>
      <c r="C18" s="4">
        <v>47</v>
      </c>
      <c r="D18">
        <v>38</v>
      </c>
      <c r="E18">
        <v>14</v>
      </c>
      <c r="F18">
        <v>5</v>
      </c>
      <c r="G18">
        <f t="shared" si="0"/>
        <v>19</v>
      </c>
      <c r="H18">
        <v>55</v>
      </c>
      <c r="I18">
        <v>62</v>
      </c>
      <c r="J18">
        <f t="shared" si="1"/>
        <v>-7</v>
      </c>
    </row>
    <row r="19" spans="1:10" x14ac:dyDescent="0.3">
      <c r="A19" s="2" t="s">
        <v>44</v>
      </c>
      <c r="B19" t="s">
        <v>62</v>
      </c>
      <c r="C19" s="4">
        <v>46</v>
      </c>
      <c r="D19">
        <v>38</v>
      </c>
      <c r="E19">
        <v>12</v>
      </c>
      <c r="F19">
        <v>10</v>
      </c>
      <c r="G19">
        <f t="shared" si="0"/>
        <v>16</v>
      </c>
      <c r="H19">
        <v>44</v>
      </c>
      <c r="I19">
        <v>55</v>
      </c>
      <c r="J19">
        <f t="shared" si="1"/>
        <v>-11</v>
      </c>
    </row>
    <row r="20" spans="1:10" x14ac:dyDescent="0.3">
      <c r="A20" s="2" t="s">
        <v>45</v>
      </c>
      <c r="B20" t="s">
        <v>63</v>
      </c>
      <c r="C20" s="4">
        <v>41</v>
      </c>
      <c r="D20">
        <v>38</v>
      </c>
      <c r="E20">
        <v>11</v>
      </c>
      <c r="F20">
        <v>8</v>
      </c>
      <c r="G20">
        <f t="shared" si="0"/>
        <v>19</v>
      </c>
      <c r="H20">
        <v>44</v>
      </c>
      <c r="I20">
        <v>46</v>
      </c>
      <c r="J20">
        <f t="shared" si="1"/>
        <v>-2</v>
      </c>
    </row>
    <row r="21" spans="1:10" x14ac:dyDescent="0.3">
      <c r="A21" s="2" t="s">
        <v>46</v>
      </c>
      <c r="B21" t="s">
        <v>64</v>
      </c>
      <c r="C21" s="4">
        <v>40</v>
      </c>
      <c r="D21">
        <v>38</v>
      </c>
      <c r="E21">
        <v>10</v>
      </c>
      <c r="F21">
        <v>10</v>
      </c>
      <c r="G21">
        <f t="shared" si="0"/>
        <v>18</v>
      </c>
      <c r="H21">
        <v>46</v>
      </c>
      <c r="I21">
        <v>59</v>
      </c>
      <c r="J21">
        <f t="shared" si="1"/>
        <v>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6F2B-EB2B-4369-9690-78CEF0C9AC84}">
  <dimension ref="A1:M21"/>
  <sheetViews>
    <sheetView workbookViewId="0">
      <selection sqref="A1:J21"/>
    </sheetView>
  </sheetViews>
  <sheetFormatPr defaultRowHeight="14.4" x14ac:dyDescent="0.3"/>
  <sheetData>
    <row r="1" spans="1:13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L1" t="s">
        <v>15</v>
      </c>
    </row>
    <row r="2" spans="1:13" x14ac:dyDescent="0.3">
      <c r="A2" s="3" t="s">
        <v>26</v>
      </c>
      <c r="B2" t="s">
        <v>65</v>
      </c>
      <c r="C2" s="4">
        <v>67</v>
      </c>
      <c r="D2">
        <v>38</v>
      </c>
      <c r="E2">
        <v>20</v>
      </c>
      <c r="F2">
        <v>7</v>
      </c>
      <c r="G2">
        <f>D2-E2-F2</f>
        <v>11</v>
      </c>
      <c r="H2">
        <v>68</v>
      </c>
      <c r="I2">
        <v>55</v>
      </c>
      <c r="J2">
        <f>H2-I2</f>
        <v>13</v>
      </c>
      <c r="L2" t="s">
        <v>65</v>
      </c>
      <c r="M2">
        <v>3</v>
      </c>
    </row>
    <row r="3" spans="1:13" x14ac:dyDescent="0.3">
      <c r="A3" s="3" t="s">
        <v>27</v>
      </c>
      <c r="B3" t="s">
        <v>66</v>
      </c>
      <c r="C3" s="4">
        <v>64</v>
      </c>
      <c r="D3">
        <v>38</v>
      </c>
      <c r="E3">
        <v>20</v>
      </c>
      <c r="F3">
        <v>4</v>
      </c>
      <c r="G3">
        <f t="shared" ref="G3:G21" si="0">D3-E3-F3</f>
        <v>14</v>
      </c>
      <c r="H3">
        <v>63</v>
      </c>
      <c r="I3">
        <v>52</v>
      </c>
      <c r="J3">
        <f t="shared" ref="J3:J21" si="1">H3-I3</f>
        <v>11</v>
      </c>
    </row>
    <row r="4" spans="1:13" x14ac:dyDescent="0.3">
      <c r="A4" s="3" t="s">
        <v>28</v>
      </c>
      <c r="B4" t="s">
        <v>67</v>
      </c>
      <c r="C4" s="4">
        <v>62</v>
      </c>
      <c r="D4">
        <v>38</v>
      </c>
      <c r="E4">
        <v>18</v>
      </c>
      <c r="F4">
        <v>8</v>
      </c>
      <c r="G4">
        <f t="shared" si="0"/>
        <v>12</v>
      </c>
      <c r="H4">
        <v>55</v>
      </c>
      <c r="I4">
        <v>42</v>
      </c>
      <c r="J4">
        <f t="shared" si="1"/>
        <v>13</v>
      </c>
    </row>
    <row r="5" spans="1:13" x14ac:dyDescent="0.3">
      <c r="A5" s="3" t="s">
        <v>29</v>
      </c>
      <c r="B5" t="s">
        <v>30</v>
      </c>
      <c r="C5" s="4">
        <v>60</v>
      </c>
      <c r="D5">
        <v>38</v>
      </c>
      <c r="E5">
        <v>17</v>
      </c>
      <c r="F5">
        <v>9</v>
      </c>
      <c r="G5">
        <f t="shared" si="0"/>
        <v>12</v>
      </c>
      <c r="H5">
        <v>52</v>
      </c>
      <c r="I5">
        <v>49</v>
      </c>
      <c r="J5">
        <f t="shared" si="1"/>
        <v>3</v>
      </c>
    </row>
    <row r="6" spans="1:13" x14ac:dyDescent="0.3">
      <c r="A6" s="8" t="s">
        <v>31</v>
      </c>
      <c r="B6" t="s">
        <v>68</v>
      </c>
      <c r="C6" s="4">
        <v>58</v>
      </c>
      <c r="D6">
        <v>38</v>
      </c>
      <c r="E6">
        <v>18</v>
      </c>
      <c r="F6">
        <v>4</v>
      </c>
      <c r="G6">
        <f t="shared" si="0"/>
        <v>16</v>
      </c>
      <c r="H6">
        <v>61</v>
      </c>
      <c r="I6">
        <v>57</v>
      </c>
      <c r="J6">
        <f t="shared" si="1"/>
        <v>4</v>
      </c>
    </row>
    <row r="7" spans="1:13" x14ac:dyDescent="0.3">
      <c r="A7" s="8" t="s">
        <v>32</v>
      </c>
      <c r="B7" t="s">
        <v>69</v>
      </c>
      <c r="C7" s="4">
        <v>58</v>
      </c>
      <c r="D7">
        <v>38</v>
      </c>
      <c r="E7">
        <v>18</v>
      </c>
      <c r="F7">
        <v>4</v>
      </c>
      <c r="G7">
        <f t="shared" si="0"/>
        <v>16</v>
      </c>
      <c r="H7">
        <v>61</v>
      </c>
      <c r="I7">
        <v>64</v>
      </c>
      <c r="J7">
        <f t="shared" si="1"/>
        <v>-3</v>
      </c>
    </row>
    <row r="8" spans="1:13" x14ac:dyDescent="0.3">
      <c r="A8" s="8" t="s">
        <v>33</v>
      </c>
      <c r="B8" t="s">
        <v>70</v>
      </c>
      <c r="C8" s="4">
        <v>58</v>
      </c>
      <c r="D8">
        <v>38</v>
      </c>
      <c r="E8">
        <v>17</v>
      </c>
      <c r="F8">
        <v>7</v>
      </c>
      <c r="G8">
        <f t="shared" si="0"/>
        <v>14</v>
      </c>
      <c r="H8">
        <v>58</v>
      </c>
      <c r="I8">
        <v>54</v>
      </c>
      <c r="J8">
        <f t="shared" si="1"/>
        <v>4</v>
      </c>
    </row>
    <row r="9" spans="1:13" x14ac:dyDescent="0.3">
      <c r="A9" s="8" t="s">
        <v>34</v>
      </c>
      <c r="B9" t="s">
        <v>71</v>
      </c>
      <c r="C9" s="4">
        <v>55</v>
      </c>
      <c r="D9">
        <v>38</v>
      </c>
      <c r="E9">
        <v>15</v>
      </c>
      <c r="F9">
        <v>10</v>
      </c>
      <c r="G9">
        <f t="shared" si="0"/>
        <v>13</v>
      </c>
      <c r="H9">
        <v>65</v>
      </c>
      <c r="I9">
        <v>55</v>
      </c>
      <c r="J9">
        <f t="shared" si="1"/>
        <v>10</v>
      </c>
    </row>
    <row r="10" spans="1:13" x14ac:dyDescent="0.3">
      <c r="A10" s="8" t="s">
        <v>35</v>
      </c>
      <c r="B10" t="s">
        <v>72</v>
      </c>
      <c r="C10" s="4">
        <v>53</v>
      </c>
      <c r="D10">
        <v>38</v>
      </c>
      <c r="E10">
        <v>16</v>
      </c>
      <c r="F10">
        <v>5</v>
      </c>
      <c r="G10">
        <f t="shared" si="0"/>
        <v>17</v>
      </c>
      <c r="H10">
        <v>55</v>
      </c>
      <c r="I10">
        <v>48</v>
      </c>
      <c r="J10">
        <f t="shared" si="1"/>
        <v>7</v>
      </c>
    </row>
    <row r="11" spans="1:13" x14ac:dyDescent="0.3">
      <c r="A11" s="8" t="s">
        <v>36</v>
      </c>
      <c r="B11" t="s">
        <v>73</v>
      </c>
      <c r="C11" s="4">
        <v>53</v>
      </c>
      <c r="D11">
        <v>38</v>
      </c>
      <c r="E11">
        <v>16</v>
      </c>
      <c r="F11">
        <v>5</v>
      </c>
      <c r="G11">
        <f t="shared" si="0"/>
        <v>17</v>
      </c>
      <c r="H11">
        <v>54</v>
      </c>
      <c r="I11">
        <v>58</v>
      </c>
      <c r="J11">
        <f t="shared" si="1"/>
        <v>-4</v>
      </c>
    </row>
    <row r="12" spans="1:13" x14ac:dyDescent="0.3">
      <c r="A12" s="8" t="s">
        <v>37</v>
      </c>
      <c r="B12" t="s">
        <v>74</v>
      </c>
      <c r="C12" s="4">
        <v>52</v>
      </c>
      <c r="D12">
        <v>38</v>
      </c>
      <c r="E12">
        <v>14</v>
      </c>
      <c r="F12">
        <v>10</v>
      </c>
      <c r="G12">
        <f t="shared" si="0"/>
        <v>14</v>
      </c>
      <c r="H12">
        <v>64</v>
      </c>
      <c r="I12">
        <v>59</v>
      </c>
      <c r="J12">
        <f t="shared" si="1"/>
        <v>5</v>
      </c>
    </row>
    <row r="13" spans="1:13" x14ac:dyDescent="0.3">
      <c r="A13" s="8" t="s">
        <v>38</v>
      </c>
      <c r="B13" t="s">
        <v>75</v>
      </c>
      <c r="C13" s="4">
        <v>50</v>
      </c>
      <c r="D13">
        <v>38</v>
      </c>
      <c r="E13">
        <v>13</v>
      </c>
      <c r="F13">
        <v>11</v>
      </c>
      <c r="G13">
        <f t="shared" si="0"/>
        <v>14</v>
      </c>
      <c r="H13">
        <v>55</v>
      </c>
      <c r="I13">
        <v>67</v>
      </c>
      <c r="J13">
        <f t="shared" si="1"/>
        <v>-12</v>
      </c>
    </row>
    <row r="14" spans="1:13" x14ac:dyDescent="0.3">
      <c r="A14" t="s">
        <v>39</v>
      </c>
      <c r="B14" t="s">
        <v>76</v>
      </c>
      <c r="C14" s="4">
        <v>49</v>
      </c>
      <c r="D14">
        <v>38</v>
      </c>
      <c r="E14">
        <v>13</v>
      </c>
      <c r="F14">
        <v>10</v>
      </c>
      <c r="G14">
        <f t="shared" si="0"/>
        <v>15</v>
      </c>
      <c r="H14">
        <v>55</v>
      </c>
      <c r="I14">
        <v>61</v>
      </c>
      <c r="J14">
        <f t="shared" si="1"/>
        <v>-6</v>
      </c>
    </row>
    <row r="15" spans="1:13" x14ac:dyDescent="0.3">
      <c r="A15" t="s">
        <v>40</v>
      </c>
      <c r="B15" t="s">
        <v>77</v>
      </c>
      <c r="C15" s="4">
        <v>48</v>
      </c>
      <c r="D15">
        <v>38</v>
      </c>
      <c r="E15">
        <v>15</v>
      </c>
      <c r="F15">
        <v>3</v>
      </c>
      <c r="G15">
        <f t="shared" si="0"/>
        <v>20</v>
      </c>
      <c r="H15">
        <v>50</v>
      </c>
      <c r="I15">
        <v>60</v>
      </c>
      <c r="J15">
        <f t="shared" si="1"/>
        <v>-10</v>
      </c>
    </row>
    <row r="16" spans="1:13" x14ac:dyDescent="0.3">
      <c r="A16" t="s">
        <v>41</v>
      </c>
      <c r="B16" t="s">
        <v>78</v>
      </c>
      <c r="C16" s="4">
        <v>48</v>
      </c>
      <c r="D16">
        <v>38</v>
      </c>
      <c r="E16">
        <v>14</v>
      </c>
      <c r="F16">
        <v>6</v>
      </c>
      <c r="G16">
        <f t="shared" si="0"/>
        <v>18</v>
      </c>
      <c r="H16">
        <v>50</v>
      </c>
      <c r="I16">
        <v>61</v>
      </c>
      <c r="J16">
        <f t="shared" si="1"/>
        <v>-11</v>
      </c>
    </row>
    <row r="17" spans="1:10" x14ac:dyDescent="0.3">
      <c r="A17" t="s">
        <v>42</v>
      </c>
      <c r="B17" t="s">
        <v>79</v>
      </c>
      <c r="C17" s="4">
        <v>48</v>
      </c>
      <c r="D17">
        <v>38</v>
      </c>
      <c r="E17">
        <v>11</v>
      </c>
      <c r="F17">
        <v>15</v>
      </c>
      <c r="G17">
        <f t="shared" si="0"/>
        <v>12</v>
      </c>
      <c r="H17">
        <v>48</v>
      </c>
      <c r="I17">
        <v>54</v>
      </c>
      <c r="J17">
        <f t="shared" si="1"/>
        <v>-6</v>
      </c>
    </row>
    <row r="18" spans="1:10" x14ac:dyDescent="0.3">
      <c r="A18" s="2" t="s">
        <v>43</v>
      </c>
      <c r="B18" t="s">
        <v>80</v>
      </c>
      <c r="C18" s="4">
        <v>47</v>
      </c>
      <c r="D18">
        <v>38</v>
      </c>
      <c r="E18">
        <v>13</v>
      </c>
      <c r="F18">
        <v>8</v>
      </c>
      <c r="G18">
        <f t="shared" si="0"/>
        <v>17</v>
      </c>
      <c r="H18">
        <v>66</v>
      </c>
      <c r="I18">
        <v>59</v>
      </c>
      <c r="J18">
        <f t="shared" si="1"/>
        <v>7</v>
      </c>
    </row>
    <row r="19" spans="1:10" x14ac:dyDescent="0.3">
      <c r="A19" s="2" t="s">
        <v>44</v>
      </c>
      <c r="B19" t="s">
        <v>81</v>
      </c>
      <c r="C19" s="4">
        <v>47</v>
      </c>
      <c r="D19">
        <v>38</v>
      </c>
      <c r="E19">
        <v>12</v>
      </c>
      <c r="F19">
        <v>11</v>
      </c>
      <c r="G19">
        <f t="shared" si="0"/>
        <v>15</v>
      </c>
      <c r="H19">
        <v>56</v>
      </c>
      <c r="I19">
        <v>53</v>
      </c>
      <c r="J19">
        <f t="shared" si="1"/>
        <v>3</v>
      </c>
    </row>
    <row r="20" spans="1:10" x14ac:dyDescent="0.3">
      <c r="A20" s="2" t="s">
        <v>45</v>
      </c>
      <c r="B20" t="s">
        <v>82</v>
      </c>
      <c r="C20" s="4">
        <v>46</v>
      </c>
      <c r="D20">
        <v>38</v>
      </c>
      <c r="E20">
        <v>14</v>
      </c>
      <c r="F20">
        <v>4</v>
      </c>
      <c r="G20">
        <f t="shared" si="0"/>
        <v>20</v>
      </c>
      <c r="H20">
        <v>48</v>
      </c>
      <c r="I20">
        <v>49</v>
      </c>
      <c r="J20">
        <f t="shared" si="1"/>
        <v>-1</v>
      </c>
    </row>
    <row r="21" spans="1:10" x14ac:dyDescent="0.3">
      <c r="A21" s="2" t="s">
        <v>46</v>
      </c>
      <c r="B21" t="s">
        <v>83</v>
      </c>
      <c r="C21" s="4">
        <v>43</v>
      </c>
      <c r="D21">
        <v>38</v>
      </c>
      <c r="E21">
        <v>12</v>
      </c>
      <c r="F21">
        <v>7</v>
      </c>
      <c r="G21">
        <f t="shared" si="0"/>
        <v>19</v>
      </c>
      <c r="H21">
        <v>49</v>
      </c>
      <c r="I21">
        <v>66</v>
      </c>
      <c r="J21">
        <f t="shared" si="1"/>
        <v>-17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0B27-0473-4CC0-9B20-02DFF21777A9}">
  <dimension ref="A1:M41"/>
  <sheetViews>
    <sheetView workbookViewId="0">
      <selection activeCell="B19" sqref="B19"/>
    </sheetView>
  </sheetViews>
  <sheetFormatPr defaultRowHeight="14.4" x14ac:dyDescent="0.3"/>
  <sheetData>
    <row r="1" spans="1:13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L1" t="s">
        <v>15</v>
      </c>
    </row>
    <row r="2" spans="1:13" x14ac:dyDescent="0.3">
      <c r="A2" s="9" t="s">
        <v>26</v>
      </c>
      <c r="B2" t="s">
        <v>85</v>
      </c>
      <c r="C2" s="4">
        <v>36</v>
      </c>
      <c r="D2">
        <v>19</v>
      </c>
      <c r="E2">
        <v>12</v>
      </c>
      <c r="F2">
        <v>0</v>
      </c>
      <c r="G2">
        <f>D2-E2-F2</f>
        <v>7</v>
      </c>
      <c r="H2">
        <v>28</v>
      </c>
      <c r="I2">
        <v>22</v>
      </c>
      <c r="J2">
        <f>H2-I2</f>
        <v>6</v>
      </c>
      <c r="L2" t="s">
        <v>86</v>
      </c>
      <c r="M2">
        <v>1</v>
      </c>
    </row>
    <row r="3" spans="1:13" x14ac:dyDescent="0.3">
      <c r="A3" s="9" t="s">
        <v>27</v>
      </c>
      <c r="B3" t="s">
        <v>84</v>
      </c>
      <c r="C3" s="4">
        <v>36</v>
      </c>
      <c r="D3">
        <v>19</v>
      </c>
      <c r="E3">
        <v>11</v>
      </c>
      <c r="F3">
        <v>3</v>
      </c>
      <c r="G3">
        <f t="shared" ref="G3:G21" si="0">D3-E3-F3</f>
        <v>5</v>
      </c>
      <c r="H3">
        <v>33</v>
      </c>
      <c r="I3">
        <v>24</v>
      </c>
      <c r="J3">
        <f t="shared" ref="J3:J21" si="1">H3-I3</f>
        <v>9</v>
      </c>
    </row>
    <row r="4" spans="1:13" x14ac:dyDescent="0.3">
      <c r="A4" s="9" t="s">
        <v>28</v>
      </c>
      <c r="B4" t="s">
        <v>86</v>
      </c>
      <c r="C4" s="4">
        <v>35</v>
      </c>
      <c r="D4">
        <v>19</v>
      </c>
      <c r="E4">
        <v>11</v>
      </c>
      <c r="F4">
        <v>2</v>
      </c>
      <c r="G4">
        <f t="shared" si="0"/>
        <v>6</v>
      </c>
      <c r="H4">
        <v>31</v>
      </c>
      <c r="I4">
        <v>21</v>
      </c>
      <c r="J4">
        <f t="shared" si="1"/>
        <v>10</v>
      </c>
    </row>
    <row r="5" spans="1:13" x14ac:dyDescent="0.3">
      <c r="A5" s="9" t="s">
        <v>29</v>
      </c>
      <c r="B5" t="s">
        <v>87</v>
      </c>
      <c r="C5" s="4">
        <v>34</v>
      </c>
      <c r="D5">
        <v>19</v>
      </c>
      <c r="E5">
        <v>10</v>
      </c>
      <c r="F5">
        <v>4</v>
      </c>
      <c r="G5">
        <f t="shared" si="0"/>
        <v>5</v>
      </c>
      <c r="H5">
        <v>35</v>
      </c>
      <c r="I5">
        <v>32</v>
      </c>
      <c r="J5">
        <f t="shared" si="1"/>
        <v>3</v>
      </c>
    </row>
    <row r="6" spans="1:13" x14ac:dyDescent="0.3">
      <c r="A6" s="9" t="s">
        <v>31</v>
      </c>
      <c r="B6" t="s">
        <v>88</v>
      </c>
      <c r="C6" s="4">
        <v>33</v>
      </c>
      <c r="D6">
        <v>19</v>
      </c>
      <c r="E6">
        <v>10</v>
      </c>
      <c r="F6">
        <v>3</v>
      </c>
      <c r="G6">
        <f t="shared" si="0"/>
        <v>6</v>
      </c>
      <c r="H6">
        <v>31</v>
      </c>
      <c r="I6">
        <v>18</v>
      </c>
      <c r="J6">
        <f t="shared" si="1"/>
        <v>13</v>
      </c>
    </row>
    <row r="7" spans="1:13" x14ac:dyDescent="0.3">
      <c r="A7" s="9" t="s">
        <v>32</v>
      </c>
      <c r="B7" t="s">
        <v>89</v>
      </c>
      <c r="C7" s="4">
        <v>30</v>
      </c>
      <c r="D7">
        <v>19</v>
      </c>
      <c r="E7">
        <v>9</v>
      </c>
      <c r="F7">
        <v>3</v>
      </c>
      <c r="G7">
        <f t="shared" si="0"/>
        <v>7</v>
      </c>
      <c r="H7">
        <v>24</v>
      </c>
      <c r="I7">
        <v>24</v>
      </c>
      <c r="J7">
        <f t="shared" si="1"/>
        <v>0</v>
      </c>
    </row>
    <row r="8" spans="1:13" x14ac:dyDescent="0.3">
      <c r="A8" s="9" t="s">
        <v>33</v>
      </c>
      <c r="B8" t="s">
        <v>90</v>
      </c>
      <c r="C8" s="4">
        <v>29</v>
      </c>
      <c r="D8">
        <v>19</v>
      </c>
      <c r="E8">
        <v>9</v>
      </c>
      <c r="F8">
        <v>2</v>
      </c>
      <c r="G8">
        <f t="shared" si="0"/>
        <v>8</v>
      </c>
      <c r="H8">
        <v>30</v>
      </c>
      <c r="I8">
        <v>25</v>
      </c>
      <c r="J8">
        <f t="shared" si="1"/>
        <v>5</v>
      </c>
    </row>
    <row r="9" spans="1:13" x14ac:dyDescent="0.3">
      <c r="A9" s="9" t="s">
        <v>34</v>
      </c>
      <c r="B9" t="s">
        <v>91</v>
      </c>
      <c r="C9" s="4">
        <v>29</v>
      </c>
      <c r="D9">
        <v>19</v>
      </c>
      <c r="E9">
        <v>9</v>
      </c>
      <c r="F9">
        <v>2</v>
      </c>
      <c r="G9">
        <f t="shared" si="0"/>
        <v>8</v>
      </c>
      <c r="H9">
        <v>36</v>
      </c>
      <c r="I9">
        <v>36</v>
      </c>
      <c r="J9">
        <f t="shared" si="1"/>
        <v>0</v>
      </c>
    </row>
    <row r="10" spans="1:13" x14ac:dyDescent="0.3">
      <c r="A10" s="8" t="s">
        <v>35</v>
      </c>
      <c r="B10" t="s">
        <v>92</v>
      </c>
      <c r="C10" s="4">
        <v>28</v>
      </c>
      <c r="D10">
        <v>19</v>
      </c>
      <c r="E10">
        <v>9</v>
      </c>
      <c r="F10">
        <v>1</v>
      </c>
      <c r="G10">
        <f t="shared" si="0"/>
        <v>9</v>
      </c>
      <c r="H10">
        <v>31</v>
      </c>
      <c r="I10">
        <v>26</v>
      </c>
      <c r="J10">
        <f t="shared" si="1"/>
        <v>5</v>
      </c>
    </row>
    <row r="11" spans="1:13" x14ac:dyDescent="0.3">
      <c r="A11" s="8" t="s">
        <v>36</v>
      </c>
      <c r="B11" t="s">
        <v>93</v>
      </c>
      <c r="C11" s="4">
        <v>28</v>
      </c>
      <c r="D11">
        <v>19</v>
      </c>
      <c r="E11">
        <v>9</v>
      </c>
      <c r="F11">
        <v>1</v>
      </c>
      <c r="G11">
        <f t="shared" si="0"/>
        <v>9</v>
      </c>
      <c r="H11">
        <v>30</v>
      </c>
      <c r="I11">
        <v>32</v>
      </c>
      <c r="J11">
        <f t="shared" si="1"/>
        <v>-2</v>
      </c>
    </row>
    <row r="12" spans="1:13" x14ac:dyDescent="0.3">
      <c r="A12" s="8" t="s">
        <v>37</v>
      </c>
      <c r="B12" t="s">
        <v>94</v>
      </c>
      <c r="C12" s="4">
        <v>26</v>
      </c>
      <c r="D12">
        <v>19</v>
      </c>
      <c r="E12">
        <v>8</v>
      </c>
      <c r="F12">
        <v>2</v>
      </c>
      <c r="G12">
        <f t="shared" si="0"/>
        <v>9</v>
      </c>
      <c r="H12">
        <v>31</v>
      </c>
      <c r="I12">
        <v>29</v>
      </c>
      <c r="J12">
        <f t="shared" si="1"/>
        <v>2</v>
      </c>
    </row>
    <row r="13" spans="1:13" x14ac:dyDescent="0.3">
      <c r="A13" s="8" t="s">
        <v>38</v>
      </c>
      <c r="B13" t="s">
        <v>97</v>
      </c>
      <c r="C13" s="4">
        <v>25</v>
      </c>
      <c r="D13">
        <v>19</v>
      </c>
      <c r="E13">
        <v>8</v>
      </c>
      <c r="F13">
        <v>1</v>
      </c>
      <c r="G13">
        <f t="shared" si="0"/>
        <v>10</v>
      </c>
      <c r="H13">
        <v>27</v>
      </c>
      <c r="I13">
        <v>32</v>
      </c>
      <c r="J13">
        <f t="shared" si="1"/>
        <v>-5</v>
      </c>
    </row>
    <row r="14" spans="1:13" x14ac:dyDescent="0.3">
      <c r="A14" t="s">
        <v>39</v>
      </c>
      <c r="B14" t="s">
        <v>98</v>
      </c>
      <c r="C14" s="4">
        <v>25</v>
      </c>
      <c r="D14">
        <v>19</v>
      </c>
      <c r="E14">
        <v>8</v>
      </c>
      <c r="F14">
        <v>1</v>
      </c>
      <c r="G14">
        <f t="shared" si="0"/>
        <v>10</v>
      </c>
      <c r="H14">
        <v>29</v>
      </c>
      <c r="I14">
        <v>35</v>
      </c>
      <c r="J14">
        <f t="shared" si="1"/>
        <v>-6</v>
      </c>
    </row>
    <row r="15" spans="1:13" x14ac:dyDescent="0.3">
      <c r="A15" t="s">
        <v>40</v>
      </c>
      <c r="B15" t="s">
        <v>95</v>
      </c>
      <c r="C15" s="4">
        <v>25</v>
      </c>
      <c r="D15">
        <v>19</v>
      </c>
      <c r="E15">
        <v>7</v>
      </c>
      <c r="F15">
        <v>4</v>
      </c>
      <c r="G15">
        <f t="shared" si="0"/>
        <v>8</v>
      </c>
      <c r="H15">
        <v>25</v>
      </c>
      <c r="I15">
        <v>26</v>
      </c>
      <c r="J15">
        <f t="shared" si="1"/>
        <v>-1</v>
      </c>
    </row>
    <row r="16" spans="1:13" x14ac:dyDescent="0.3">
      <c r="A16" t="s">
        <v>41</v>
      </c>
      <c r="B16" t="s">
        <v>96</v>
      </c>
      <c r="C16" s="4">
        <v>25</v>
      </c>
      <c r="D16">
        <v>19</v>
      </c>
      <c r="E16">
        <v>7</v>
      </c>
      <c r="F16">
        <v>4</v>
      </c>
      <c r="G16">
        <f t="shared" si="0"/>
        <v>8</v>
      </c>
      <c r="H16">
        <v>27</v>
      </c>
      <c r="I16">
        <v>31</v>
      </c>
      <c r="J16">
        <f t="shared" si="1"/>
        <v>-4</v>
      </c>
    </row>
    <row r="17" spans="1:10" x14ac:dyDescent="0.3">
      <c r="A17" t="s">
        <v>42</v>
      </c>
      <c r="B17" t="s">
        <v>99</v>
      </c>
      <c r="C17" s="4">
        <v>24</v>
      </c>
      <c r="D17">
        <v>19</v>
      </c>
      <c r="E17">
        <v>7</v>
      </c>
      <c r="F17">
        <v>3</v>
      </c>
      <c r="G17">
        <f t="shared" si="0"/>
        <v>9</v>
      </c>
      <c r="H17">
        <v>25</v>
      </c>
      <c r="I17">
        <v>30</v>
      </c>
      <c r="J17">
        <f t="shared" si="1"/>
        <v>-5</v>
      </c>
    </row>
    <row r="18" spans="1:10" x14ac:dyDescent="0.3">
      <c r="A18" t="s">
        <v>43</v>
      </c>
      <c r="B18" t="s">
        <v>100</v>
      </c>
      <c r="C18" s="4">
        <v>23</v>
      </c>
      <c r="D18">
        <v>19</v>
      </c>
      <c r="E18">
        <v>7</v>
      </c>
      <c r="F18">
        <v>2</v>
      </c>
      <c r="G18">
        <f t="shared" si="0"/>
        <v>10</v>
      </c>
      <c r="H18">
        <v>30</v>
      </c>
      <c r="I18">
        <v>31</v>
      </c>
      <c r="J18">
        <f t="shared" si="1"/>
        <v>-1</v>
      </c>
    </row>
    <row r="19" spans="1:10" x14ac:dyDescent="0.3">
      <c r="A19" t="s">
        <v>44</v>
      </c>
      <c r="B19" t="s">
        <v>101</v>
      </c>
      <c r="C19" s="4">
        <v>23</v>
      </c>
      <c r="D19">
        <v>19</v>
      </c>
      <c r="E19">
        <v>7</v>
      </c>
      <c r="F19">
        <v>2</v>
      </c>
      <c r="G19">
        <f t="shared" si="0"/>
        <v>10</v>
      </c>
      <c r="H19">
        <v>25</v>
      </c>
      <c r="I19">
        <v>29</v>
      </c>
      <c r="J19">
        <f t="shared" si="1"/>
        <v>-4</v>
      </c>
    </row>
    <row r="20" spans="1:10" x14ac:dyDescent="0.3">
      <c r="A20" s="2" t="s">
        <v>45</v>
      </c>
      <c r="B20" t="s">
        <v>102</v>
      </c>
      <c r="C20" s="4">
        <v>18</v>
      </c>
      <c r="D20">
        <v>19</v>
      </c>
      <c r="E20">
        <v>6</v>
      </c>
      <c r="F20">
        <v>0</v>
      </c>
      <c r="G20">
        <f t="shared" si="0"/>
        <v>13</v>
      </c>
      <c r="H20">
        <v>20</v>
      </c>
      <c r="I20">
        <v>33</v>
      </c>
      <c r="J20">
        <f t="shared" si="1"/>
        <v>-13</v>
      </c>
    </row>
    <row r="21" spans="1:10" x14ac:dyDescent="0.3">
      <c r="A21" s="2" t="s">
        <v>46</v>
      </c>
      <c r="B21" t="s">
        <v>103</v>
      </c>
      <c r="C21" s="4">
        <v>17</v>
      </c>
      <c r="D21">
        <v>19</v>
      </c>
      <c r="E21">
        <v>5</v>
      </c>
      <c r="F21">
        <v>2</v>
      </c>
      <c r="G21">
        <f t="shared" si="0"/>
        <v>12</v>
      </c>
      <c r="H21">
        <v>21</v>
      </c>
      <c r="I21">
        <v>33</v>
      </c>
      <c r="J21">
        <f t="shared" si="1"/>
        <v>-12</v>
      </c>
    </row>
    <row r="23" spans="1:10" x14ac:dyDescent="0.3">
      <c r="A23" t="s">
        <v>104</v>
      </c>
    </row>
    <row r="24" spans="1:10" x14ac:dyDescent="0.3">
      <c r="A24" t="s">
        <v>105</v>
      </c>
    </row>
    <row r="25" spans="1:10" x14ac:dyDescent="0.3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</row>
    <row r="26" spans="1:10" x14ac:dyDescent="0.3">
      <c r="A26" s="3" t="s">
        <v>26</v>
      </c>
      <c r="B26" t="s">
        <v>91</v>
      </c>
      <c r="C26" s="4">
        <v>10</v>
      </c>
      <c r="D26">
        <v>6</v>
      </c>
      <c r="E26">
        <v>2</v>
      </c>
      <c r="F26">
        <v>4</v>
      </c>
      <c r="G26">
        <f>D26-E26-F26</f>
        <v>0</v>
      </c>
      <c r="H26">
        <v>8</v>
      </c>
      <c r="I26">
        <v>5</v>
      </c>
      <c r="J26">
        <f>H26-I26</f>
        <v>3</v>
      </c>
    </row>
    <row r="27" spans="1:10" x14ac:dyDescent="0.3">
      <c r="A27" s="9" t="s">
        <v>27</v>
      </c>
      <c r="B27" t="s">
        <v>85</v>
      </c>
      <c r="C27" s="4">
        <v>8</v>
      </c>
      <c r="D27">
        <v>6</v>
      </c>
      <c r="E27">
        <v>2</v>
      </c>
      <c r="F27">
        <v>2</v>
      </c>
      <c r="G27">
        <f t="shared" ref="G27:G29" si="2">D27-E27-F27</f>
        <v>2</v>
      </c>
      <c r="H27">
        <v>5</v>
      </c>
      <c r="I27">
        <v>5</v>
      </c>
      <c r="J27">
        <f t="shared" ref="J27:J29" si="3">H27-I27</f>
        <v>0</v>
      </c>
    </row>
    <row r="28" spans="1:10" x14ac:dyDescent="0.3">
      <c r="A28" s="8" t="s">
        <v>28</v>
      </c>
      <c r="B28" t="s">
        <v>87</v>
      </c>
      <c r="C28" s="4">
        <v>6</v>
      </c>
      <c r="D28">
        <v>6</v>
      </c>
      <c r="E28">
        <v>1</v>
      </c>
      <c r="F28">
        <v>3</v>
      </c>
      <c r="G28">
        <f t="shared" si="2"/>
        <v>2</v>
      </c>
      <c r="H28">
        <v>7</v>
      </c>
      <c r="I28">
        <v>8</v>
      </c>
      <c r="J28">
        <f t="shared" si="3"/>
        <v>-1</v>
      </c>
    </row>
    <row r="29" spans="1:10" x14ac:dyDescent="0.3">
      <c r="A29" s="8" t="s">
        <v>29</v>
      </c>
      <c r="B29" t="s">
        <v>88</v>
      </c>
      <c r="C29" s="4">
        <v>6</v>
      </c>
      <c r="D29">
        <v>6</v>
      </c>
      <c r="E29">
        <v>1</v>
      </c>
      <c r="F29">
        <v>3</v>
      </c>
      <c r="G29">
        <f t="shared" si="2"/>
        <v>2</v>
      </c>
      <c r="H29">
        <v>6</v>
      </c>
      <c r="I29">
        <v>8</v>
      </c>
      <c r="J29">
        <f t="shared" si="3"/>
        <v>-2</v>
      </c>
    </row>
    <row r="31" spans="1:10" x14ac:dyDescent="0.3">
      <c r="A31" t="s">
        <v>106</v>
      </c>
    </row>
    <row r="32" spans="1:10" x14ac:dyDescent="0.3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</row>
    <row r="33" spans="1:10" x14ac:dyDescent="0.3">
      <c r="A33" s="3" t="s">
        <v>26</v>
      </c>
      <c r="B33" t="s">
        <v>86</v>
      </c>
      <c r="C33" s="4">
        <v>12</v>
      </c>
      <c r="D33">
        <v>6</v>
      </c>
      <c r="E33">
        <v>4</v>
      </c>
      <c r="F33">
        <v>0</v>
      </c>
      <c r="G33">
        <f>D33-E33-F33</f>
        <v>2</v>
      </c>
      <c r="H33">
        <v>6</v>
      </c>
      <c r="I33">
        <v>2</v>
      </c>
      <c r="J33">
        <f>H33-I33</f>
        <v>4</v>
      </c>
    </row>
    <row r="34" spans="1:10" x14ac:dyDescent="0.3">
      <c r="A34" s="9" t="s">
        <v>27</v>
      </c>
      <c r="B34" t="s">
        <v>89</v>
      </c>
      <c r="C34" s="4">
        <v>10</v>
      </c>
      <c r="D34">
        <v>6</v>
      </c>
      <c r="E34">
        <v>3</v>
      </c>
      <c r="F34">
        <v>1</v>
      </c>
      <c r="G34">
        <f t="shared" ref="G34:G36" si="4">D34-E34-F34</f>
        <v>2</v>
      </c>
      <c r="H34">
        <v>7</v>
      </c>
      <c r="I34">
        <v>6</v>
      </c>
      <c r="J34">
        <f t="shared" ref="J34:J36" si="5">H34-I34</f>
        <v>1</v>
      </c>
    </row>
    <row r="35" spans="1:10" x14ac:dyDescent="0.3">
      <c r="A35" s="8" t="s">
        <v>28</v>
      </c>
      <c r="B35" t="s">
        <v>84</v>
      </c>
      <c r="C35" s="4">
        <v>7</v>
      </c>
      <c r="D35">
        <v>6</v>
      </c>
      <c r="E35">
        <v>2</v>
      </c>
      <c r="F35">
        <v>1</v>
      </c>
      <c r="G35">
        <f t="shared" si="4"/>
        <v>3</v>
      </c>
      <c r="H35">
        <v>5</v>
      </c>
      <c r="I35">
        <v>8</v>
      </c>
      <c r="J35">
        <f t="shared" si="5"/>
        <v>-3</v>
      </c>
    </row>
    <row r="36" spans="1:10" x14ac:dyDescent="0.3">
      <c r="A36" s="8" t="s">
        <v>29</v>
      </c>
      <c r="B36" t="s">
        <v>90</v>
      </c>
      <c r="C36" s="4">
        <v>5</v>
      </c>
      <c r="D36">
        <v>6</v>
      </c>
      <c r="E36">
        <v>1</v>
      </c>
      <c r="F36">
        <v>2</v>
      </c>
      <c r="G36">
        <f t="shared" si="4"/>
        <v>3</v>
      </c>
      <c r="H36">
        <v>5</v>
      </c>
      <c r="I36">
        <v>7</v>
      </c>
      <c r="J36">
        <f t="shared" si="5"/>
        <v>-2</v>
      </c>
    </row>
    <row r="38" spans="1:10" x14ac:dyDescent="0.3">
      <c r="A38" t="s">
        <v>107</v>
      </c>
    </row>
    <row r="39" spans="1:10" x14ac:dyDescent="0.3">
      <c r="A39" t="s">
        <v>91</v>
      </c>
      <c r="B39" t="s">
        <v>108</v>
      </c>
      <c r="C39" t="s">
        <v>86</v>
      </c>
      <c r="E39" t="s">
        <v>86</v>
      </c>
      <c r="F39" t="s">
        <v>109</v>
      </c>
      <c r="G39" t="s">
        <v>91</v>
      </c>
    </row>
    <row r="40" spans="1:10" x14ac:dyDescent="0.3">
      <c r="C40" t="s">
        <v>113</v>
      </c>
      <c r="G40" t="s">
        <v>110</v>
      </c>
    </row>
    <row r="41" spans="1:10" x14ac:dyDescent="0.3">
      <c r="G41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CAA9-78B8-44C9-838D-6948B97A8463}">
  <dimension ref="A1:AP143"/>
  <sheetViews>
    <sheetView topLeftCell="N1" zoomScaleNormal="100" workbookViewId="0">
      <selection activeCell="Y23" sqref="Y23"/>
    </sheetView>
  </sheetViews>
  <sheetFormatPr defaultRowHeight="14.4" x14ac:dyDescent="0.3"/>
  <sheetData>
    <row r="1" spans="1:42" x14ac:dyDescent="0.3">
      <c r="A1" t="s">
        <v>105</v>
      </c>
      <c r="L1" t="s">
        <v>104</v>
      </c>
      <c r="T1" t="s">
        <v>282</v>
      </c>
      <c r="AB1" t="s">
        <v>427</v>
      </c>
      <c r="AJ1" t="s">
        <v>456</v>
      </c>
    </row>
    <row r="2" spans="1:42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L2" t="str">
        <f>B15</f>
        <v>Monte Roraima</v>
      </c>
      <c r="M2" t="s">
        <v>383</v>
      </c>
      <c r="N2" t="str">
        <f>B3</f>
        <v>Nacional-AM</v>
      </c>
      <c r="P2" t="str">
        <f>B3</f>
        <v>Nacional-AM</v>
      </c>
      <c r="Q2" t="s">
        <v>146</v>
      </c>
      <c r="R2" t="str">
        <f>B15</f>
        <v>Monte Roraima</v>
      </c>
      <c r="T2" t="s">
        <v>131</v>
      </c>
      <c r="U2" t="s">
        <v>382</v>
      </c>
      <c r="V2" t="s">
        <v>185</v>
      </c>
      <c r="X2" t="s">
        <v>185</v>
      </c>
      <c r="Y2" t="s">
        <v>108</v>
      </c>
      <c r="Z2" t="s">
        <v>131</v>
      </c>
      <c r="AB2" t="s">
        <v>488</v>
      </c>
      <c r="AC2" t="s">
        <v>156</v>
      </c>
      <c r="AD2" t="s">
        <v>131</v>
      </c>
      <c r="AF2" t="s">
        <v>131</v>
      </c>
      <c r="AG2" t="s">
        <v>548</v>
      </c>
      <c r="AH2" t="s">
        <v>488</v>
      </c>
      <c r="AJ2" t="s">
        <v>517</v>
      </c>
      <c r="AK2" t="s">
        <v>383</v>
      </c>
      <c r="AL2" t="s">
        <v>207</v>
      </c>
      <c r="AN2" t="s">
        <v>207</v>
      </c>
      <c r="AO2" t="s">
        <v>178</v>
      </c>
      <c r="AP2" t="s">
        <v>517</v>
      </c>
    </row>
    <row r="3" spans="1:42" x14ac:dyDescent="0.3">
      <c r="A3" s="9" t="s">
        <v>26</v>
      </c>
      <c r="B3" t="s">
        <v>185</v>
      </c>
      <c r="C3" s="4">
        <f t="shared" ref="C3:C8" si="0">E3*3+F3</f>
        <v>19</v>
      </c>
      <c r="D3">
        <v>10</v>
      </c>
      <c r="E3">
        <v>6</v>
      </c>
      <c r="F3">
        <v>1</v>
      </c>
      <c r="G3">
        <f t="shared" ref="G3:G8" si="1">D3-E3-F3</f>
        <v>3</v>
      </c>
      <c r="H3">
        <v>15</v>
      </c>
      <c r="I3">
        <v>9</v>
      </c>
      <c r="J3">
        <f t="shared" ref="J3:J8" si="2">H3-I3</f>
        <v>6</v>
      </c>
      <c r="L3" t="str">
        <f>B23</f>
        <v>IAPE</v>
      </c>
      <c r="M3" t="s">
        <v>146</v>
      </c>
      <c r="N3" t="str">
        <f>B31</f>
        <v>Piauí</v>
      </c>
      <c r="P3" t="str">
        <f>B31</f>
        <v>Piauí</v>
      </c>
      <c r="Q3" t="s">
        <v>156</v>
      </c>
      <c r="R3" t="str">
        <f>B23</f>
        <v>IAPE</v>
      </c>
      <c r="T3" t="s">
        <v>488</v>
      </c>
      <c r="U3" t="s">
        <v>241</v>
      </c>
      <c r="V3" t="s">
        <v>494</v>
      </c>
      <c r="X3" t="s">
        <v>494</v>
      </c>
      <c r="Y3" t="s">
        <v>109</v>
      </c>
      <c r="Z3" t="s">
        <v>488</v>
      </c>
      <c r="AJ3" t="s">
        <v>131</v>
      </c>
      <c r="AK3" t="s">
        <v>241</v>
      </c>
      <c r="AL3" t="s">
        <v>535</v>
      </c>
      <c r="AN3" t="s">
        <v>535</v>
      </c>
      <c r="AO3" t="s">
        <v>382</v>
      </c>
      <c r="AP3" t="s">
        <v>131</v>
      </c>
    </row>
    <row r="4" spans="1:42" x14ac:dyDescent="0.3">
      <c r="A4" s="9" t="s">
        <v>27</v>
      </c>
      <c r="B4" t="s">
        <v>123</v>
      </c>
      <c r="C4" s="4">
        <f t="shared" si="0"/>
        <v>15</v>
      </c>
      <c r="D4">
        <v>10</v>
      </c>
      <c r="E4">
        <v>4</v>
      </c>
      <c r="F4">
        <v>3</v>
      </c>
      <c r="G4">
        <f t="shared" si="1"/>
        <v>3</v>
      </c>
      <c r="H4">
        <v>12</v>
      </c>
      <c r="I4">
        <v>11</v>
      </c>
      <c r="J4">
        <f t="shared" si="2"/>
        <v>1</v>
      </c>
      <c r="AB4" t="s">
        <v>207</v>
      </c>
      <c r="AC4" t="s">
        <v>156</v>
      </c>
      <c r="AD4" t="s">
        <v>490</v>
      </c>
      <c r="AF4" t="s">
        <v>490</v>
      </c>
      <c r="AG4" t="s">
        <v>152</v>
      </c>
      <c r="AH4" t="s">
        <v>207</v>
      </c>
      <c r="AJ4" t="s">
        <v>514</v>
      </c>
      <c r="AK4" t="s">
        <v>382</v>
      </c>
      <c r="AL4" t="s">
        <v>226</v>
      </c>
      <c r="AN4" t="s">
        <v>226</v>
      </c>
      <c r="AO4" t="s">
        <v>477</v>
      </c>
      <c r="AP4" t="s">
        <v>514</v>
      </c>
    </row>
    <row r="5" spans="1:42" x14ac:dyDescent="0.3">
      <c r="A5" s="9" t="s">
        <v>28</v>
      </c>
      <c r="B5" t="s">
        <v>211</v>
      </c>
      <c r="C5" s="4">
        <f t="shared" si="0"/>
        <v>13</v>
      </c>
      <c r="D5">
        <v>10</v>
      </c>
      <c r="E5">
        <v>3</v>
      </c>
      <c r="F5">
        <v>4</v>
      </c>
      <c r="G5">
        <f t="shared" si="1"/>
        <v>3</v>
      </c>
      <c r="H5">
        <v>10</v>
      </c>
      <c r="I5">
        <v>9</v>
      </c>
      <c r="J5">
        <f t="shared" si="2"/>
        <v>1</v>
      </c>
      <c r="L5" t="str">
        <f>B14</f>
        <v>São Raimundo-RR</v>
      </c>
      <c r="M5" t="s">
        <v>146</v>
      </c>
      <c r="N5" t="str">
        <f>B4</f>
        <v>Galvez</v>
      </c>
      <c r="P5" t="str">
        <f>B4</f>
        <v>Galvez</v>
      </c>
      <c r="Q5" t="s">
        <v>537</v>
      </c>
      <c r="R5" t="str">
        <f>B14</f>
        <v>São Raimundo-RR</v>
      </c>
      <c r="T5" t="s">
        <v>211</v>
      </c>
      <c r="U5" t="s">
        <v>383</v>
      </c>
      <c r="V5" t="s">
        <v>490</v>
      </c>
      <c r="X5" t="s">
        <v>490</v>
      </c>
      <c r="Y5" t="s">
        <v>545</v>
      </c>
      <c r="Z5" t="s">
        <v>211</v>
      </c>
      <c r="AJ5" t="s">
        <v>212</v>
      </c>
      <c r="AK5" t="s">
        <v>549</v>
      </c>
      <c r="AL5" t="s">
        <v>181</v>
      </c>
      <c r="AN5" t="s">
        <v>181</v>
      </c>
      <c r="AO5" t="s">
        <v>550</v>
      </c>
      <c r="AP5" t="s">
        <v>212</v>
      </c>
    </row>
    <row r="6" spans="1:42" x14ac:dyDescent="0.3">
      <c r="A6" s="9" t="s">
        <v>29</v>
      </c>
      <c r="B6" t="s">
        <v>206</v>
      </c>
      <c r="C6" s="4">
        <f t="shared" si="0"/>
        <v>12</v>
      </c>
      <c r="D6">
        <v>10</v>
      </c>
      <c r="E6">
        <v>3</v>
      </c>
      <c r="F6">
        <v>3</v>
      </c>
      <c r="G6">
        <f t="shared" si="1"/>
        <v>4</v>
      </c>
      <c r="H6">
        <v>10</v>
      </c>
      <c r="I6">
        <v>12</v>
      </c>
      <c r="J6">
        <f t="shared" si="2"/>
        <v>-2</v>
      </c>
      <c r="L6" t="str">
        <f>B24</f>
        <v>Moto Club</v>
      </c>
      <c r="M6" t="s">
        <v>241</v>
      </c>
      <c r="N6" t="str">
        <f>B30</f>
        <v>Iguatu</v>
      </c>
      <c r="P6" t="str">
        <f>B30</f>
        <v>Iguatu</v>
      </c>
      <c r="Q6" t="s">
        <v>248</v>
      </c>
      <c r="R6" t="str">
        <f>B24</f>
        <v>Moto Club</v>
      </c>
      <c r="T6" t="s">
        <v>206</v>
      </c>
      <c r="U6" t="s">
        <v>382</v>
      </c>
      <c r="V6" t="s">
        <v>207</v>
      </c>
      <c r="X6" t="s">
        <v>207</v>
      </c>
      <c r="Y6" t="s">
        <v>146</v>
      </c>
      <c r="Z6" t="s">
        <v>206</v>
      </c>
      <c r="AB6" t="s">
        <v>503</v>
      </c>
      <c r="AC6" t="s">
        <v>146</v>
      </c>
      <c r="AD6" t="s">
        <v>181</v>
      </c>
      <c r="AF6" t="s">
        <v>181</v>
      </c>
      <c r="AG6" t="s">
        <v>156</v>
      </c>
      <c r="AH6" t="s">
        <v>503</v>
      </c>
    </row>
    <row r="7" spans="1:42" x14ac:dyDescent="0.3">
      <c r="A7" s="8" t="s">
        <v>31</v>
      </c>
      <c r="B7" t="s">
        <v>194</v>
      </c>
      <c r="C7" s="4">
        <f t="shared" si="0"/>
        <v>12</v>
      </c>
      <c r="D7">
        <v>10</v>
      </c>
      <c r="E7">
        <v>3</v>
      </c>
      <c r="F7">
        <v>3</v>
      </c>
      <c r="G7">
        <f t="shared" si="1"/>
        <v>4</v>
      </c>
      <c r="H7">
        <v>8</v>
      </c>
      <c r="I7">
        <v>11</v>
      </c>
      <c r="J7">
        <f t="shared" si="2"/>
        <v>-3</v>
      </c>
      <c r="AJ7" t="s">
        <v>551</v>
      </c>
    </row>
    <row r="8" spans="1:42" x14ac:dyDescent="0.3">
      <c r="A8" s="8" t="s">
        <v>32</v>
      </c>
      <c r="B8" t="s">
        <v>487</v>
      </c>
      <c r="C8" s="4">
        <f t="shared" si="0"/>
        <v>9</v>
      </c>
      <c r="D8">
        <v>10</v>
      </c>
      <c r="E8">
        <v>1</v>
      </c>
      <c r="F8">
        <v>6</v>
      </c>
      <c r="G8">
        <f t="shared" si="1"/>
        <v>3</v>
      </c>
      <c r="H8">
        <v>11</v>
      </c>
      <c r="I8">
        <v>14</v>
      </c>
      <c r="J8">
        <f t="shared" si="2"/>
        <v>-3</v>
      </c>
      <c r="L8" t="str">
        <f>B5</f>
        <v>Manauara</v>
      </c>
      <c r="M8" t="s">
        <v>383</v>
      </c>
      <c r="N8" t="str">
        <f>B13</f>
        <v>GAS</v>
      </c>
      <c r="P8" t="str">
        <f>B13</f>
        <v>GAS</v>
      </c>
      <c r="Q8" t="s">
        <v>152</v>
      </c>
      <c r="R8" t="str">
        <f>B5</f>
        <v>Manauara</v>
      </c>
      <c r="T8" t="s">
        <v>501</v>
      </c>
      <c r="U8" t="s">
        <v>109</v>
      </c>
      <c r="V8" t="s">
        <v>503</v>
      </c>
      <c r="X8" t="s">
        <v>503</v>
      </c>
      <c r="Y8" t="s">
        <v>178</v>
      </c>
      <c r="Z8" t="s">
        <v>501</v>
      </c>
      <c r="AB8" t="s">
        <v>139</v>
      </c>
      <c r="AC8" t="s">
        <v>382</v>
      </c>
      <c r="AD8" t="s">
        <v>212</v>
      </c>
      <c r="AF8" t="s">
        <v>212</v>
      </c>
      <c r="AG8" t="s">
        <v>146</v>
      </c>
      <c r="AH8" t="s">
        <v>139</v>
      </c>
      <c r="AJ8" t="s">
        <v>517</v>
      </c>
      <c r="AK8" t="s">
        <v>152</v>
      </c>
      <c r="AL8" t="s">
        <v>181</v>
      </c>
      <c r="AN8" t="s">
        <v>181</v>
      </c>
      <c r="AO8" t="s">
        <v>109</v>
      </c>
      <c r="AP8" t="s">
        <v>517</v>
      </c>
    </row>
    <row r="9" spans="1:42" x14ac:dyDescent="0.3">
      <c r="L9" t="str">
        <f>B33</f>
        <v>Altos</v>
      </c>
      <c r="M9" t="s">
        <v>241</v>
      </c>
      <c r="N9" t="str">
        <f>B21</f>
        <v>Sampaio Corrêa-MA</v>
      </c>
      <c r="P9" t="str">
        <f>B21</f>
        <v>Sampaio Corrêa-MA</v>
      </c>
      <c r="Q9" t="s">
        <v>178</v>
      </c>
      <c r="R9" t="str">
        <f>B33</f>
        <v>Altos</v>
      </c>
      <c r="T9" t="s">
        <v>186</v>
      </c>
      <c r="U9" t="s">
        <v>109</v>
      </c>
      <c r="V9" t="s">
        <v>181</v>
      </c>
      <c r="X9" t="s">
        <v>181</v>
      </c>
      <c r="Y9" t="s">
        <v>281</v>
      </c>
      <c r="Z9" t="s">
        <v>186</v>
      </c>
      <c r="AJ9" t="s">
        <v>514</v>
      </c>
      <c r="AK9" t="s">
        <v>382</v>
      </c>
      <c r="AL9" t="s">
        <v>131</v>
      </c>
      <c r="AN9" t="s">
        <v>131</v>
      </c>
      <c r="AO9" t="s">
        <v>545</v>
      </c>
      <c r="AP9" t="s">
        <v>514</v>
      </c>
    </row>
    <row r="10" spans="1:42" x14ac:dyDescent="0.3">
      <c r="A10" t="s">
        <v>106</v>
      </c>
      <c r="AB10" t="s">
        <v>517</v>
      </c>
      <c r="AC10" t="s">
        <v>248</v>
      </c>
      <c r="AD10" t="s">
        <v>224</v>
      </c>
      <c r="AF10" t="s">
        <v>224</v>
      </c>
      <c r="AG10" t="s">
        <v>156</v>
      </c>
      <c r="AH10" t="s">
        <v>517</v>
      </c>
    </row>
    <row r="11" spans="1:42" x14ac:dyDescent="0.3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L11" t="str">
        <f>B6</f>
        <v>Independência</v>
      </c>
      <c r="M11" t="s">
        <v>277</v>
      </c>
      <c r="N11" t="str">
        <f>B12</f>
        <v>Trem</v>
      </c>
      <c r="P11" t="str">
        <f>B12</f>
        <v>Trem</v>
      </c>
      <c r="Q11" t="s">
        <v>538</v>
      </c>
      <c r="R11" t="str">
        <f>B6</f>
        <v>Independência</v>
      </c>
      <c r="T11" t="s">
        <v>212</v>
      </c>
      <c r="U11" t="s">
        <v>241</v>
      </c>
      <c r="V11" t="s">
        <v>183</v>
      </c>
      <c r="X11" t="s">
        <v>183</v>
      </c>
      <c r="Y11" t="s">
        <v>546</v>
      </c>
      <c r="Z11" t="s">
        <v>212</v>
      </c>
      <c r="AJ11" t="s">
        <v>475</v>
      </c>
    </row>
    <row r="12" spans="1:42" x14ac:dyDescent="0.3">
      <c r="A12" s="9" t="s">
        <v>26</v>
      </c>
      <c r="B12" t="s">
        <v>209</v>
      </c>
      <c r="C12" s="4">
        <f t="shared" ref="C12:C17" si="3">E12*3+F12</f>
        <v>16</v>
      </c>
      <c r="D12">
        <v>10</v>
      </c>
      <c r="E12">
        <v>5</v>
      </c>
      <c r="F12">
        <v>1</v>
      </c>
      <c r="G12">
        <f t="shared" ref="G12:G17" si="4">D12-E12-F12</f>
        <v>4</v>
      </c>
      <c r="H12">
        <v>15</v>
      </c>
      <c r="I12">
        <v>13</v>
      </c>
      <c r="J12">
        <f t="shared" ref="J12:J17" si="5">H12-I12</f>
        <v>2</v>
      </c>
      <c r="L12" t="str">
        <f>B32</f>
        <v>Parnahyba</v>
      </c>
      <c r="M12" t="s">
        <v>471</v>
      </c>
      <c r="N12" t="str">
        <f>B22</f>
        <v>Águia de Marabá</v>
      </c>
      <c r="P12" t="str">
        <f>B22</f>
        <v>Águia de Marabá</v>
      </c>
      <c r="Q12" t="s">
        <v>2</v>
      </c>
      <c r="R12" t="str">
        <f>B32</f>
        <v>Parnahyba</v>
      </c>
      <c r="T12" t="s">
        <v>139</v>
      </c>
      <c r="U12" t="s">
        <v>540</v>
      </c>
      <c r="V12" t="s">
        <v>504</v>
      </c>
      <c r="X12" t="s">
        <v>504</v>
      </c>
      <c r="Y12" t="s">
        <v>383</v>
      </c>
      <c r="Z12" t="s">
        <v>139</v>
      </c>
      <c r="AB12" t="s">
        <v>516</v>
      </c>
      <c r="AC12" t="s">
        <v>109</v>
      </c>
      <c r="AD12" t="s">
        <v>226</v>
      </c>
      <c r="AF12" t="s">
        <v>226</v>
      </c>
      <c r="AG12" t="s">
        <v>146</v>
      </c>
      <c r="AH12" t="s">
        <v>516</v>
      </c>
      <c r="AJ12" t="s">
        <v>535</v>
      </c>
      <c r="AK12" t="s">
        <v>382</v>
      </c>
      <c r="AL12" t="s">
        <v>207</v>
      </c>
      <c r="AN12" t="s">
        <v>207</v>
      </c>
      <c r="AO12" t="s">
        <v>241</v>
      </c>
      <c r="AP12" t="s">
        <v>535</v>
      </c>
    </row>
    <row r="13" spans="1:42" x14ac:dyDescent="0.3">
      <c r="A13" s="9" t="s">
        <v>27</v>
      </c>
      <c r="B13" t="s">
        <v>193</v>
      </c>
      <c r="C13" s="4">
        <f t="shared" si="3"/>
        <v>15</v>
      </c>
      <c r="D13">
        <v>10</v>
      </c>
      <c r="E13">
        <v>5</v>
      </c>
      <c r="F13">
        <v>0</v>
      </c>
      <c r="G13">
        <f t="shared" si="4"/>
        <v>5</v>
      </c>
      <c r="H13">
        <v>13</v>
      </c>
      <c r="I13">
        <v>11</v>
      </c>
      <c r="J13">
        <f t="shared" si="5"/>
        <v>2</v>
      </c>
      <c r="AJ13" t="s">
        <v>212</v>
      </c>
      <c r="AK13" t="s">
        <v>383</v>
      </c>
      <c r="AL13" t="s">
        <v>226</v>
      </c>
      <c r="AN13" t="s">
        <v>226</v>
      </c>
      <c r="AO13" t="s">
        <v>178</v>
      </c>
      <c r="AP13" t="s">
        <v>212</v>
      </c>
    </row>
    <row r="14" spans="1:42" x14ac:dyDescent="0.3">
      <c r="A14" s="9" t="s">
        <v>28</v>
      </c>
      <c r="B14" t="s">
        <v>488</v>
      </c>
      <c r="C14" s="4">
        <f t="shared" si="3"/>
        <v>14</v>
      </c>
      <c r="D14">
        <v>10</v>
      </c>
      <c r="E14">
        <v>4</v>
      </c>
      <c r="F14">
        <v>2</v>
      </c>
      <c r="G14">
        <f t="shared" si="4"/>
        <v>4</v>
      </c>
      <c r="H14">
        <v>10</v>
      </c>
      <c r="I14">
        <v>11</v>
      </c>
      <c r="J14">
        <f t="shared" si="5"/>
        <v>-1</v>
      </c>
      <c r="L14" t="str">
        <f>B51</f>
        <v>Decisão</v>
      </c>
      <c r="M14" t="s">
        <v>477</v>
      </c>
      <c r="N14" t="str">
        <f>B39</f>
        <v>Ferroviário</v>
      </c>
      <c r="P14" t="str">
        <f>B39</f>
        <v>Ferroviário</v>
      </c>
      <c r="Q14" t="s">
        <v>178</v>
      </c>
      <c r="R14" t="str">
        <f>B51</f>
        <v>Decisão</v>
      </c>
      <c r="T14" t="s">
        <v>517</v>
      </c>
      <c r="U14" t="s">
        <v>178</v>
      </c>
      <c r="V14" t="s">
        <v>120</v>
      </c>
      <c r="X14" t="s">
        <v>120</v>
      </c>
      <c r="Y14" t="s">
        <v>383</v>
      </c>
      <c r="Z14" t="s">
        <v>517</v>
      </c>
      <c r="AB14" t="s">
        <v>514</v>
      </c>
      <c r="AC14" t="s">
        <v>248</v>
      </c>
      <c r="AD14" t="s">
        <v>513</v>
      </c>
      <c r="AF14" t="s">
        <v>513</v>
      </c>
      <c r="AG14" t="s">
        <v>156</v>
      </c>
      <c r="AH14" t="s">
        <v>514</v>
      </c>
    </row>
    <row r="15" spans="1:42" x14ac:dyDescent="0.3">
      <c r="A15" s="9" t="s">
        <v>29</v>
      </c>
      <c r="B15" t="s">
        <v>122</v>
      </c>
      <c r="C15" s="4">
        <f t="shared" si="3"/>
        <v>14</v>
      </c>
      <c r="D15">
        <v>10</v>
      </c>
      <c r="E15">
        <v>3</v>
      </c>
      <c r="F15">
        <v>5</v>
      </c>
      <c r="G15">
        <f t="shared" si="4"/>
        <v>2</v>
      </c>
      <c r="H15">
        <v>11</v>
      </c>
      <c r="I15">
        <v>10</v>
      </c>
      <c r="J15">
        <f t="shared" si="5"/>
        <v>1</v>
      </c>
      <c r="L15" t="str">
        <f>B59</f>
        <v>CSE</v>
      </c>
      <c r="M15" t="s">
        <v>281</v>
      </c>
      <c r="N15" t="str">
        <f>B67</f>
        <v>Democrata GV</v>
      </c>
      <c r="P15" t="str">
        <f>B67</f>
        <v>Democrata GV</v>
      </c>
      <c r="Q15" t="s">
        <v>178</v>
      </c>
      <c r="R15" t="str">
        <f>B59</f>
        <v>CSE</v>
      </c>
      <c r="T15" t="s">
        <v>524</v>
      </c>
      <c r="U15" t="s">
        <v>471</v>
      </c>
      <c r="V15" t="s">
        <v>224</v>
      </c>
      <c r="X15" t="s">
        <v>224</v>
      </c>
      <c r="Y15" t="s">
        <v>243</v>
      </c>
      <c r="Z15" t="s">
        <v>524</v>
      </c>
      <c r="AJ15" t="s">
        <v>107</v>
      </c>
    </row>
    <row r="16" spans="1:42" x14ac:dyDescent="0.3">
      <c r="A16" s="8" t="s">
        <v>31</v>
      </c>
      <c r="B16" t="s">
        <v>217</v>
      </c>
      <c r="C16" s="4">
        <f t="shared" si="3"/>
        <v>12</v>
      </c>
      <c r="D16">
        <v>10</v>
      </c>
      <c r="E16">
        <v>3</v>
      </c>
      <c r="F16">
        <v>3</v>
      </c>
      <c r="G16">
        <f t="shared" si="4"/>
        <v>4</v>
      </c>
      <c r="H16">
        <v>13</v>
      </c>
      <c r="I16">
        <v>13</v>
      </c>
      <c r="J16">
        <f t="shared" si="5"/>
        <v>0</v>
      </c>
      <c r="AB16" t="s">
        <v>135</v>
      </c>
      <c r="AC16" s="8" t="s">
        <v>152</v>
      </c>
      <c r="AD16" t="s">
        <v>535</v>
      </c>
      <c r="AF16" t="s">
        <v>535</v>
      </c>
      <c r="AG16" t="s">
        <v>156</v>
      </c>
      <c r="AH16" t="s">
        <v>135</v>
      </c>
      <c r="AJ16" t="s">
        <v>535</v>
      </c>
      <c r="AK16" t="s">
        <v>178</v>
      </c>
      <c r="AL16" t="s">
        <v>226</v>
      </c>
      <c r="AN16" t="s">
        <v>226</v>
      </c>
      <c r="AO16" t="s">
        <v>552</v>
      </c>
      <c r="AP16" t="s">
        <v>535</v>
      </c>
    </row>
    <row r="17" spans="1:29" x14ac:dyDescent="0.3">
      <c r="A17" s="8" t="s">
        <v>32</v>
      </c>
      <c r="B17" t="s">
        <v>192</v>
      </c>
      <c r="C17" s="4">
        <f t="shared" si="3"/>
        <v>12</v>
      </c>
      <c r="D17">
        <v>10</v>
      </c>
      <c r="E17">
        <v>3</v>
      </c>
      <c r="F17">
        <v>3</v>
      </c>
      <c r="G17">
        <f t="shared" si="4"/>
        <v>4</v>
      </c>
      <c r="H17">
        <v>9</v>
      </c>
      <c r="I17">
        <v>13</v>
      </c>
      <c r="J17">
        <f t="shared" si="5"/>
        <v>-4</v>
      </c>
      <c r="L17" t="str">
        <f>B50</f>
        <v>Sousa</v>
      </c>
      <c r="M17" t="s">
        <v>383</v>
      </c>
      <c r="N17" t="str">
        <f>B40</f>
        <v>ABC</v>
      </c>
      <c r="P17" t="str">
        <f>B40</f>
        <v>ABC</v>
      </c>
      <c r="Q17" t="s">
        <v>248</v>
      </c>
      <c r="R17" t="str">
        <f>B50</f>
        <v>Sousa</v>
      </c>
      <c r="T17" t="s">
        <v>527</v>
      </c>
      <c r="U17" t="s">
        <v>178</v>
      </c>
      <c r="V17" t="s">
        <v>516</v>
      </c>
      <c r="X17" t="s">
        <v>516</v>
      </c>
      <c r="Y17" t="s">
        <v>547</v>
      </c>
      <c r="Z17" t="s">
        <v>527</v>
      </c>
    </row>
    <row r="18" spans="1:29" x14ac:dyDescent="0.3">
      <c r="L18" t="str">
        <f>B60</f>
        <v>CSA</v>
      </c>
      <c r="M18" t="s">
        <v>146</v>
      </c>
      <c r="N18" t="str">
        <f>B66</f>
        <v>Atlético-BA</v>
      </c>
      <c r="P18" t="str">
        <f>B66</f>
        <v>Atlético-BA</v>
      </c>
      <c r="Q18" t="s">
        <v>152</v>
      </c>
      <c r="R18" t="str">
        <f>B60</f>
        <v>CSA</v>
      </c>
      <c r="T18" t="s">
        <v>204</v>
      </c>
      <c r="U18" t="s">
        <v>241</v>
      </c>
      <c r="V18" t="s">
        <v>226</v>
      </c>
      <c r="X18" t="s">
        <v>226</v>
      </c>
      <c r="Y18" t="s">
        <v>178</v>
      </c>
      <c r="Z18" t="s">
        <v>204</v>
      </c>
      <c r="AB18" t="s">
        <v>553</v>
      </c>
    </row>
    <row r="19" spans="1:29" x14ac:dyDescent="0.3">
      <c r="A19" t="s">
        <v>489</v>
      </c>
      <c r="AB19" s="1" t="s">
        <v>26</v>
      </c>
      <c r="AC19" t="s">
        <v>226</v>
      </c>
    </row>
    <row r="20" spans="1:29" x14ac:dyDescent="0.3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L20" t="str">
        <f>B41</f>
        <v>América-RN</v>
      </c>
      <c r="M20" t="s">
        <v>382</v>
      </c>
      <c r="N20" t="str">
        <f>B49</f>
        <v>Retrô</v>
      </c>
      <c r="P20" t="str">
        <f>B49</f>
        <v>Retrô</v>
      </c>
      <c r="Q20" t="s">
        <v>178</v>
      </c>
      <c r="R20" t="str">
        <f>B41</f>
        <v>América-RN</v>
      </c>
      <c r="T20" t="s">
        <v>530</v>
      </c>
      <c r="U20" t="s">
        <v>383</v>
      </c>
      <c r="V20" t="s">
        <v>513</v>
      </c>
      <c r="X20" t="s">
        <v>513</v>
      </c>
      <c r="Y20" t="s">
        <v>178</v>
      </c>
      <c r="Z20" t="s">
        <v>530</v>
      </c>
      <c r="AB20" s="1" t="s">
        <v>27</v>
      </c>
      <c r="AC20" t="s">
        <v>535</v>
      </c>
    </row>
    <row r="21" spans="1:29" x14ac:dyDescent="0.3">
      <c r="A21" s="9" t="s">
        <v>26</v>
      </c>
      <c r="B21" t="s">
        <v>490</v>
      </c>
      <c r="C21" s="4">
        <f t="shared" ref="C21:C26" si="6">E21*3+F21</f>
        <v>20</v>
      </c>
      <c r="D21">
        <v>10</v>
      </c>
      <c r="E21">
        <v>6</v>
      </c>
      <c r="F21">
        <v>2</v>
      </c>
      <c r="G21">
        <f t="shared" ref="G21:G26" si="7">D21-E21-F21</f>
        <v>2</v>
      </c>
      <c r="H21">
        <v>13</v>
      </c>
      <c r="I21">
        <v>4</v>
      </c>
      <c r="J21">
        <f t="shared" ref="J21:J26" si="8">H21-I21</f>
        <v>9</v>
      </c>
      <c r="L21" t="str">
        <f>B69</f>
        <v>Juazeirense</v>
      </c>
      <c r="M21" t="s">
        <v>248</v>
      </c>
      <c r="N21" t="str">
        <f>B57</f>
        <v>ASA</v>
      </c>
      <c r="P21" t="str">
        <f>B57</f>
        <v>ASA</v>
      </c>
      <c r="Q21" t="s">
        <v>383</v>
      </c>
      <c r="R21" t="str">
        <f>B69</f>
        <v>Juazeirense</v>
      </c>
      <c r="T21" t="s">
        <v>216</v>
      </c>
      <c r="U21" t="s">
        <v>146</v>
      </c>
      <c r="V21" t="s">
        <v>514</v>
      </c>
      <c r="X21" t="s">
        <v>514</v>
      </c>
      <c r="Y21" t="s">
        <v>156</v>
      </c>
      <c r="Z21" t="s">
        <v>216</v>
      </c>
      <c r="AB21" s="1" t="s">
        <v>28</v>
      </c>
      <c r="AC21" t="s">
        <v>207</v>
      </c>
    </row>
    <row r="22" spans="1:29" x14ac:dyDescent="0.3">
      <c r="A22" s="9" t="s">
        <v>27</v>
      </c>
      <c r="B22" t="s">
        <v>207</v>
      </c>
      <c r="C22" s="4">
        <f t="shared" si="6"/>
        <v>20</v>
      </c>
      <c r="D22">
        <v>10</v>
      </c>
      <c r="E22">
        <v>6</v>
      </c>
      <c r="F22">
        <v>2</v>
      </c>
      <c r="G22">
        <f t="shared" si="7"/>
        <v>2</v>
      </c>
      <c r="H22">
        <v>12</v>
      </c>
      <c r="I22">
        <v>9</v>
      </c>
      <c r="J22">
        <f t="shared" si="8"/>
        <v>3</v>
      </c>
      <c r="AB22" s="1" t="s">
        <v>29</v>
      </c>
      <c r="AC22" t="s">
        <v>212</v>
      </c>
    </row>
    <row r="23" spans="1:29" x14ac:dyDescent="0.3">
      <c r="A23" s="9" t="s">
        <v>28</v>
      </c>
      <c r="B23" t="s">
        <v>136</v>
      </c>
      <c r="C23" s="4">
        <f t="shared" si="6"/>
        <v>15</v>
      </c>
      <c r="D23">
        <v>10</v>
      </c>
      <c r="E23">
        <v>4</v>
      </c>
      <c r="F23">
        <v>3</v>
      </c>
      <c r="G23">
        <f t="shared" si="7"/>
        <v>3</v>
      </c>
      <c r="H23">
        <v>12</v>
      </c>
      <c r="I23">
        <v>11</v>
      </c>
      <c r="J23">
        <f t="shared" si="8"/>
        <v>1</v>
      </c>
      <c r="L23" t="str">
        <f>B42</f>
        <v>Laguna</v>
      </c>
      <c r="M23" t="s">
        <v>383</v>
      </c>
      <c r="N23" t="str">
        <f>B48</f>
        <v>Serra Branca</v>
      </c>
      <c r="P23" t="str">
        <f>B48</f>
        <v>Serra Branca</v>
      </c>
      <c r="Q23" t="s">
        <v>376</v>
      </c>
      <c r="R23" t="str">
        <f>B42</f>
        <v>Laguna</v>
      </c>
      <c r="T23" t="s">
        <v>135</v>
      </c>
      <c r="U23" t="s">
        <v>156</v>
      </c>
      <c r="V23" t="s">
        <v>534</v>
      </c>
      <c r="X23" t="s">
        <v>534</v>
      </c>
      <c r="Y23" t="s">
        <v>382</v>
      </c>
      <c r="Z23" t="s">
        <v>135</v>
      </c>
      <c r="AB23" s="1" t="s">
        <v>31</v>
      </c>
      <c r="AC23" t="s">
        <v>131</v>
      </c>
    </row>
    <row r="24" spans="1:29" x14ac:dyDescent="0.3">
      <c r="A24" s="9" t="s">
        <v>29</v>
      </c>
      <c r="B24" t="s">
        <v>491</v>
      </c>
      <c r="C24" s="4">
        <f t="shared" si="6"/>
        <v>11</v>
      </c>
      <c r="D24">
        <v>10</v>
      </c>
      <c r="E24">
        <v>3</v>
      </c>
      <c r="F24">
        <v>2</v>
      </c>
      <c r="G24">
        <f t="shared" si="7"/>
        <v>5</v>
      </c>
      <c r="H24">
        <v>8</v>
      </c>
      <c r="I24">
        <v>10</v>
      </c>
      <c r="J24">
        <f t="shared" si="8"/>
        <v>-2</v>
      </c>
      <c r="L24" t="str">
        <f>B68</f>
        <v>Jacuipense</v>
      </c>
      <c r="M24" t="s">
        <v>152</v>
      </c>
      <c r="N24" t="str">
        <f>B58</f>
        <v>Sergipe</v>
      </c>
      <c r="P24" t="str">
        <f>B58</f>
        <v>Sergipe</v>
      </c>
      <c r="Q24" t="s">
        <v>471</v>
      </c>
      <c r="R24" t="str">
        <f>B68</f>
        <v>Jacuipense</v>
      </c>
      <c r="T24" t="s">
        <v>535</v>
      </c>
      <c r="U24" t="s">
        <v>146</v>
      </c>
      <c r="V24" t="s">
        <v>214</v>
      </c>
      <c r="X24" t="s">
        <v>214</v>
      </c>
      <c r="Y24" t="s">
        <v>383</v>
      </c>
      <c r="Z24" t="s">
        <v>535</v>
      </c>
      <c r="AB24" s="1" t="s">
        <v>32</v>
      </c>
      <c r="AC24" t="s">
        <v>517</v>
      </c>
    </row>
    <row r="25" spans="1:29" x14ac:dyDescent="0.3">
      <c r="A25" s="8" t="s">
        <v>31</v>
      </c>
      <c r="B25" t="s">
        <v>223</v>
      </c>
      <c r="C25" s="4">
        <f t="shared" si="6"/>
        <v>9</v>
      </c>
      <c r="D25">
        <v>10</v>
      </c>
      <c r="E25">
        <v>3</v>
      </c>
      <c r="F25">
        <v>0</v>
      </c>
      <c r="G25">
        <f t="shared" si="7"/>
        <v>7</v>
      </c>
      <c r="H25">
        <v>9</v>
      </c>
      <c r="I25">
        <v>15</v>
      </c>
      <c r="J25">
        <f t="shared" si="8"/>
        <v>-6</v>
      </c>
      <c r="AB25" t="s">
        <v>33</v>
      </c>
      <c r="AC25" t="s">
        <v>181</v>
      </c>
    </row>
    <row r="26" spans="1:29" x14ac:dyDescent="0.3">
      <c r="A26" s="8" t="s">
        <v>32</v>
      </c>
      <c r="B26" t="s">
        <v>188</v>
      </c>
      <c r="C26" s="4">
        <f t="shared" si="6"/>
        <v>9</v>
      </c>
      <c r="D26">
        <v>10</v>
      </c>
      <c r="E26">
        <v>2</v>
      </c>
      <c r="F26">
        <v>3</v>
      </c>
      <c r="G26">
        <f t="shared" si="7"/>
        <v>5</v>
      </c>
      <c r="H26">
        <v>5</v>
      </c>
      <c r="I26">
        <v>10</v>
      </c>
      <c r="J26">
        <f t="shared" si="8"/>
        <v>-5</v>
      </c>
      <c r="L26" t="str">
        <f>B87</f>
        <v>Aparecidense</v>
      </c>
      <c r="M26" t="s">
        <v>156</v>
      </c>
      <c r="N26" t="str">
        <f>B75</f>
        <v>Luverdense</v>
      </c>
      <c r="P26" t="str">
        <f>B75</f>
        <v>Luverdense</v>
      </c>
      <c r="Q26" t="s">
        <v>539</v>
      </c>
      <c r="R26" t="str">
        <f>B87</f>
        <v>Aparecidense</v>
      </c>
      <c r="AB26" t="s">
        <v>34</v>
      </c>
      <c r="AC26" t="s">
        <v>514</v>
      </c>
    </row>
    <row r="27" spans="1:29" x14ac:dyDescent="0.3">
      <c r="L27" t="str">
        <f>B95</f>
        <v>Madureira</v>
      </c>
      <c r="M27" t="s">
        <v>540</v>
      </c>
      <c r="N27" t="str">
        <f>B103</f>
        <v>XV de Piracicaba</v>
      </c>
      <c r="P27" t="str">
        <f>B103</f>
        <v>XV de Piracicaba</v>
      </c>
      <c r="Q27" t="s">
        <v>471</v>
      </c>
      <c r="R27" t="str">
        <f>B95</f>
        <v>Madureira</v>
      </c>
      <c r="AB27" t="s">
        <v>35</v>
      </c>
      <c r="AC27" t="s">
        <v>513</v>
      </c>
    </row>
    <row r="28" spans="1:29" x14ac:dyDescent="0.3">
      <c r="A28" t="s">
        <v>492</v>
      </c>
      <c r="AB28" t="s">
        <v>36</v>
      </c>
      <c r="AC28" t="s">
        <v>490</v>
      </c>
    </row>
    <row r="29" spans="1:29" x14ac:dyDescent="0.3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L29" t="str">
        <f>B86</f>
        <v>Capital-DF</v>
      </c>
      <c r="M29" t="s">
        <v>471</v>
      </c>
      <c r="N29" t="str">
        <f>B76</f>
        <v>Araguaína</v>
      </c>
      <c r="P29" t="str">
        <f>B76</f>
        <v>Araguaína</v>
      </c>
      <c r="Q29" t="s">
        <v>109</v>
      </c>
      <c r="R29" t="str">
        <f>B86</f>
        <v>Capital-DF</v>
      </c>
      <c r="AB29" t="s">
        <v>37</v>
      </c>
      <c r="AC29" t="s">
        <v>503</v>
      </c>
    </row>
    <row r="30" spans="1:29" x14ac:dyDescent="0.3">
      <c r="A30" s="9" t="s">
        <v>26</v>
      </c>
      <c r="B30" t="s">
        <v>494</v>
      </c>
      <c r="C30" s="4">
        <f t="shared" ref="C30:C35" si="9">E30*3+F30</f>
        <v>17</v>
      </c>
      <c r="D30">
        <v>10</v>
      </c>
      <c r="E30">
        <v>5</v>
      </c>
      <c r="F30">
        <v>2</v>
      </c>
      <c r="G30">
        <f t="shared" ref="G30:G35" si="10">D30-E30-F30</f>
        <v>3</v>
      </c>
      <c r="H30">
        <v>14</v>
      </c>
      <c r="I30">
        <v>10</v>
      </c>
      <c r="J30">
        <f t="shared" ref="J30:J35" si="11">H30-I30</f>
        <v>4</v>
      </c>
      <c r="L30" t="str">
        <f>B96</f>
        <v>Vitória-ES</v>
      </c>
      <c r="M30" t="s">
        <v>156</v>
      </c>
      <c r="N30" t="str">
        <f>B102</f>
        <v>Nova Iguaçu</v>
      </c>
      <c r="P30" t="str">
        <f>B102</f>
        <v>Nova Iguaçu</v>
      </c>
      <c r="Q30" t="s">
        <v>382</v>
      </c>
      <c r="R30" t="str">
        <f>B96</f>
        <v>Vitória-ES</v>
      </c>
      <c r="AB30" t="s">
        <v>38</v>
      </c>
      <c r="AC30" t="s">
        <v>488</v>
      </c>
    </row>
    <row r="31" spans="1:29" x14ac:dyDescent="0.3">
      <c r="A31" s="9" t="s">
        <v>27</v>
      </c>
      <c r="B31" t="s">
        <v>131</v>
      </c>
      <c r="C31" s="4">
        <f t="shared" si="9"/>
        <v>16</v>
      </c>
      <c r="D31">
        <v>10</v>
      </c>
      <c r="E31">
        <v>5</v>
      </c>
      <c r="F31">
        <v>1</v>
      </c>
      <c r="G31">
        <f t="shared" si="10"/>
        <v>4</v>
      </c>
      <c r="H31">
        <v>8</v>
      </c>
      <c r="I31">
        <v>6</v>
      </c>
      <c r="J31">
        <f t="shared" si="11"/>
        <v>2</v>
      </c>
      <c r="AB31" t="s">
        <v>39</v>
      </c>
      <c r="AC31" t="s">
        <v>224</v>
      </c>
    </row>
    <row r="32" spans="1:29" x14ac:dyDescent="0.3">
      <c r="A32" s="9" t="s">
        <v>28</v>
      </c>
      <c r="B32" t="s">
        <v>493</v>
      </c>
      <c r="C32" s="4">
        <f t="shared" si="9"/>
        <v>16</v>
      </c>
      <c r="D32">
        <v>10</v>
      </c>
      <c r="E32">
        <v>5</v>
      </c>
      <c r="F32">
        <v>1</v>
      </c>
      <c r="G32">
        <f t="shared" si="10"/>
        <v>4</v>
      </c>
      <c r="H32">
        <v>8</v>
      </c>
      <c r="I32">
        <v>6</v>
      </c>
      <c r="J32">
        <f t="shared" si="11"/>
        <v>2</v>
      </c>
      <c r="L32" t="str">
        <f>B77</f>
        <v>Porto Velho</v>
      </c>
      <c r="M32" t="s">
        <v>241</v>
      </c>
      <c r="N32" t="str">
        <f>B85</f>
        <v>Inhumas</v>
      </c>
      <c r="P32" t="str">
        <f>B85</f>
        <v>Inhumas</v>
      </c>
      <c r="Q32" t="s">
        <v>383</v>
      </c>
      <c r="R32" t="str">
        <f>B77</f>
        <v>Porto Velho</v>
      </c>
      <c r="AB32" t="s">
        <v>40</v>
      </c>
      <c r="AC32" t="s">
        <v>516</v>
      </c>
    </row>
    <row r="33" spans="1:29" x14ac:dyDescent="0.3">
      <c r="A33" s="9" t="s">
        <v>29</v>
      </c>
      <c r="B33" t="s">
        <v>203</v>
      </c>
      <c r="C33" s="4">
        <f t="shared" si="9"/>
        <v>14</v>
      </c>
      <c r="D33">
        <v>10</v>
      </c>
      <c r="E33">
        <v>4</v>
      </c>
      <c r="F33">
        <v>2</v>
      </c>
      <c r="G33">
        <f t="shared" si="10"/>
        <v>4</v>
      </c>
      <c r="H33">
        <v>12</v>
      </c>
      <c r="I33">
        <v>15</v>
      </c>
      <c r="J33">
        <f t="shared" si="11"/>
        <v>-3</v>
      </c>
      <c r="L33" t="str">
        <f>B105</f>
        <v>Água Santa</v>
      </c>
      <c r="M33" t="s">
        <v>178</v>
      </c>
      <c r="N33" t="str">
        <f>B93</f>
        <v>Rio Branco-ES</v>
      </c>
      <c r="P33" t="str">
        <f>B93</f>
        <v>Rio Branco-ES</v>
      </c>
      <c r="Q33" t="s">
        <v>537</v>
      </c>
      <c r="R33" t="str">
        <f>B105</f>
        <v>Água Santa</v>
      </c>
      <c r="AB33" t="s">
        <v>41</v>
      </c>
      <c r="AC33" t="s">
        <v>135</v>
      </c>
    </row>
    <row r="34" spans="1:29" x14ac:dyDescent="0.3">
      <c r="A34" s="8" t="s">
        <v>31</v>
      </c>
      <c r="B34" t="s">
        <v>221</v>
      </c>
      <c r="C34" s="4">
        <f t="shared" si="9"/>
        <v>12</v>
      </c>
      <c r="D34">
        <v>10</v>
      </c>
      <c r="E34">
        <v>4</v>
      </c>
      <c r="F34">
        <v>0</v>
      </c>
      <c r="G34">
        <f t="shared" si="10"/>
        <v>6</v>
      </c>
      <c r="H34">
        <v>10</v>
      </c>
      <c r="I34">
        <v>14</v>
      </c>
      <c r="J34">
        <f t="shared" si="11"/>
        <v>-4</v>
      </c>
      <c r="AB34" t="s">
        <v>42</v>
      </c>
      <c r="AC34" t="s">
        <v>139</v>
      </c>
    </row>
    <row r="35" spans="1:29" x14ac:dyDescent="0.3">
      <c r="A35" s="8" t="s">
        <v>32</v>
      </c>
      <c r="B35" t="s">
        <v>220</v>
      </c>
      <c r="C35" s="4">
        <f t="shared" si="9"/>
        <v>11</v>
      </c>
      <c r="D35">
        <v>10</v>
      </c>
      <c r="E35">
        <v>3</v>
      </c>
      <c r="F35">
        <v>2</v>
      </c>
      <c r="G35">
        <f t="shared" si="10"/>
        <v>5</v>
      </c>
      <c r="H35">
        <v>8</v>
      </c>
      <c r="I35">
        <v>9</v>
      </c>
      <c r="J35">
        <f t="shared" si="11"/>
        <v>-1</v>
      </c>
      <c r="L35" t="str">
        <f>B78</f>
        <v>Mixto</v>
      </c>
      <c r="M35" t="s">
        <v>382</v>
      </c>
      <c r="N35" t="str">
        <f>B84</f>
        <v>Gama</v>
      </c>
      <c r="P35" t="str">
        <f>B84</f>
        <v>Gama</v>
      </c>
      <c r="Q35" t="s">
        <v>109</v>
      </c>
      <c r="R35" t="str">
        <f>B78</f>
        <v>Mixto</v>
      </c>
      <c r="AB35" t="s">
        <v>43</v>
      </c>
      <c r="AC35" t="s">
        <v>494</v>
      </c>
    </row>
    <row r="36" spans="1:29" x14ac:dyDescent="0.3">
      <c r="L36" t="str">
        <f>B104</f>
        <v>Portuguesa-RJ</v>
      </c>
      <c r="M36" t="s">
        <v>541</v>
      </c>
      <c r="N36" t="str">
        <f>B94</f>
        <v>Tombense</v>
      </c>
      <c r="P36" t="str">
        <f>B94</f>
        <v>Tombense</v>
      </c>
      <c r="Q36" t="s">
        <v>376</v>
      </c>
      <c r="R36" t="str">
        <f>B104</f>
        <v>Portuguesa-RJ</v>
      </c>
      <c r="AB36" t="s">
        <v>44</v>
      </c>
      <c r="AC36" t="s">
        <v>185</v>
      </c>
    </row>
    <row r="37" spans="1:29" x14ac:dyDescent="0.3">
      <c r="A37" t="s">
        <v>495</v>
      </c>
      <c r="AB37" t="s">
        <v>45</v>
      </c>
      <c r="AC37" t="s">
        <v>183</v>
      </c>
    </row>
    <row r="38" spans="1:29" x14ac:dyDescent="0.3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L38" t="str">
        <f>B123</f>
        <v>Uberlândia</v>
      </c>
      <c r="M38" t="s">
        <v>241</v>
      </c>
      <c r="N38" t="str">
        <f>B111</f>
        <v>Goiatuba</v>
      </c>
      <c r="P38" t="str">
        <f>B111</f>
        <v>Goiatuba</v>
      </c>
      <c r="Q38" t="s">
        <v>146</v>
      </c>
      <c r="R38" t="str">
        <f>B123</f>
        <v>Uberlândia</v>
      </c>
      <c r="AB38" t="s">
        <v>46</v>
      </c>
      <c r="AC38" t="s">
        <v>504</v>
      </c>
    </row>
    <row r="39" spans="1:29" x14ac:dyDescent="0.3">
      <c r="A39" s="9" t="s">
        <v>26</v>
      </c>
      <c r="B39" t="s">
        <v>496</v>
      </c>
      <c r="C39" s="4">
        <f t="shared" ref="C39:C44" si="12">E39*3+F39</f>
        <v>20</v>
      </c>
      <c r="D39">
        <v>10</v>
      </c>
      <c r="E39">
        <v>6</v>
      </c>
      <c r="F39">
        <v>2</v>
      </c>
      <c r="G39">
        <f t="shared" ref="G39:G44" si="13">D39-E39-F39</f>
        <v>2</v>
      </c>
      <c r="H39">
        <v>14</v>
      </c>
      <c r="I39">
        <v>8</v>
      </c>
      <c r="J39">
        <f t="shared" ref="J39:J44" si="14">H39-I39</f>
        <v>6</v>
      </c>
      <c r="L39" t="str">
        <f>B131</f>
        <v>São Joseense</v>
      </c>
      <c r="M39" t="s">
        <v>156</v>
      </c>
      <c r="N39" t="str">
        <f>B139</f>
        <v>Blumenau</v>
      </c>
      <c r="P39" t="str">
        <f>B139</f>
        <v>Blumenau</v>
      </c>
      <c r="Q39" t="s">
        <v>382</v>
      </c>
      <c r="R39" t="str">
        <f>B131</f>
        <v>São Joseense</v>
      </c>
      <c r="AB39" t="s">
        <v>554</v>
      </c>
      <c r="AC39" t="s">
        <v>530</v>
      </c>
    </row>
    <row r="40" spans="1:29" x14ac:dyDescent="0.3">
      <c r="A40" s="9" t="s">
        <v>27</v>
      </c>
      <c r="B40" t="s">
        <v>181</v>
      </c>
      <c r="C40" s="4">
        <f t="shared" si="12"/>
        <v>16</v>
      </c>
      <c r="D40">
        <v>10</v>
      </c>
      <c r="E40">
        <v>5</v>
      </c>
      <c r="F40">
        <v>1</v>
      </c>
      <c r="G40">
        <f t="shared" si="13"/>
        <v>4</v>
      </c>
      <c r="H40">
        <v>13</v>
      </c>
      <c r="I40">
        <v>13</v>
      </c>
      <c r="J40">
        <f t="shared" si="14"/>
        <v>0</v>
      </c>
      <c r="AB40" t="s">
        <v>555</v>
      </c>
      <c r="AC40" t="s">
        <v>186</v>
      </c>
    </row>
    <row r="41" spans="1:29" x14ac:dyDescent="0.3">
      <c r="A41" s="9" t="s">
        <v>28</v>
      </c>
      <c r="B41" t="s">
        <v>202</v>
      </c>
      <c r="C41" s="4">
        <f t="shared" si="12"/>
        <v>13</v>
      </c>
      <c r="D41">
        <v>10</v>
      </c>
      <c r="E41">
        <v>3</v>
      </c>
      <c r="F41">
        <v>4</v>
      </c>
      <c r="G41">
        <f t="shared" si="13"/>
        <v>3</v>
      </c>
      <c r="H41">
        <v>15</v>
      </c>
      <c r="I41">
        <v>11</v>
      </c>
      <c r="J41">
        <f t="shared" si="14"/>
        <v>4</v>
      </c>
      <c r="L41" t="str">
        <f>B122</f>
        <v>Betim</v>
      </c>
      <c r="M41" t="s">
        <v>382</v>
      </c>
      <c r="N41" t="str">
        <f>B112</f>
        <v>CRAC</v>
      </c>
      <c r="P41" t="str">
        <f>B112</f>
        <v>CRAC</v>
      </c>
      <c r="Q41" t="s">
        <v>542</v>
      </c>
      <c r="R41" t="str">
        <f>B122</f>
        <v>Betim</v>
      </c>
    </row>
    <row r="42" spans="1:29" x14ac:dyDescent="0.3">
      <c r="A42" s="9" t="s">
        <v>29</v>
      </c>
      <c r="B42" t="s">
        <v>139</v>
      </c>
      <c r="C42" s="4">
        <f t="shared" si="12"/>
        <v>12</v>
      </c>
      <c r="D42">
        <v>10</v>
      </c>
      <c r="E42">
        <v>3</v>
      </c>
      <c r="F42">
        <v>3</v>
      </c>
      <c r="G42">
        <f t="shared" si="13"/>
        <v>4</v>
      </c>
      <c r="H42">
        <v>11</v>
      </c>
      <c r="I42">
        <v>13</v>
      </c>
      <c r="J42">
        <f t="shared" si="14"/>
        <v>-2</v>
      </c>
      <c r="L42" t="str">
        <f>B132</f>
        <v>Cianorte</v>
      </c>
      <c r="M42" t="s">
        <v>178</v>
      </c>
      <c r="N42" t="str">
        <f>B138</f>
        <v>São Luiz</v>
      </c>
      <c r="P42" t="str">
        <f>B138</f>
        <v>São Luiz</v>
      </c>
      <c r="Q42" t="s">
        <v>543</v>
      </c>
      <c r="R42" t="str">
        <f>B132</f>
        <v>Cianorte</v>
      </c>
    </row>
    <row r="43" spans="1:29" x14ac:dyDescent="0.3">
      <c r="A43" s="8" t="s">
        <v>31</v>
      </c>
      <c r="B43" t="s">
        <v>133</v>
      </c>
      <c r="C43" s="4">
        <f t="shared" si="12"/>
        <v>12</v>
      </c>
      <c r="D43">
        <v>10</v>
      </c>
      <c r="E43">
        <v>3</v>
      </c>
      <c r="F43">
        <v>3</v>
      </c>
      <c r="G43">
        <f t="shared" si="13"/>
        <v>4</v>
      </c>
      <c r="H43">
        <v>10</v>
      </c>
      <c r="I43">
        <v>12</v>
      </c>
      <c r="J43">
        <f t="shared" si="14"/>
        <v>-2</v>
      </c>
    </row>
    <row r="44" spans="1:29" x14ac:dyDescent="0.3">
      <c r="A44" s="8" t="s">
        <v>32</v>
      </c>
      <c r="B44" t="s">
        <v>497</v>
      </c>
      <c r="C44" s="4">
        <f t="shared" si="12"/>
        <v>10</v>
      </c>
      <c r="D44">
        <v>10</v>
      </c>
      <c r="E44">
        <v>3</v>
      </c>
      <c r="F44">
        <v>1</v>
      </c>
      <c r="G44">
        <f t="shared" si="13"/>
        <v>6</v>
      </c>
      <c r="H44">
        <v>10</v>
      </c>
      <c r="I44">
        <v>16</v>
      </c>
      <c r="J44">
        <f t="shared" si="14"/>
        <v>-6</v>
      </c>
      <c r="L44" t="str">
        <f>B113</f>
        <v>Primavera-MT</v>
      </c>
      <c r="M44" t="s">
        <v>383</v>
      </c>
      <c r="N44" t="str">
        <f>B121</f>
        <v>Pouso Alegre</v>
      </c>
      <c r="P44" t="str">
        <f>B121</f>
        <v>Pouso Alegre</v>
      </c>
      <c r="Q44" t="s">
        <v>156</v>
      </c>
      <c r="R44" t="str">
        <f>B113</f>
        <v>Primavera-MT</v>
      </c>
    </row>
    <row r="45" spans="1:29" x14ac:dyDescent="0.3">
      <c r="L45" t="str">
        <f>B141</f>
        <v>Santa Catarina</v>
      </c>
      <c r="M45" t="s">
        <v>241</v>
      </c>
      <c r="N45" t="str">
        <f>B129</f>
        <v>Joinville</v>
      </c>
      <c r="P45" t="str">
        <f>B129</f>
        <v>Joinville</v>
      </c>
      <c r="Q45" t="s">
        <v>108</v>
      </c>
      <c r="R45" t="str">
        <f>B141</f>
        <v>Santa Catarina</v>
      </c>
    </row>
    <row r="46" spans="1:29" x14ac:dyDescent="0.3">
      <c r="A46" t="s">
        <v>498</v>
      </c>
    </row>
    <row r="47" spans="1:29" x14ac:dyDescent="0.3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L47" t="str">
        <f>B114</f>
        <v>Operário-MS</v>
      </c>
      <c r="M47" t="s">
        <v>383</v>
      </c>
      <c r="N47" t="str">
        <f>B120</f>
        <v>Noroeste</v>
      </c>
      <c r="P47" t="str">
        <f>B120</f>
        <v>Noroeste</v>
      </c>
      <c r="Q47" t="s">
        <v>241</v>
      </c>
      <c r="R47" t="str">
        <f>B114</f>
        <v>Operário-MS</v>
      </c>
    </row>
    <row r="48" spans="1:29" x14ac:dyDescent="0.3">
      <c r="A48" s="9" t="s">
        <v>26</v>
      </c>
      <c r="B48" t="s">
        <v>138</v>
      </c>
      <c r="C48" s="4">
        <f t="shared" ref="C48:C53" si="15">E48*3+F48</f>
        <v>19</v>
      </c>
      <c r="D48">
        <v>10</v>
      </c>
      <c r="E48">
        <v>6</v>
      </c>
      <c r="F48">
        <v>1</v>
      </c>
      <c r="G48">
        <f t="shared" ref="G48:G53" si="16">D48-E48-F48</f>
        <v>3</v>
      </c>
      <c r="H48">
        <v>15</v>
      </c>
      <c r="I48">
        <v>13</v>
      </c>
      <c r="J48">
        <f t="shared" ref="J48:J53" si="17">H48-I48</f>
        <v>2</v>
      </c>
      <c r="L48" t="str">
        <f>B140</f>
        <v>São José-RS</v>
      </c>
      <c r="M48" t="s">
        <v>541</v>
      </c>
      <c r="N48" t="str">
        <f>B130</f>
        <v>Marcílio Dias</v>
      </c>
      <c r="P48" t="str">
        <f>B130</f>
        <v>Marcílio Dias</v>
      </c>
      <c r="Q48" t="s">
        <v>544</v>
      </c>
      <c r="R48" t="str">
        <f>B140</f>
        <v>São José-RS</v>
      </c>
    </row>
    <row r="49" spans="1:10" x14ac:dyDescent="0.3">
      <c r="A49" s="9" t="s">
        <v>27</v>
      </c>
      <c r="B49" t="s">
        <v>183</v>
      </c>
      <c r="C49" s="4">
        <f t="shared" si="15"/>
        <v>16</v>
      </c>
      <c r="D49">
        <v>10</v>
      </c>
      <c r="E49">
        <v>5</v>
      </c>
      <c r="F49">
        <v>1</v>
      </c>
      <c r="G49">
        <f t="shared" si="16"/>
        <v>4</v>
      </c>
      <c r="H49">
        <v>17</v>
      </c>
      <c r="I49">
        <v>14</v>
      </c>
      <c r="J49">
        <f t="shared" si="17"/>
        <v>3</v>
      </c>
    </row>
    <row r="50" spans="1:10" x14ac:dyDescent="0.3">
      <c r="A50" s="9" t="s">
        <v>28</v>
      </c>
      <c r="B50" t="s">
        <v>218</v>
      </c>
      <c r="C50" s="4">
        <f t="shared" si="15"/>
        <v>15</v>
      </c>
      <c r="D50">
        <v>10</v>
      </c>
      <c r="E50">
        <v>4</v>
      </c>
      <c r="F50">
        <v>3</v>
      </c>
      <c r="G50">
        <f t="shared" si="16"/>
        <v>3</v>
      </c>
      <c r="H50">
        <v>14</v>
      </c>
      <c r="I50">
        <v>12</v>
      </c>
      <c r="J50">
        <f t="shared" si="17"/>
        <v>2</v>
      </c>
    </row>
    <row r="51" spans="1:10" x14ac:dyDescent="0.3">
      <c r="A51" s="9" t="s">
        <v>29</v>
      </c>
      <c r="B51" t="s">
        <v>501</v>
      </c>
      <c r="C51" s="4">
        <f t="shared" si="15"/>
        <v>13</v>
      </c>
      <c r="D51">
        <v>10</v>
      </c>
      <c r="E51">
        <v>3</v>
      </c>
      <c r="F51">
        <v>4</v>
      </c>
      <c r="G51">
        <f t="shared" si="16"/>
        <v>3</v>
      </c>
      <c r="H51">
        <v>14</v>
      </c>
      <c r="I51">
        <v>13</v>
      </c>
      <c r="J51">
        <f t="shared" si="17"/>
        <v>1</v>
      </c>
    </row>
    <row r="52" spans="1:10" x14ac:dyDescent="0.3">
      <c r="A52" s="8" t="s">
        <v>31</v>
      </c>
      <c r="B52" t="s">
        <v>500</v>
      </c>
      <c r="C52" s="4">
        <f t="shared" si="15"/>
        <v>12</v>
      </c>
      <c r="D52">
        <v>10</v>
      </c>
      <c r="E52">
        <v>3</v>
      </c>
      <c r="F52">
        <v>3</v>
      </c>
      <c r="G52">
        <f t="shared" si="16"/>
        <v>4</v>
      </c>
      <c r="H52">
        <v>12</v>
      </c>
      <c r="I52">
        <v>15</v>
      </c>
      <c r="J52">
        <f t="shared" si="17"/>
        <v>-3</v>
      </c>
    </row>
    <row r="53" spans="1:10" x14ac:dyDescent="0.3">
      <c r="A53" s="8" t="s">
        <v>32</v>
      </c>
      <c r="B53" t="s">
        <v>502</v>
      </c>
      <c r="C53" s="4">
        <f t="shared" si="15"/>
        <v>8</v>
      </c>
      <c r="D53">
        <v>10</v>
      </c>
      <c r="E53">
        <v>2</v>
      </c>
      <c r="F53">
        <v>2</v>
      </c>
      <c r="G53">
        <f t="shared" si="16"/>
        <v>6</v>
      </c>
      <c r="H53">
        <v>10</v>
      </c>
      <c r="I53">
        <v>15</v>
      </c>
      <c r="J53">
        <f t="shared" si="17"/>
        <v>-5</v>
      </c>
    </row>
    <row r="55" spans="1:10" x14ac:dyDescent="0.3">
      <c r="A55" t="s">
        <v>499</v>
      </c>
    </row>
    <row r="56" spans="1:10" x14ac:dyDescent="0.3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</row>
    <row r="57" spans="1:10" x14ac:dyDescent="0.3">
      <c r="A57" s="9" t="s">
        <v>26</v>
      </c>
      <c r="B57" t="s">
        <v>213</v>
      </c>
      <c r="C57" s="4">
        <f t="shared" ref="C57:C62" si="18">E57*3+F57</f>
        <v>17</v>
      </c>
      <c r="D57">
        <v>10</v>
      </c>
      <c r="E57">
        <v>5</v>
      </c>
      <c r="F57">
        <v>2</v>
      </c>
      <c r="G57">
        <f>D57-E57-F57</f>
        <v>3</v>
      </c>
      <c r="H57">
        <v>14</v>
      </c>
      <c r="I57">
        <v>11</v>
      </c>
      <c r="J57">
        <f>H57-I57</f>
        <v>3</v>
      </c>
    </row>
    <row r="58" spans="1:10" x14ac:dyDescent="0.3">
      <c r="A58" s="9" t="s">
        <v>27</v>
      </c>
      <c r="B58" t="s">
        <v>504</v>
      </c>
      <c r="C58" s="4">
        <f t="shared" si="18"/>
        <v>17</v>
      </c>
      <c r="D58">
        <v>10</v>
      </c>
      <c r="E58">
        <v>5</v>
      </c>
      <c r="F58">
        <v>2</v>
      </c>
      <c r="G58">
        <f t="shared" ref="G58:G62" si="19">D58-E58-F58</f>
        <v>3</v>
      </c>
      <c r="H58">
        <v>10</v>
      </c>
      <c r="I58">
        <v>9</v>
      </c>
      <c r="J58">
        <f t="shared" ref="J58:J62" si="20">H58-I58</f>
        <v>1</v>
      </c>
    </row>
    <row r="59" spans="1:10" x14ac:dyDescent="0.3">
      <c r="A59" s="9" t="s">
        <v>28</v>
      </c>
      <c r="B59" t="s">
        <v>503</v>
      </c>
      <c r="C59" s="4">
        <f t="shared" si="18"/>
        <v>15</v>
      </c>
      <c r="D59">
        <v>10</v>
      </c>
      <c r="E59">
        <v>4</v>
      </c>
      <c r="F59">
        <v>3</v>
      </c>
      <c r="G59">
        <f t="shared" si="19"/>
        <v>3</v>
      </c>
      <c r="H59">
        <v>9</v>
      </c>
      <c r="I59">
        <v>7</v>
      </c>
      <c r="J59">
        <f t="shared" si="20"/>
        <v>2</v>
      </c>
    </row>
    <row r="60" spans="1:10" x14ac:dyDescent="0.3">
      <c r="A60" s="9" t="s">
        <v>29</v>
      </c>
      <c r="B60" t="s">
        <v>186</v>
      </c>
      <c r="C60" s="4">
        <f t="shared" si="18"/>
        <v>14</v>
      </c>
      <c r="D60">
        <v>10</v>
      </c>
      <c r="E60">
        <v>3</v>
      </c>
      <c r="F60">
        <v>5</v>
      </c>
      <c r="G60">
        <f t="shared" si="19"/>
        <v>2</v>
      </c>
      <c r="H60">
        <v>11</v>
      </c>
      <c r="I60">
        <v>9</v>
      </c>
      <c r="J60">
        <f t="shared" si="20"/>
        <v>2</v>
      </c>
    </row>
    <row r="61" spans="1:10" x14ac:dyDescent="0.3">
      <c r="A61" s="8" t="s">
        <v>31</v>
      </c>
      <c r="B61" t="s">
        <v>140</v>
      </c>
      <c r="C61" s="4">
        <f t="shared" si="18"/>
        <v>13</v>
      </c>
      <c r="D61">
        <v>10</v>
      </c>
      <c r="E61">
        <v>3</v>
      </c>
      <c r="F61">
        <v>4</v>
      </c>
      <c r="G61">
        <f t="shared" si="19"/>
        <v>3</v>
      </c>
      <c r="H61">
        <v>8</v>
      </c>
      <c r="I61">
        <v>7</v>
      </c>
      <c r="J61">
        <f t="shared" si="20"/>
        <v>1</v>
      </c>
    </row>
    <row r="62" spans="1:10" x14ac:dyDescent="0.3">
      <c r="A62" s="8" t="s">
        <v>32</v>
      </c>
      <c r="B62" t="s">
        <v>201</v>
      </c>
      <c r="C62" s="4">
        <f t="shared" si="18"/>
        <v>4</v>
      </c>
      <c r="D62">
        <v>10</v>
      </c>
      <c r="E62">
        <v>0</v>
      </c>
      <c r="F62">
        <v>4</v>
      </c>
      <c r="G62">
        <f t="shared" si="19"/>
        <v>6</v>
      </c>
      <c r="H62">
        <v>3</v>
      </c>
      <c r="I62">
        <v>12</v>
      </c>
      <c r="J62">
        <f t="shared" si="20"/>
        <v>-9</v>
      </c>
    </row>
    <row r="64" spans="1:10" x14ac:dyDescent="0.3">
      <c r="A64" t="s">
        <v>505</v>
      </c>
    </row>
    <row r="65" spans="1:10" x14ac:dyDescent="0.3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</row>
    <row r="66" spans="1:10" x14ac:dyDescent="0.3">
      <c r="A66" s="9" t="s">
        <v>26</v>
      </c>
      <c r="B66" t="s">
        <v>198</v>
      </c>
      <c r="C66" s="4">
        <f t="shared" ref="C66:C71" si="21">E66*3+F66</f>
        <v>17</v>
      </c>
      <c r="D66">
        <v>10</v>
      </c>
      <c r="E66">
        <v>5</v>
      </c>
      <c r="F66">
        <v>2</v>
      </c>
      <c r="G66">
        <f>D66-E66-F66</f>
        <v>3</v>
      </c>
      <c r="H66">
        <v>14</v>
      </c>
      <c r="I66">
        <v>11</v>
      </c>
      <c r="J66">
        <f>H66-I66</f>
        <v>3</v>
      </c>
    </row>
    <row r="67" spans="1:10" x14ac:dyDescent="0.3">
      <c r="A67" s="9" t="s">
        <v>27</v>
      </c>
      <c r="B67" t="s">
        <v>506</v>
      </c>
      <c r="C67" s="4">
        <f t="shared" si="21"/>
        <v>15</v>
      </c>
      <c r="D67">
        <v>10</v>
      </c>
      <c r="E67">
        <v>4</v>
      </c>
      <c r="F67">
        <v>3</v>
      </c>
      <c r="G67">
        <f t="shared" ref="G67:G71" si="22">D67-E67-F67</f>
        <v>3</v>
      </c>
      <c r="H67">
        <v>9</v>
      </c>
      <c r="I67">
        <v>8</v>
      </c>
      <c r="J67">
        <f t="shared" ref="J67:J71" si="23">H67-I67</f>
        <v>1</v>
      </c>
    </row>
    <row r="68" spans="1:10" x14ac:dyDescent="0.3">
      <c r="A68" s="9" t="s">
        <v>28</v>
      </c>
      <c r="B68" t="s">
        <v>215</v>
      </c>
      <c r="C68" s="4">
        <f t="shared" si="21"/>
        <v>15</v>
      </c>
      <c r="D68">
        <v>10</v>
      </c>
      <c r="E68">
        <v>4</v>
      </c>
      <c r="F68">
        <v>3</v>
      </c>
      <c r="G68">
        <f t="shared" si="22"/>
        <v>3</v>
      </c>
      <c r="H68">
        <v>10</v>
      </c>
      <c r="I68">
        <v>10</v>
      </c>
      <c r="J68">
        <f t="shared" si="23"/>
        <v>0</v>
      </c>
    </row>
    <row r="69" spans="1:10" x14ac:dyDescent="0.3">
      <c r="A69" s="9" t="s">
        <v>29</v>
      </c>
      <c r="B69" t="s">
        <v>212</v>
      </c>
      <c r="C69" s="4">
        <f t="shared" si="21"/>
        <v>15</v>
      </c>
      <c r="D69">
        <v>10</v>
      </c>
      <c r="E69">
        <v>3</v>
      </c>
      <c r="F69">
        <v>6</v>
      </c>
      <c r="G69">
        <f t="shared" si="22"/>
        <v>1</v>
      </c>
      <c r="H69">
        <v>11</v>
      </c>
      <c r="I69">
        <v>9</v>
      </c>
      <c r="J69">
        <f t="shared" si="23"/>
        <v>2</v>
      </c>
    </row>
    <row r="70" spans="1:10" x14ac:dyDescent="0.3">
      <c r="A70" s="8" t="s">
        <v>31</v>
      </c>
      <c r="B70" t="s">
        <v>507</v>
      </c>
      <c r="C70" s="4">
        <f t="shared" si="21"/>
        <v>10</v>
      </c>
      <c r="D70">
        <v>10</v>
      </c>
      <c r="E70">
        <v>3</v>
      </c>
      <c r="F70">
        <v>1</v>
      </c>
      <c r="G70">
        <f t="shared" si="22"/>
        <v>6</v>
      </c>
      <c r="H70">
        <v>9</v>
      </c>
      <c r="I70">
        <v>11</v>
      </c>
      <c r="J70">
        <f t="shared" si="23"/>
        <v>-2</v>
      </c>
    </row>
    <row r="71" spans="1:10" x14ac:dyDescent="0.3">
      <c r="A71" s="8" t="s">
        <v>32</v>
      </c>
      <c r="B71" t="s">
        <v>137</v>
      </c>
      <c r="C71" s="4">
        <f t="shared" si="21"/>
        <v>10</v>
      </c>
      <c r="D71">
        <v>10</v>
      </c>
      <c r="E71">
        <v>3</v>
      </c>
      <c r="F71">
        <v>1</v>
      </c>
      <c r="G71">
        <f t="shared" si="22"/>
        <v>6</v>
      </c>
      <c r="H71">
        <v>7</v>
      </c>
      <c r="I71">
        <v>11</v>
      </c>
      <c r="J71">
        <f t="shared" si="23"/>
        <v>-4</v>
      </c>
    </row>
    <row r="73" spans="1:10" x14ac:dyDescent="0.3">
      <c r="A73" t="s">
        <v>508</v>
      </c>
    </row>
    <row r="74" spans="1:10" x14ac:dyDescent="0.3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</row>
    <row r="75" spans="1:10" x14ac:dyDescent="0.3">
      <c r="A75" s="9" t="s">
        <v>26</v>
      </c>
      <c r="B75" t="s">
        <v>509</v>
      </c>
      <c r="C75" s="4">
        <f t="shared" ref="C75:C80" si="24">E75*3+F75</f>
        <v>20</v>
      </c>
      <c r="D75">
        <v>10</v>
      </c>
      <c r="E75">
        <v>6</v>
      </c>
      <c r="F75">
        <v>2</v>
      </c>
      <c r="G75">
        <f>D75-E75-F75</f>
        <v>2</v>
      </c>
      <c r="H75">
        <v>16</v>
      </c>
      <c r="I75">
        <v>13</v>
      </c>
      <c r="J75">
        <f>H75-I75</f>
        <v>3</v>
      </c>
    </row>
    <row r="76" spans="1:10" x14ac:dyDescent="0.3">
      <c r="A76" s="9" t="s">
        <v>27</v>
      </c>
      <c r="B76" t="s">
        <v>127</v>
      </c>
      <c r="C76" s="4">
        <f t="shared" si="24"/>
        <v>15</v>
      </c>
      <c r="D76">
        <v>10</v>
      </c>
      <c r="E76">
        <v>4</v>
      </c>
      <c r="F76">
        <v>3</v>
      </c>
      <c r="G76">
        <f t="shared" ref="G76:G80" si="25">D76-E76-F76</f>
        <v>3</v>
      </c>
      <c r="H76">
        <v>11</v>
      </c>
      <c r="I76">
        <v>10</v>
      </c>
      <c r="J76">
        <f t="shared" ref="J76:J80" si="26">H76-I76</f>
        <v>1</v>
      </c>
    </row>
    <row r="77" spans="1:10" x14ac:dyDescent="0.3">
      <c r="A77" s="9" t="s">
        <v>28</v>
      </c>
      <c r="B77" t="s">
        <v>222</v>
      </c>
      <c r="C77" s="4">
        <f t="shared" si="24"/>
        <v>14</v>
      </c>
      <c r="D77">
        <v>10</v>
      </c>
      <c r="E77">
        <v>3</v>
      </c>
      <c r="F77">
        <v>5</v>
      </c>
      <c r="G77">
        <f t="shared" si="25"/>
        <v>2</v>
      </c>
      <c r="H77">
        <v>16</v>
      </c>
      <c r="I77">
        <v>15</v>
      </c>
      <c r="J77">
        <f t="shared" si="26"/>
        <v>1</v>
      </c>
    </row>
    <row r="78" spans="1:10" x14ac:dyDescent="0.3">
      <c r="A78" s="9" t="s">
        <v>29</v>
      </c>
      <c r="B78" t="s">
        <v>204</v>
      </c>
      <c r="C78" s="4">
        <f t="shared" si="24"/>
        <v>13</v>
      </c>
      <c r="D78">
        <v>10</v>
      </c>
      <c r="E78">
        <v>4</v>
      </c>
      <c r="F78">
        <v>1</v>
      </c>
      <c r="G78">
        <f t="shared" si="25"/>
        <v>5</v>
      </c>
      <c r="H78">
        <v>6</v>
      </c>
      <c r="I78">
        <v>8</v>
      </c>
      <c r="J78">
        <f t="shared" si="26"/>
        <v>-2</v>
      </c>
    </row>
    <row r="79" spans="1:10" x14ac:dyDescent="0.3">
      <c r="A79" s="8" t="s">
        <v>31</v>
      </c>
      <c r="B79" t="s">
        <v>210</v>
      </c>
      <c r="C79" s="4">
        <f t="shared" si="24"/>
        <v>11</v>
      </c>
      <c r="D79">
        <v>10</v>
      </c>
      <c r="E79">
        <v>2</v>
      </c>
      <c r="F79">
        <v>5</v>
      </c>
      <c r="G79">
        <f t="shared" si="25"/>
        <v>3</v>
      </c>
      <c r="H79">
        <v>12</v>
      </c>
      <c r="I79">
        <v>11</v>
      </c>
      <c r="J79">
        <f t="shared" si="26"/>
        <v>1</v>
      </c>
    </row>
    <row r="80" spans="1:10" x14ac:dyDescent="0.3">
      <c r="A80" s="8" t="s">
        <v>32</v>
      </c>
      <c r="B80" t="s">
        <v>124</v>
      </c>
      <c r="C80" s="4">
        <f t="shared" si="24"/>
        <v>7</v>
      </c>
      <c r="D80">
        <v>10</v>
      </c>
      <c r="E80">
        <v>1</v>
      </c>
      <c r="F80">
        <v>4</v>
      </c>
      <c r="G80">
        <f t="shared" si="25"/>
        <v>5</v>
      </c>
      <c r="H80">
        <v>11</v>
      </c>
      <c r="I80">
        <v>15</v>
      </c>
      <c r="J80">
        <f t="shared" si="26"/>
        <v>-4</v>
      </c>
    </row>
    <row r="82" spans="1:10" x14ac:dyDescent="0.3">
      <c r="A82" t="s">
        <v>510</v>
      </c>
    </row>
    <row r="83" spans="1:10" x14ac:dyDescent="0.3">
      <c r="A83" t="s">
        <v>16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</row>
    <row r="84" spans="1:10" x14ac:dyDescent="0.3">
      <c r="A84" s="9" t="s">
        <v>26</v>
      </c>
      <c r="B84" t="s">
        <v>121</v>
      </c>
      <c r="C84" s="4">
        <f t="shared" ref="C84:C89" si="27">E84*3+F84</f>
        <v>21</v>
      </c>
      <c r="D84">
        <v>10</v>
      </c>
      <c r="E84">
        <v>7</v>
      </c>
      <c r="F84">
        <v>0</v>
      </c>
      <c r="G84">
        <f>D84-E84-F84</f>
        <v>3</v>
      </c>
      <c r="H84">
        <v>11</v>
      </c>
      <c r="I84">
        <v>8</v>
      </c>
      <c r="J84">
        <f>H84-I84</f>
        <v>3</v>
      </c>
    </row>
    <row r="85" spans="1:10" x14ac:dyDescent="0.3">
      <c r="A85" s="9" t="s">
        <v>27</v>
      </c>
      <c r="B85" t="s">
        <v>516</v>
      </c>
      <c r="C85" s="4">
        <f t="shared" si="27"/>
        <v>14</v>
      </c>
      <c r="D85">
        <v>10</v>
      </c>
      <c r="E85">
        <v>4</v>
      </c>
      <c r="F85">
        <v>2</v>
      </c>
      <c r="G85">
        <f t="shared" ref="G85:G89" si="28">D85-E85-F85</f>
        <v>4</v>
      </c>
      <c r="H85">
        <v>11</v>
      </c>
      <c r="I85">
        <v>9</v>
      </c>
      <c r="J85">
        <f t="shared" ref="J85:J89" si="29">H85-I85</f>
        <v>2</v>
      </c>
    </row>
    <row r="86" spans="1:10" x14ac:dyDescent="0.3">
      <c r="A86" s="9" t="s">
        <v>28</v>
      </c>
      <c r="B86" t="s">
        <v>224</v>
      </c>
      <c r="C86" s="4">
        <f t="shared" si="27"/>
        <v>14</v>
      </c>
      <c r="D86">
        <v>10</v>
      </c>
      <c r="E86">
        <v>4</v>
      </c>
      <c r="F86">
        <v>2</v>
      </c>
      <c r="G86">
        <f t="shared" si="28"/>
        <v>4</v>
      </c>
      <c r="H86">
        <v>11</v>
      </c>
      <c r="I86">
        <v>10</v>
      </c>
      <c r="J86">
        <f t="shared" si="29"/>
        <v>1</v>
      </c>
    </row>
    <row r="87" spans="1:10" x14ac:dyDescent="0.3">
      <c r="A87" s="9" t="s">
        <v>29</v>
      </c>
      <c r="B87" t="s">
        <v>517</v>
      </c>
      <c r="C87" s="4">
        <f t="shared" si="27"/>
        <v>12</v>
      </c>
      <c r="D87">
        <v>10</v>
      </c>
      <c r="E87">
        <v>3</v>
      </c>
      <c r="F87">
        <v>3</v>
      </c>
      <c r="G87">
        <f t="shared" si="28"/>
        <v>4</v>
      </c>
      <c r="H87">
        <v>11</v>
      </c>
      <c r="I87">
        <v>11</v>
      </c>
      <c r="J87">
        <f t="shared" si="29"/>
        <v>0</v>
      </c>
    </row>
    <row r="88" spans="1:10" x14ac:dyDescent="0.3">
      <c r="A88" s="8" t="s">
        <v>31</v>
      </c>
      <c r="B88" t="s">
        <v>219</v>
      </c>
      <c r="C88" s="4">
        <f t="shared" si="27"/>
        <v>12</v>
      </c>
      <c r="D88">
        <v>10</v>
      </c>
      <c r="E88">
        <v>3</v>
      </c>
      <c r="F88">
        <v>3</v>
      </c>
      <c r="G88">
        <f t="shared" si="28"/>
        <v>4</v>
      </c>
      <c r="H88">
        <v>9</v>
      </c>
      <c r="I88">
        <v>11</v>
      </c>
      <c r="J88">
        <f t="shared" si="29"/>
        <v>-2</v>
      </c>
    </row>
    <row r="89" spans="1:10" x14ac:dyDescent="0.3">
      <c r="A89" s="8" t="s">
        <v>32</v>
      </c>
      <c r="B89" t="s">
        <v>515</v>
      </c>
      <c r="C89" s="4">
        <f t="shared" si="27"/>
        <v>11</v>
      </c>
      <c r="D89">
        <v>10</v>
      </c>
      <c r="E89">
        <v>3</v>
      </c>
      <c r="F89">
        <v>2</v>
      </c>
      <c r="G89">
        <f t="shared" si="28"/>
        <v>5</v>
      </c>
      <c r="H89">
        <v>6</v>
      </c>
      <c r="I89">
        <v>10</v>
      </c>
      <c r="J89">
        <f t="shared" si="29"/>
        <v>-4</v>
      </c>
    </row>
    <row r="91" spans="1:10" x14ac:dyDescent="0.3">
      <c r="A91" t="s">
        <v>511</v>
      </c>
    </row>
    <row r="92" spans="1:10" x14ac:dyDescent="0.3">
      <c r="A92" t="s">
        <v>16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</row>
    <row r="93" spans="1:10" x14ac:dyDescent="0.3">
      <c r="A93" s="9" t="s">
        <v>26</v>
      </c>
      <c r="B93" t="s">
        <v>208</v>
      </c>
      <c r="C93" s="4">
        <f t="shared" ref="C93:C98" si="30">E93*3+F93</f>
        <v>23</v>
      </c>
      <c r="D93">
        <v>10</v>
      </c>
      <c r="E93">
        <v>7</v>
      </c>
      <c r="F93">
        <v>2</v>
      </c>
      <c r="G93">
        <f>D93-E93-F93</f>
        <v>1</v>
      </c>
      <c r="H93">
        <v>21</v>
      </c>
      <c r="I93">
        <v>9</v>
      </c>
      <c r="J93">
        <f>H93-I93</f>
        <v>12</v>
      </c>
    </row>
    <row r="94" spans="1:10" x14ac:dyDescent="0.3">
      <c r="A94" s="9" t="s">
        <v>27</v>
      </c>
      <c r="B94" t="s">
        <v>189</v>
      </c>
      <c r="C94" s="4">
        <f t="shared" si="30"/>
        <v>15</v>
      </c>
      <c r="D94">
        <v>10</v>
      </c>
      <c r="E94">
        <v>4</v>
      </c>
      <c r="F94">
        <v>3</v>
      </c>
      <c r="G94">
        <f t="shared" ref="G94:G98" si="31">D94-E94-F94</f>
        <v>3</v>
      </c>
      <c r="H94">
        <v>10</v>
      </c>
      <c r="I94">
        <v>11</v>
      </c>
      <c r="J94">
        <f t="shared" ref="J94:J98" si="32">H94-I94</f>
        <v>-1</v>
      </c>
    </row>
    <row r="95" spans="1:10" x14ac:dyDescent="0.3">
      <c r="A95" s="9" t="s">
        <v>28</v>
      </c>
      <c r="B95" t="s">
        <v>120</v>
      </c>
      <c r="C95" s="4">
        <f t="shared" si="30"/>
        <v>14</v>
      </c>
      <c r="D95">
        <v>10</v>
      </c>
      <c r="E95">
        <v>4</v>
      </c>
      <c r="F95">
        <v>2</v>
      </c>
      <c r="G95">
        <f t="shared" si="31"/>
        <v>4</v>
      </c>
      <c r="H95">
        <v>14</v>
      </c>
      <c r="I95">
        <v>11</v>
      </c>
      <c r="J95">
        <f t="shared" si="32"/>
        <v>3</v>
      </c>
    </row>
    <row r="96" spans="1:10" x14ac:dyDescent="0.3">
      <c r="A96" s="9" t="s">
        <v>29</v>
      </c>
      <c r="B96" t="s">
        <v>524</v>
      </c>
      <c r="C96" s="4">
        <f t="shared" si="30"/>
        <v>13</v>
      </c>
      <c r="D96">
        <v>10</v>
      </c>
      <c r="E96">
        <v>3</v>
      </c>
      <c r="F96">
        <v>4</v>
      </c>
      <c r="G96">
        <f t="shared" si="31"/>
        <v>3</v>
      </c>
      <c r="H96">
        <v>12</v>
      </c>
      <c r="I96">
        <v>16</v>
      </c>
      <c r="J96">
        <f t="shared" si="32"/>
        <v>-4</v>
      </c>
    </row>
    <row r="97" spans="1:10" x14ac:dyDescent="0.3">
      <c r="A97" s="8" t="s">
        <v>31</v>
      </c>
      <c r="B97" t="s">
        <v>129</v>
      </c>
      <c r="C97" s="4">
        <f t="shared" si="30"/>
        <v>11</v>
      </c>
      <c r="D97">
        <v>10</v>
      </c>
      <c r="E97">
        <v>3</v>
      </c>
      <c r="F97">
        <v>2</v>
      </c>
      <c r="G97">
        <f t="shared" si="31"/>
        <v>5</v>
      </c>
      <c r="H97">
        <v>14</v>
      </c>
      <c r="I97">
        <v>13</v>
      </c>
      <c r="J97">
        <f t="shared" si="32"/>
        <v>1</v>
      </c>
    </row>
    <row r="98" spans="1:10" x14ac:dyDescent="0.3">
      <c r="A98" s="8" t="s">
        <v>32</v>
      </c>
      <c r="B98" t="s">
        <v>525</v>
      </c>
      <c r="C98" s="4">
        <f t="shared" si="30"/>
        <v>6</v>
      </c>
      <c r="D98">
        <v>10</v>
      </c>
      <c r="E98">
        <v>1</v>
      </c>
      <c r="F98">
        <v>3</v>
      </c>
      <c r="G98">
        <f t="shared" si="31"/>
        <v>6</v>
      </c>
      <c r="H98">
        <v>9</v>
      </c>
      <c r="I98">
        <v>20</v>
      </c>
      <c r="J98">
        <f t="shared" si="32"/>
        <v>-11</v>
      </c>
    </row>
    <row r="100" spans="1:10" x14ac:dyDescent="0.3">
      <c r="A100" t="s">
        <v>518</v>
      </c>
    </row>
    <row r="101" spans="1:10" x14ac:dyDescent="0.3">
      <c r="A101" t="s">
        <v>16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</row>
    <row r="102" spans="1:10" x14ac:dyDescent="0.3">
      <c r="A102" s="9" t="s">
        <v>26</v>
      </c>
      <c r="B102" t="s">
        <v>199</v>
      </c>
      <c r="C102" s="4">
        <f t="shared" ref="C102:C107" si="33">E102*3+F102</f>
        <v>19</v>
      </c>
      <c r="D102">
        <v>10</v>
      </c>
      <c r="E102">
        <v>6</v>
      </c>
      <c r="F102">
        <v>1</v>
      </c>
      <c r="G102">
        <f>D102-E102-F102</f>
        <v>3</v>
      </c>
      <c r="H102">
        <v>15</v>
      </c>
      <c r="I102">
        <v>11</v>
      </c>
      <c r="J102">
        <f>H102-I102</f>
        <v>4</v>
      </c>
    </row>
    <row r="103" spans="1:10" x14ac:dyDescent="0.3">
      <c r="A103" s="9" t="s">
        <v>27</v>
      </c>
      <c r="B103" t="s">
        <v>521</v>
      </c>
      <c r="C103" s="4">
        <f t="shared" si="33"/>
        <v>18</v>
      </c>
      <c r="D103">
        <v>10</v>
      </c>
      <c r="E103">
        <v>6</v>
      </c>
      <c r="F103">
        <v>0</v>
      </c>
      <c r="G103">
        <f t="shared" ref="G103:G107" si="34">D103-E103-F103</f>
        <v>4</v>
      </c>
      <c r="H103">
        <v>9</v>
      </c>
      <c r="I103">
        <v>6</v>
      </c>
      <c r="J103">
        <f t="shared" ref="J103:J107" si="35">H103-I103</f>
        <v>3</v>
      </c>
    </row>
    <row r="104" spans="1:10" x14ac:dyDescent="0.3">
      <c r="A104" s="9" t="s">
        <v>28</v>
      </c>
      <c r="B104" t="s">
        <v>226</v>
      </c>
      <c r="C104" s="4">
        <f t="shared" si="33"/>
        <v>18</v>
      </c>
      <c r="D104">
        <v>10</v>
      </c>
      <c r="E104">
        <v>5</v>
      </c>
      <c r="F104">
        <v>3</v>
      </c>
      <c r="G104">
        <f t="shared" si="34"/>
        <v>2</v>
      </c>
      <c r="H104">
        <v>8</v>
      </c>
      <c r="I104">
        <v>7</v>
      </c>
      <c r="J104">
        <f t="shared" si="35"/>
        <v>1</v>
      </c>
    </row>
    <row r="105" spans="1:10" x14ac:dyDescent="0.3">
      <c r="A105" s="9" t="s">
        <v>29</v>
      </c>
      <c r="B105" t="s">
        <v>527</v>
      </c>
      <c r="C105" s="4">
        <f t="shared" si="33"/>
        <v>11</v>
      </c>
      <c r="D105">
        <v>10</v>
      </c>
      <c r="E105">
        <v>3</v>
      </c>
      <c r="F105">
        <v>2</v>
      </c>
      <c r="G105">
        <f t="shared" si="34"/>
        <v>5</v>
      </c>
      <c r="H105">
        <v>9</v>
      </c>
      <c r="I105">
        <v>10</v>
      </c>
      <c r="J105">
        <f t="shared" si="35"/>
        <v>-1</v>
      </c>
    </row>
    <row r="106" spans="1:10" x14ac:dyDescent="0.3">
      <c r="A106" s="8" t="s">
        <v>31</v>
      </c>
      <c r="B106" t="s">
        <v>197</v>
      </c>
      <c r="C106" s="4">
        <f t="shared" si="33"/>
        <v>11</v>
      </c>
      <c r="D106">
        <v>10</v>
      </c>
      <c r="E106">
        <v>3</v>
      </c>
      <c r="F106">
        <v>2</v>
      </c>
      <c r="G106">
        <f t="shared" si="34"/>
        <v>5</v>
      </c>
      <c r="H106">
        <v>8</v>
      </c>
      <c r="I106">
        <v>11</v>
      </c>
      <c r="J106">
        <f t="shared" si="35"/>
        <v>-3</v>
      </c>
    </row>
    <row r="107" spans="1:10" x14ac:dyDescent="0.3">
      <c r="A107" s="8" t="s">
        <v>32</v>
      </c>
      <c r="B107" t="s">
        <v>526</v>
      </c>
      <c r="C107" s="4">
        <f t="shared" si="33"/>
        <v>8</v>
      </c>
      <c r="D107">
        <v>10</v>
      </c>
      <c r="E107">
        <v>2</v>
      </c>
      <c r="F107">
        <v>2</v>
      </c>
      <c r="G107">
        <f t="shared" si="34"/>
        <v>6</v>
      </c>
      <c r="H107">
        <v>4</v>
      </c>
      <c r="I107">
        <v>8</v>
      </c>
      <c r="J107">
        <f t="shared" si="35"/>
        <v>-4</v>
      </c>
    </row>
    <row r="109" spans="1:10" x14ac:dyDescent="0.3">
      <c r="A109" t="s">
        <v>522</v>
      </c>
    </row>
    <row r="110" spans="1:10" x14ac:dyDescent="0.3">
      <c r="A110" t="s">
        <v>16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</row>
    <row r="111" spans="1:10" x14ac:dyDescent="0.3">
      <c r="A111" s="9" t="s">
        <v>26</v>
      </c>
      <c r="B111" t="s">
        <v>513</v>
      </c>
      <c r="C111" s="4">
        <f t="shared" ref="C111:C116" si="36">E111*3+F111</f>
        <v>23</v>
      </c>
      <c r="D111">
        <v>10</v>
      </c>
      <c r="E111">
        <v>7</v>
      </c>
      <c r="F111">
        <v>2</v>
      </c>
      <c r="G111">
        <f>D111-E111-F111</f>
        <v>1</v>
      </c>
      <c r="H111">
        <v>12</v>
      </c>
      <c r="I111">
        <v>8</v>
      </c>
      <c r="J111">
        <f>H111-I111</f>
        <v>4</v>
      </c>
    </row>
    <row r="112" spans="1:10" x14ac:dyDescent="0.3">
      <c r="A112" s="9" t="s">
        <v>27</v>
      </c>
      <c r="B112" t="s">
        <v>514</v>
      </c>
      <c r="C112" s="4">
        <f t="shared" si="36"/>
        <v>17</v>
      </c>
      <c r="D112">
        <v>10</v>
      </c>
      <c r="E112">
        <v>5</v>
      </c>
      <c r="F112">
        <v>2</v>
      </c>
      <c r="G112">
        <f t="shared" ref="G112:G116" si="37">D112-E112-F112</f>
        <v>3</v>
      </c>
      <c r="H112">
        <v>16</v>
      </c>
      <c r="I112">
        <v>13</v>
      </c>
      <c r="J112">
        <f t="shared" ref="J112:J116" si="38">H112-I112</f>
        <v>3</v>
      </c>
    </row>
    <row r="113" spans="1:10" x14ac:dyDescent="0.3">
      <c r="A113" s="9" t="s">
        <v>28</v>
      </c>
      <c r="B113" t="s">
        <v>141</v>
      </c>
      <c r="C113" s="4">
        <f t="shared" si="36"/>
        <v>15</v>
      </c>
      <c r="D113">
        <v>10</v>
      </c>
      <c r="E113">
        <v>5</v>
      </c>
      <c r="F113">
        <v>0</v>
      </c>
      <c r="G113">
        <f t="shared" si="37"/>
        <v>5</v>
      </c>
      <c r="H113">
        <v>10</v>
      </c>
      <c r="I113">
        <v>9</v>
      </c>
      <c r="J113">
        <f t="shared" si="38"/>
        <v>1</v>
      </c>
    </row>
    <row r="114" spans="1:10" x14ac:dyDescent="0.3">
      <c r="A114" s="9" t="s">
        <v>29</v>
      </c>
      <c r="B114" t="s">
        <v>214</v>
      </c>
      <c r="C114" s="4">
        <f t="shared" si="36"/>
        <v>13</v>
      </c>
      <c r="D114">
        <v>10</v>
      </c>
      <c r="E114">
        <v>4</v>
      </c>
      <c r="F114">
        <v>1</v>
      </c>
      <c r="G114">
        <f t="shared" si="37"/>
        <v>5</v>
      </c>
      <c r="H114">
        <v>9</v>
      </c>
      <c r="I114">
        <v>10</v>
      </c>
      <c r="J114">
        <f t="shared" si="38"/>
        <v>-1</v>
      </c>
    </row>
    <row r="115" spans="1:10" x14ac:dyDescent="0.3">
      <c r="A115" s="8" t="s">
        <v>31</v>
      </c>
      <c r="B115" t="s">
        <v>115</v>
      </c>
      <c r="C115" s="4">
        <f t="shared" si="36"/>
        <v>9</v>
      </c>
      <c r="D115">
        <v>10</v>
      </c>
      <c r="E115">
        <v>2</v>
      </c>
      <c r="F115">
        <v>3</v>
      </c>
      <c r="G115">
        <f t="shared" si="37"/>
        <v>5</v>
      </c>
      <c r="H115">
        <v>7</v>
      </c>
      <c r="I115">
        <v>12</v>
      </c>
      <c r="J115">
        <f t="shared" si="38"/>
        <v>-5</v>
      </c>
    </row>
    <row r="116" spans="1:10" x14ac:dyDescent="0.3">
      <c r="A116" s="8" t="s">
        <v>32</v>
      </c>
      <c r="B116" t="s">
        <v>512</v>
      </c>
      <c r="C116" s="4">
        <f t="shared" si="36"/>
        <v>8</v>
      </c>
      <c r="D116">
        <v>10</v>
      </c>
      <c r="E116">
        <v>2</v>
      </c>
      <c r="F116">
        <v>2</v>
      </c>
      <c r="G116">
        <f t="shared" si="37"/>
        <v>6</v>
      </c>
      <c r="H116">
        <v>11</v>
      </c>
      <c r="I116">
        <v>13</v>
      </c>
      <c r="J116">
        <f t="shared" si="38"/>
        <v>-2</v>
      </c>
    </row>
    <row r="118" spans="1:10" x14ac:dyDescent="0.3">
      <c r="A118" t="s">
        <v>523</v>
      </c>
    </row>
    <row r="119" spans="1:10" x14ac:dyDescent="0.3">
      <c r="A119" t="s">
        <v>16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</row>
    <row r="120" spans="1:10" x14ac:dyDescent="0.3">
      <c r="A120" s="9" t="s">
        <v>26</v>
      </c>
      <c r="B120" t="s">
        <v>520</v>
      </c>
      <c r="C120" s="4">
        <f t="shared" ref="C120:C125" si="39">E120*3+F120</f>
        <v>17</v>
      </c>
      <c r="D120">
        <v>10</v>
      </c>
      <c r="E120">
        <v>5</v>
      </c>
      <c r="F120">
        <v>2</v>
      </c>
      <c r="G120">
        <f>D120-E120-F120</f>
        <v>3</v>
      </c>
      <c r="H120">
        <v>12</v>
      </c>
      <c r="I120">
        <v>8</v>
      </c>
      <c r="J120">
        <f>H120-I120</f>
        <v>4</v>
      </c>
    </row>
    <row r="121" spans="1:10" x14ac:dyDescent="0.3">
      <c r="A121" s="9" t="s">
        <v>27</v>
      </c>
      <c r="B121" t="s">
        <v>534</v>
      </c>
      <c r="C121" s="4">
        <f t="shared" si="39"/>
        <v>14</v>
      </c>
      <c r="D121">
        <v>10</v>
      </c>
      <c r="E121">
        <v>3</v>
      </c>
      <c r="F121">
        <v>5</v>
      </c>
      <c r="G121">
        <f t="shared" ref="G121:G125" si="40">D121-E121-F121</f>
        <v>2</v>
      </c>
      <c r="H121">
        <v>11</v>
      </c>
      <c r="I121">
        <v>12</v>
      </c>
      <c r="J121">
        <f t="shared" ref="J121:J125" si="41">H121-I121</f>
        <v>-1</v>
      </c>
    </row>
    <row r="122" spans="1:10" x14ac:dyDescent="0.3">
      <c r="A122" s="9" t="s">
        <v>28</v>
      </c>
      <c r="B122" t="s">
        <v>132</v>
      </c>
      <c r="C122" s="4">
        <f t="shared" si="39"/>
        <v>12</v>
      </c>
      <c r="D122">
        <v>10</v>
      </c>
      <c r="E122">
        <v>2</v>
      </c>
      <c r="F122">
        <v>6</v>
      </c>
      <c r="G122">
        <f t="shared" si="40"/>
        <v>2</v>
      </c>
      <c r="H122">
        <v>10</v>
      </c>
      <c r="I122">
        <v>8</v>
      </c>
      <c r="J122">
        <f t="shared" si="41"/>
        <v>2</v>
      </c>
    </row>
    <row r="123" spans="1:10" x14ac:dyDescent="0.3">
      <c r="A123" s="9" t="s">
        <v>29</v>
      </c>
      <c r="B123" t="s">
        <v>184</v>
      </c>
      <c r="C123" s="4">
        <f t="shared" si="39"/>
        <v>12</v>
      </c>
      <c r="D123">
        <v>10</v>
      </c>
      <c r="E123">
        <v>2</v>
      </c>
      <c r="F123">
        <v>6</v>
      </c>
      <c r="G123">
        <f t="shared" si="40"/>
        <v>2</v>
      </c>
      <c r="H123">
        <v>11</v>
      </c>
      <c r="I123">
        <v>10</v>
      </c>
      <c r="J123">
        <f t="shared" si="41"/>
        <v>1</v>
      </c>
    </row>
    <row r="124" spans="1:10" x14ac:dyDescent="0.3">
      <c r="A124" s="8" t="s">
        <v>31</v>
      </c>
      <c r="B124" t="s">
        <v>128</v>
      </c>
      <c r="C124" s="4">
        <f t="shared" si="39"/>
        <v>11</v>
      </c>
      <c r="D124">
        <v>10</v>
      </c>
      <c r="E124">
        <v>3</v>
      </c>
      <c r="F124">
        <v>2</v>
      </c>
      <c r="G124">
        <f t="shared" si="40"/>
        <v>5</v>
      </c>
      <c r="H124">
        <v>9</v>
      </c>
      <c r="I124">
        <v>10</v>
      </c>
      <c r="J124">
        <f t="shared" si="41"/>
        <v>-1</v>
      </c>
    </row>
    <row r="125" spans="1:10" x14ac:dyDescent="0.3">
      <c r="A125" s="8" t="s">
        <v>32</v>
      </c>
      <c r="B125" t="s">
        <v>519</v>
      </c>
      <c r="C125" s="4">
        <f t="shared" si="39"/>
        <v>11</v>
      </c>
      <c r="D125">
        <v>10</v>
      </c>
      <c r="E125">
        <v>2</v>
      </c>
      <c r="F125">
        <v>5</v>
      </c>
      <c r="G125">
        <f t="shared" si="40"/>
        <v>3</v>
      </c>
      <c r="H125">
        <v>8</v>
      </c>
      <c r="I125">
        <v>13</v>
      </c>
      <c r="J125">
        <f t="shared" si="41"/>
        <v>-5</v>
      </c>
    </row>
    <row r="127" spans="1:10" x14ac:dyDescent="0.3">
      <c r="A127" t="s">
        <v>528</v>
      </c>
    </row>
    <row r="128" spans="1:10" x14ac:dyDescent="0.3">
      <c r="A128" t="s">
        <v>16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</row>
    <row r="129" spans="1:10" x14ac:dyDescent="0.3">
      <c r="A129" s="9" t="s">
        <v>26</v>
      </c>
      <c r="B129" t="s">
        <v>187</v>
      </c>
      <c r="C129" s="4">
        <f t="shared" ref="C129:C134" si="42">E129*3+F129</f>
        <v>22</v>
      </c>
      <c r="D129">
        <v>10</v>
      </c>
      <c r="E129">
        <v>7</v>
      </c>
      <c r="F129">
        <v>1</v>
      </c>
      <c r="G129">
        <f>D129-E129-F129</f>
        <v>2</v>
      </c>
      <c r="H129">
        <v>11</v>
      </c>
      <c r="I129">
        <v>5</v>
      </c>
      <c r="J129">
        <f>H129-I129</f>
        <v>6</v>
      </c>
    </row>
    <row r="130" spans="1:10" x14ac:dyDescent="0.3">
      <c r="A130" s="9" t="s">
        <v>27</v>
      </c>
      <c r="B130" t="s">
        <v>531</v>
      </c>
      <c r="C130" s="4">
        <f t="shared" si="42"/>
        <v>17</v>
      </c>
      <c r="D130">
        <v>10</v>
      </c>
      <c r="E130">
        <v>5</v>
      </c>
      <c r="F130">
        <v>2</v>
      </c>
      <c r="G130">
        <f t="shared" ref="G130:G134" si="43">D130-E130-F130</f>
        <v>3</v>
      </c>
      <c r="H130">
        <v>13</v>
      </c>
      <c r="I130">
        <v>7</v>
      </c>
      <c r="J130">
        <f t="shared" ref="J130:J134" si="44">H130-I130</f>
        <v>6</v>
      </c>
    </row>
    <row r="131" spans="1:10" x14ac:dyDescent="0.3">
      <c r="A131" s="9" t="s">
        <v>28</v>
      </c>
      <c r="B131" t="s">
        <v>530</v>
      </c>
      <c r="C131" s="4">
        <f t="shared" si="42"/>
        <v>16</v>
      </c>
      <c r="D131">
        <v>10</v>
      </c>
      <c r="E131">
        <v>5</v>
      </c>
      <c r="F131">
        <v>1</v>
      </c>
      <c r="G131">
        <f t="shared" si="43"/>
        <v>4</v>
      </c>
      <c r="H131">
        <v>9</v>
      </c>
      <c r="I131">
        <v>8</v>
      </c>
      <c r="J131">
        <f t="shared" si="44"/>
        <v>1</v>
      </c>
    </row>
    <row r="132" spans="1:10" x14ac:dyDescent="0.3">
      <c r="A132" s="9" t="s">
        <v>29</v>
      </c>
      <c r="B132" t="s">
        <v>216</v>
      </c>
      <c r="C132" s="4">
        <f t="shared" si="42"/>
        <v>13</v>
      </c>
      <c r="D132">
        <v>10</v>
      </c>
      <c r="E132">
        <v>4</v>
      </c>
      <c r="F132">
        <v>1</v>
      </c>
      <c r="G132">
        <f t="shared" si="43"/>
        <v>5</v>
      </c>
      <c r="H132">
        <v>7</v>
      </c>
      <c r="I132">
        <v>10</v>
      </c>
      <c r="J132">
        <f t="shared" si="44"/>
        <v>-3</v>
      </c>
    </row>
    <row r="133" spans="1:10" x14ac:dyDescent="0.3">
      <c r="A133" s="8" t="s">
        <v>31</v>
      </c>
      <c r="B133" t="s">
        <v>205</v>
      </c>
      <c r="C133" s="4">
        <f t="shared" si="42"/>
        <v>9</v>
      </c>
      <c r="D133">
        <v>10</v>
      </c>
      <c r="E133">
        <v>2</v>
      </c>
      <c r="F133">
        <v>3</v>
      </c>
      <c r="G133">
        <f t="shared" si="43"/>
        <v>5</v>
      </c>
      <c r="H133">
        <v>10</v>
      </c>
      <c r="I133">
        <v>14</v>
      </c>
      <c r="J133">
        <f t="shared" si="44"/>
        <v>-4</v>
      </c>
    </row>
    <row r="134" spans="1:10" x14ac:dyDescent="0.3">
      <c r="A134" s="8" t="s">
        <v>32</v>
      </c>
      <c r="B134" t="s">
        <v>529</v>
      </c>
      <c r="C134" s="4">
        <f t="shared" si="42"/>
        <v>7</v>
      </c>
      <c r="D134">
        <v>10</v>
      </c>
      <c r="E134">
        <v>1</v>
      </c>
      <c r="F134">
        <v>4</v>
      </c>
      <c r="G134">
        <f t="shared" si="43"/>
        <v>5</v>
      </c>
      <c r="H134">
        <v>8</v>
      </c>
      <c r="I134">
        <v>14</v>
      </c>
      <c r="J134">
        <f t="shared" si="44"/>
        <v>-6</v>
      </c>
    </row>
    <row r="136" spans="1:10" x14ac:dyDescent="0.3">
      <c r="A136" t="s">
        <v>533</v>
      </c>
    </row>
    <row r="137" spans="1:10" x14ac:dyDescent="0.3">
      <c r="A137" t="s">
        <v>16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</row>
    <row r="138" spans="1:10" x14ac:dyDescent="0.3">
      <c r="A138" s="9" t="s">
        <v>26</v>
      </c>
      <c r="B138" t="s">
        <v>225</v>
      </c>
      <c r="C138" s="4">
        <f t="shared" ref="C138:C143" si="45">E138*3+F138</f>
        <v>19</v>
      </c>
      <c r="D138">
        <v>10</v>
      </c>
      <c r="E138">
        <v>5</v>
      </c>
      <c r="F138">
        <v>4</v>
      </c>
      <c r="G138">
        <f>D138-E138-F138</f>
        <v>1</v>
      </c>
      <c r="H138">
        <v>15</v>
      </c>
      <c r="I138">
        <v>10</v>
      </c>
      <c r="J138">
        <f>H138-I138</f>
        <v>5</v>
      </c>
    </row>
    <row r="139" spans="1:10" x14ac:dyDescent="0.3">
      <c r="A139" s="9" t="s">
        <v>27</v>
      </c>
      <c r="B139" t="s">
        <v>532</v>
      </c>
      <c r="C139" s="4">
        <f t="shared" si="45"/>
        <v>15</v>
      </c>
      <c r="D139">
        <v>10</v>
      </c>
      <c r="E139">
        <v>4</v>
      </c>
      <c r="F139">
        <v>3</v>
      </c>
      <c r="G139">
        <f t="shared" ref="G139:G143" si="46">D139-E139-F139</f>
        <v>3</v>
      </c>
      <c r="H139">
        <v>11</v>
      </c>
      <c r="I139">
        <v>10</v>
      </c>
      <c r="J139">
        <f t="shared" ref="J139:J143" si="47">H139-I139</f>
        <v>1</v>
      </c>
    </row>
    <row r="140" spans="1:10" x14ac:dyDescent="0.3">
      <c r="A140" s="9" t="s">
        <v>28</v>
      </c>
      <c r="B140" t="s">
        <v>535</v>
      </c>
      <c r="C140" s="4">
        <f t="shared" si="45"/>
        <v>15</v>
      </c>
      <c r="D140">
        <v>10</v>
      </c>
      <c r="E140">
        <v>4</v>
      </c>
      <c r="F140">
        <v>3</v>
      </c>
      <c r="G140">
        <f t="shared" si="46"/>
        <v>3</v>
      </c>
      <c r="H140">
        <v>10</v>
      </c>
      <c r="I140">
        <v>9</v>
      </c>
      <c r="J140">
        <f t="shared" si="47"/>
        <v>1</v>
      </c>
    </row>
    <row r="141" spans="1:10" x14ac:dyDescent="0.3">
      <c r="A141" s="9" t="s">
        <v>29</v>
      </c>
      <c r="B141" t="s">
        <v>135</v>
      </c>
      <c r="C141" s="4">
        <f t="shared" si="45"/>
        <v>13</v>
      </c>
      <c r="D141">
        <v>10</v>
      </c>
      <c r="E141">
        <v>3</v>
      </c>
      <c r="F141">
        <v>4</v>
      </c>
      <c r="G141">
        <f t="shared" si="46"/>
        <v>3</v>
      </c>
      <c r="H141">
        <v>14</v>
      </c>
      <c r="I141">
        <v>12</v>
      </c>
      <c r="J141">
        <f t="shared" si="47"/>
        <v>2</v>
      </c>
    </row>
    <row r="142" spans="1:10" x14ac:dyDescent="0.3">
      <c r="A142" s="8" t="s">
        <v>31</v>
      </c>
      <c r="B142" t="s">
        <v>196</v>
      </c>
      <c r="C142" s="4">
        <f t="shared" si="45"/>
        <v>12</v>
      </c>
      <c r="D142">
        <v>10</v>
      </c>
      <c r="E142">
        <v>3</v>
      </c>
      <c r="F142">
        <v>3</v>
      </c>
      <c r="G142">
        <f t="shared" si="46"/>
        <v>4</v>
      </c>
      <c r="H142">
        <v>12</v>
      </c>
      <c r="I142">
        <v>12</v>
      </c>
      <c r="J142">
        <f t="shared" si="47"/>
        <v>0</v>
      </c>
    </row>
    <row r="143" spans="1:10" x14ac:dyDescent="0.3">
      <c r="A143" s="8" t="s">
        <v>32</v>
      </c>
      <c r="B143" t="s">
        <v>536</v>
      </c>
      <c r="C143" s="4">
        <f t="shared" si="45"/>
        <v>6</v>
      </c>
      <c r="D143">
        <v>10</v>
      </c>
      <c r="E143">
        <v>1</v>
      </c>
      <c r="F143">
        <v>3</v>
      </c>
      <c r="G143">
        <f t="shared" si="46"/>
        <v>6</v>
      </c>
      <c r="H143">
        <v>10</v>
      </c>
      <c r="I143">
        <v>19</v>
      </c>
      <c r="J143">
        <f t="shared" si="47"/>
        <v>-9</v>
      </c>
    </row>
  </sheetData>
  <sortState xmlns:xlrd2="http://schemas.microsoft.com/office/spreadsheetml/2017/richdata2" ref="AC35:AD50">
    <sortCondition descending="1" ref="AD35:AD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F669-981C-4C2F-A25F-69EE7E7CAE1C}">
  <dimension ref="A1:AW150"/>
  <sheetViews>
    <sheetView topLeftCell="AK1" workbookViewId="0">
      <selection activeCell="AY2" sqref="AY2"/>
    </sheetView>
  </sheetViews>
  <sheetFormatPr defaultRowHeight="14.4" x14ac:dyDescent="0.3"/>
  <sheetData>
    <row r="1" spans="1:49" x14ac:dyDescent="0.3">
      <c r="A1" t="s">
        <v>114</v>
      </c>
      <c r="F1" t="s">
        <v>104</v>
      </c>
      <c r="K1" t="s">
        <v>282</v>
      </c>
      <c r="P1" t="s">
        <v>360</v>
      </c>
      <c r="U1" t="s">
        <v>377</v>
      </c>
      <c r="AD1" t="s">
        <v>427</v>
      </c>
      <c r="AM1" t="s">
        <v>456</v>
      </c>
      <c r="AV1" t="s">
        <v>15</v>
      </c>
    </row>
    <row r="2" spans="1:49" x14ac:dyDescent="0.3">
      <c r="A2" t="s">
        <v>115</v>
      </c>
      <c r="B2" t="s">
        <v>143</v>
      </c>
      <c r="C2" t="s">
        <v>116</v>
      </c>
      <c r="F2" t="s">
        <v>83</v>
      </c>
      <c r="G2" t="s">
        <v>178</v>
      </c>
      <c r="H2" t="s">
        <v>122</v>
      </c>
      <c r="K2" t="s">
        <v>97</v>
      </c>
      <c r="L2" t="s">
        <v>178</v>
      </c>
      <c r="M2" t="s">
        <v>83</v>
      </c>
      <c r="P2" t="s">
        <v>194</v>
      </c>
      <c r="Q2" t="s">
        <v>178</v>
      </c>
      <c r="R2" t="s">
        <v>97</v>
      </c>
      <c r="U2" t="s">
        <v>74</v>
      </c>
      <c r="V2" t="s">
        <v>109</v>
      </c>
      <c r="W2" t="s">
        <v>57</v>
      </c>
      <c r="Y2" t="s">
        <v>57</v>
      </c>
      <c r="Z2" t="s">
        <v>146</v>
      </c>
      <c r="AA2" t="s">
        <v>74</v>
      </c>
      <c r="AD2" t="s">
        <v>84</v>
      </c>
      <c r="AE2" t="s">
        <v>178</v>
      </c>
      <c r="AF2" t="s">
        <v>60</v>
      </c>
      <c r="AH2" t="s">
        <v>60</v>
      </c>
      <c r="AI2" t="s">
        <v>108</v>
      </c>
      <c r="AJ2" t="s">
        <v>84</v>
      </c>
      <c r="AM2" t="s">
        <v>49</v>
      </c>
      <c r="AN2" t="s">
        <v>109</v>
      </c>
      <c r="AO2" t="s">
        <v>100</v>
      </c>
      <c r="AQ2" t="s">
        <v>100</v>
      </c>
      <c r="AR2" t="s">
        <v>382</v>
      </c>
      <c r="AS2" t="s">
        <v>49</v>
      </c>
      <c r="AV2" t="s">
        <v>84</v>
      </c>
      <c r="AW2">
        <v>1</v>
      </c>
    </row>
    <row r="3" spans="1:49" x14ac:dyDescent="0.3">
      <c r="A3" t="s">
        <v>144</v>
      </c>
      <c r="F3" t="s">
        <v>227</v>
      </c>
      <c r="K3" t="s">
        <v>327</v>
      </c>
      <c r="P3" t="s">
        <v>361</v>
      </c>
      <c r="W3" t="s">
        <v>378</v>
      </c>
      <c r="Y3" t="s">
        <v>380</v>
      </c>
      <c r="AA3" t="s">
        <v>286</v>
      </c>
      <c r="AD3" t="s">
        <v>428</v>
      </c>
      <c r="AJ3" t="s">
        <v>429</v>
      </c>
      <c r="AO3" t="s">
        <v>457</v>
      </c>
    </row>
    <row r="4" spans="1:49" x14ac:dyDescent="0.3">
      <c r="A4" t="s">
        <v>145</v>
      </c>
      <c r="W4" t="s">
        <v>379</v>
      </c>
      <c r="Y4" t="s">
        <v>379</v>
      </c>
      <c r="AJ4" t="s">
        <v>430</v>
      </c>
    </row>
    <row r="5" spans="1:49" x14ac:dyDescent="0.3">
      <c r="F5" t="s">
        <v>138</v>
      </c>
      <c r="G5" t="s">
        <v>146</v>
      </c>
      <c r="H5" t="s">
        <v>69</v>
      </c>
      <c r="K5" t="s">
        <v>182</v>
      </c>
      <c r="L5" t="s">
        <v>241</v>
      </c>
      <c r="M5" t="s">
        <v>194</v>
      </c>
      <c r="P5" t="s">
        <v>138</v>
      </c>
      <c r="Q5" t="s">
        <v>241</v>
      </c>
      <c r="R5" t="s">
        <v>195</v>
      </c>
      <c r="AM5" t="s">
        <v>57</v>
      </c>
      <c r="AN5" t="s">
        <v>383</v>
      </c>
      <c r="AO5" t="s">
        <v>62</v>
      </c>
      <c r="AQ5" t="s">
        <v>62</v>
      </c>
      <c r="AR5" t="s">
        <v>460</v>
      </c>
      <c r="AS5" t="s">
        <v>57</v>
      </c>
    </row>
    <row r="6" spans="1:49" x14ac:dyDescent="0.3">
      <c r="A6" t="s">
        <v>117</v>
      </c>
      <c r="B6" t="s">
        <v>146</v>
      </c>
      <c r="C6" t="s">
        <v>118</v>
      </c>
      <c r="F6" t="s">
        <v>283</v>
      </c>
      <c r="H6" t="s">
        <v>228</v>
      </c>
      <c r="M6" t="s">
        <v>253</v>
      </c>
      <c r="R6" t="s">
        <v>254</v>
      </c>
      <c r="U6" t="s">
        <v>58</v>
      </c>
      <c r="V6" t="s">
        <v>109</v>
      </c>
      <c r="W6" t="s">
        <v>192</v>
      </c>
      <c r="Y6" t="s">
        <v>192</v>
      </c>
      <c r="Z6" t="s">
        <v>382</v>
      </c>
      <c r="AA6" t="s">
        <v>58</v>
      </c>
      <c r="AD6" t="s">
        <v>49</v>
      </c>
      <c r="AE6" t="s">
        <v>431</v>
      </c>
      <c r="AF6" t="s">
        <v>59</v>
      </c>
      <c r="AH6" t="s">
        <v>59</v>
      </c>
      <c r="AI6" t="s">
        <v>241</v>
      </c>
      <c r="AJ6" t="s">
        <v>49</v>
      </c>
      <c r="AM6" t="s">
        <v>458</v>
      </c>
      <c r="AO6" t="s">
        <v>459</v>
      </c>
      <c r="AQ6" t="s">
        <v>462</v>
      </c>
      <c r="AS6" t="s">
        <v>461</v>
      </c>
    </row>
    <row r="7" spans="1:49" x14ac:dyDescent="0.3">
      <c r="A7" t="s">
        <v>147</v>
      </c>
      <c r="C7" t="s">
        <v>149</v>
      </c>
      <c r="F7" t="s">
        <v>230</v>
      </c>
      <c r="W7" t="s">
        <v>381</v>
      </c>
      <c r="AD7" t="s">
        <v>433</v>
      </c>
      <c r="AF7" t="s">
        <v>434</v>
      </c>
      <c r="AJ7" t="s">
        <v>436</v>
      </c>
      <c r="AQ7" t="s">
        <v>463</v>
      </c>
    </row>
    <row r="8" spans="1:49" x14ac:dyDescent="0.3">
      <c r="A8" t="s">
        <v>148</v>
      </c>
      <c r="K8" t="s">
        <v>138</v>
      </c>
      <c r="L8" t="s">
        <v>178</v>
      </c>
      <c r="M8" t="s">
        <v>209</v>
      </c>
      <c r="P8" t="s">
        <v>184</v>
      </c>
      <c r="Q8" t="s">
        <v>108</v>
      </c>
      <c r="R8" t="s">
        <v>211</v>
      </c>
      <c r="W8" t="s">
        <v>375</v>
      </c>
      <c r="AD8" t="s">
        <v>432</v>
      </c>
      <c r="AF8" t="s">
        <v>435</v>
      </c>
      <c r="AQ8" t="s">
        <v>465</v>
      </c>
    </row>
    <row r="9" spans="1:49" x14ac:dyDescent="0.3">
      <c r="F9" t="s">
        <v>30</v>
      </c>
      <c r="G9" t="s">
        <v>146</v>
      </c>
      <c r="H9" t="s">
        <v>117</v>
      </c>
      <c r="K9" t="s">
        <v>229</v>
      </c>
      <c r="R9" t="s">
        <v>362</v>
      </c>
      <c r="AQ9" t="s">
        <v>464</v>
      </c>
    </row>
    <row r="10" spans="1:49" x14ac:dyDescent="0.3">
      <c r="A10" t="s">
        <v>119</v>
      </c>
      <c r="B10" t="s">
        <v>2</v>
      </c>
      <c r="C10" t="s">
        <v>120</v>
      </c>
      <c r="F10" t="s">
        <v>284</v>
      </c>
      <c r="H10" t="s">
        <v>231</v>
      </c>
      <c r="R10" t="s">
        <v>363</v>
      </c>
      <c r="U10" t="s">
        <v>61</v>
      </c>
      <c r="V10" t="s">
        <v>383</v>
      </c>
      <c r="W10" t="s">
        <v>187</v>
      </c>
      <c r="Y10" t="s">
        <v>187</v>
      </c>
      <c r="Z10" t="s">
        <v>281</v>
      </c>
      <c r="AA10" t="s">
        <v>61</v>
      </c>
      <c r="AD10" t="s">
        <v>197</v>
      </c>
      <c r="AE10" t="s">
        <v>156</v>
      </c>
      <c r="AF10" t="s">
        <v>47</v>
      </c>
      <c r="AH10" t="s">
        <v>47</v>
      </c>
      <c r="AI10" t="s">
        <v>382</v>
      </c>
      <c r="AJ10" t="s">
        <v>197</v>
      </c>
    </row>
    <row r="11" spans="1:49" x14ac:dyDescent="0.3">
      <c r="A11" t="s">
        <v>150</v>
      </c>
      <c r="C11" t="s">
        <v>151</v>
      </c>
      <c r="F11" t="s">
        <v>232</v>
      </c>
      <c r="K11" t="s">
        <v>195</v>
      </c>
      <c r="L11" t="s">
        <v>178</v>
      </c>
      <c r="M11" t="s">
        <v>133</v>
      </c>
      <c r="U11" t="s">
        <v>384</v>
      </c>
      <c r="W11" t="s">
        <v>368</v>
      </c>
      <c r="Y11" t="s">
        <v>385</v>
      </c>
      <c r="AA11" t="s">
        <v>386</v>
      </c>
      <c r="AD11" t="s">
        <v>437</v>
      </c>
      <c r="AM11" t="s">
        <v>201</v>
      </c>
      <c r="AN11" t="s">
        <v>383</v>
      </c>
      <c r="AO11" t="s">
        <v>197</v>
      </c>
      <c r="AQ11" t="s">
        <v>197</v>
      </c>
      <c r="AR11" t="s">
        <v>146</v>
      </c>
      <c r="AS11" t="s">
        <v>201</v>
      </c>
    </row>
    <row r="12" spans="1:49" x14ac:dyDescent="0.3">
      <c r="K12" t="s">
        <v>254</v>
      </c>
      <c r="P12" t="s">
        <v>127</v>
      </c>
      <c r="Q12" t="s">
        <v>364</v>
      </c>
      <c r="R12" t="s">
        <v>197</v>
      </c>
      <c r="Y12" t="s">
        <v>337</v>
      </c>
      <c r="AD12" t="s">
        <v>438</v>
      </c>
      <c r="AM12" t="s">
        <v>466</v>
      </c>
      <c r="AO12" t="s">
        <v>467</v>
      </c>
      <c r="AQ12" t="s">
        <v>468</v>
      </c>
      <c r="AS12" t="s">
        <v>469</v>
      </c>
    </row>
    <row r="13" spans="1:49" x14ac:dyDescent="0.3">
      <c r="A13" t="s">
        <v>121</v>
      </c>
      <c r="B13" t="s">
        <v>152</v>
      </c>
      <c r="C13" t="s">
        <v>122</v>
      </c>
      <c r="F13" t="s">
        <v>127</v>
      </c>
      <c r="G13" t="s">
        <v>178</v>
      </c>
      <c r="H13" t="s">
        <v>82</v>
      </c>
    </row>
    <row r="14" spans="1:49" x14ac:dyDescent="0.3">
      <c r="A14" t="s">
        <v>153</v>
      </c>
      <c r="C14" t="s">
        <v>154</v>
      </c>
      <c r="F14" t="s">
        <v>285</v>
      </c>
      <c r="K14" t="s">
        <v>211</v>
      </c>
      <c r="L14" t="s">
        <v>146</v>
      </c>
      <c r="M14" t="s">
        <v>30</v>
      </c>
      <c r="P14" t="s">
        <v>84</v>
      </c>
      <c r="Q14" t="s">
        <v>248</v>
      </c>
      <c r="R14" t="s">
        <v>215</v>
      </c>
      <c r="U14" t="s">
        <v>64</v>
      </c>
      <c r="V14" t="s">
        <v>109</v>
      </c>
      <c r="W14" t="s">
        <v>59</v>
      </c>
      <c r="Y14" t="s">
        <v>59</v>
      </c>
      <c r="Z14" t="s">
        <v>152</v>
      </c>
      <c r="AA14" t="s">
        <v>64</v>
      </c>
      <c r="AD14" t="s">
        <v>100</v>
      </c>
      <c r="AE14" t="s">
        <v>156</v>
      </c>
      <c r="AF14" t="s">
        <v>187</v>
      </c>
      <c r="AH14" t="s">
        <v>187</v>
      </c>
      <c r="AI14" t="s">
        <v>178</v>
      </c>
      <c r="AJ14" t="s">
        <v>100</v>
      </c>
      <c r="AM14" t="s">
        <v>0</v>
      </c>
      <c r="AN14" t="s">
        <v>241</v>
      </c>
      <c r="AO14" t="s">
        <v>84</v>
      </c>
      <c r="AQ14" t="s">
        <v>84</v>
      </c>
      <c r="AR14" t="s">
        <v>471</v>
      </c>
      <c r="AS14" t="s">
        <v>0</v>
      </c>
    </row>
    <row r="15" spans="1:49" x14ac:dyDescent="0.3">
      <c r="C15" t="s">
        <v>155</v>
      </c>
      <c r="K15" t="s">
        <v>328</v>
      </c>
      <c r="M15" t="s">
        <v>284</v>
      </c>
      <c r="P15" t="s">
        <v>103</v>
      </c>
      <c r="W15" t="s">
        <v>261</v>
      </c>
      <c r="Y15" t="s">
        <v>388</v>
      </c>
      <c r="AA15" t="s">
        <v>389</v>
      </c>
      <c r="AD15" t="s">
        <v>439</v>
      </c>
      <c r="AH15" t="s">
        <v>441</v>
      </c>
      <c r="AO15" t="s">
        <v>470</v>
      </c>
      <c r="AQ15" t="s">
        <v>472</v>
      </c>
      <c r="AS15" t="s">
        <v>473</v>
      </c>
    </row>
    <row r="16" spans="1:49" x14ac:dyDescent="0.3">
      <c r="F16" t="s">
        <v>65</v>
      </c>
      <c r="G16" t="s">
        <v>2</v>
      </c>
      <c r="H16" t="s">
        <v>141</v>
      </c>
      <c r="P16" t="s">
        <v>365</v>
      </c>
      <c r="W16" t="s">
        <v>387</v>
      </c>
      <c r="AA16" t="s">
        <v>390</v>
      </c>
      <c r="AD16" t="s">
        <v>440</v>
      </c>
      <c r="AS16" t="s">
        <v>474</v>
      </c>
    </row>
    <row r="17" spans="1:45" x14ac:dyDescent="0.3">
      <c r="A17" t="s">
        <v>123</v>
      </c>
      <c r="B17" t="s">
        <v>156</v>
      </c>
      <c r="C17" t="s">
        <v>124</v>
      </c>
      <c r="F17" t="s">
        <v>234</v>
      </c>
      <c r="H17" t="s">
        <v>235</v>
      </c>
      <c r="K17" t="s">
        <v>184</v>
      </c>
      <c r="L17" t="s">
        <v>156</v>
      </c>
      <c r="M17" t="s">
        <v>99</v>
      </c>
      <c r="P17" t="s">
        <v>335</v>
      </c>
    </row>
    <row r="18" spans="1:45" x14ac:dyDescent="0.3">
      <c r="A18" t="s">
        <v>157</v>
      </c>
      <c r="K18" t="s">
        <v>329</v>
      </c>
      <c r="U18" t="s">
        <v>54</v>
      </c>
      <c r="V18" t="s">
        <v>383</v>
      </c>
      <c r="W18" t="s">
        <v>47</v>
      </c>
      <c r="Y18" t="s">
        <v>47</v>
      </c>
      <c r="Z18" t="s">
        <v>393</v>
      </c>
      <c r="AA18" t="s">
        <v>54</v>
      </c>
      <c r="AD18" t="s">
        <v>57</v>
      </c>
      <c r="AE18" t="s">
        <v>382</v>
      </c>
      <c r="AF18" t="s">
        <v>192</v>
      </c>
      <c r="AH18" t="s">
        <v>192</v>
      </c>
      <c r="AI18" t="s">
        <v>109</v>
      </c>
      <c r="AJ18" t="s">
        <v>57</v>
      </c>
      <c r="AM18" t="s">
        <v>475</v>
      </c>
    </row>
    <row r="19" spans="1:45" x14ac:dyDescent="0.3">
      <c r="A19" t="s">
        <v>158</v>
      </c>
      <c r="F19" t="s">
        <v>115</v>
      </c>
      <c r="G19" t="s">
        <v>143</v>
      </c>
      <c r="H19" t="s">
        <v>66</v>
      </c>
      <c r="K19" t="s">
        <v>244</v>
      </c>
      <c r="P19" t="s">
        <v>115</v>
      </c>
      <c r="Q19" t="s">
        <v>319</v>
      </c>
      <c r="R19" t="s">
        <v>187</v>
      </c>
      <c r="U19" t="s">
        <v>391</v>
      </c>
      <c r="W19" t="s">
        <v>392</v>
      </c>
      <c r="Y19" t="s">
        <v>394</v>
      </c>
      <c r="AA19" t="s">
        <v>395</v>
      </c>
      <c r="AJ19" t="s">
        <v>442</v>
      </c>
      <c r="AM19" t="s">
        <v>100</v>
      </c>
      <c r="AN19" t="s">
        <v>178</v>
      </c>
      <c r="AO19" t="s">
        <v>62</v>
      </c>
      <c r="AQ19" t="s">
        <v>62</v>
      </c>
      <c r="AR19" t="s">
        <v>477</v>
      </c>
      <c r="AS19" t="s">
        <v>100</v>
      </c>
    </row>
    <row r="20" spans="1:45" x14ac:dyDescent="0.3">
      <c r="F20" t="s">
        <v>144</v>
      </c>
      <c r="P20" t="s">
        <v>366</v>
      </c>
      <c r="R20" t="s">
        <v>367</v>
      </c>
      <c r="AM20" t="s">
        <v>476</v>
      </c>
      <c r="AQ20" t="s">
        <v>478</v>
      </c>
      <c r="AS20" t="s">
        <v>481</v>
      </c>
    </row>
    <row r="21" spans="1:45" x14ac:dyDescent="0.3">
      <c r="A21" t="s">
        <v>125</v>
      </c>
      <c r="B21" t="s">
        <v>156</v>
      </c>
      <c r="C21" t="s">
        <v>126</v>
      </c>
      <c r="F21" t="s">
        <v>236</v>
      </c>
      <c r="K21" t="s">
        <v>127</v>
      </c>
      <c r="L21" t="s">
        <v>146</v>
      </c>
      <c r="M21" t="s">
        <v>213</v>
      </c>
      <c r="R21" t="s">
        <v>368</v>
      </c>
      <c r="U21" t="s">
        <v>0</v>
      </c>
      <c r="V21" t="s">
        <v>178</v>
      </c>
      <c r="W21" t="s">
        <v>211</v>
      </c>
      <c r="Y21" t="s">
        <v>211</v>
      </c>
      <c r="Z21" t="s">
        <v>382</v>
      </c>
      <c r="AA21" t="s">
        <v>0</v>
      </c>
      <c r="AD21" t="s">
        <v>0</v>
      </c>
      <c r="AE21" t="s">
        <v>156</v>
      </c>
      <c r="AF21" t="s">
        <v>1</v>
      </c>
      <c r="AH21" t="s">
        <v>1</v>
      </c>
      <c r="AI21" t="s">
        <v>382</v>
      </c>
      <c r="AJ21" t="s">
        <v>0</v>
      </c>
      <c r="AQ21" t="s">
        <v>479</v>
      </c>
    </row>
    <row r="22" spans="1:45" x14ac:dyDescent="0.3">
      <c r="A22" t="s">
        <v>159</v>
      </c>
      <c r="K22" t="s">
        <v>330</v>
      </c>
      <c r="M22" t="s">
        <v>273</v>
      </c>
      <c r="U22" t="s">
        <v>5</v>
      </c>
      <c r="AD22" t="s">
        <v>443</v>
      </c>
      <c r="AQ22" t="s">
        <v>480</v>
      </c>
    </row>
    <row r="23" spans="1:45" x14ac:dyDescent="0.3">
      <c r="A23" t="s">
        <v>160</v>
      </c>
      <c r="F23" t="s">
        <v>74</v>
      </c>
      <c r="G23" t="s">
        <v>156</v>
      </c>
      <c r="H23" t="s">
        <v>130</v>
      </c>
      <c r="K23" t="s">
        <v>233</v>
      </c>
      <c r="P23" t="s">
        <v>74</v>
      </c>
      <c r="Q23" t="s">
        <v>2</v>
      </c>
      <c r="R23" t="s">
        <v>73</v>
      </c>
      <c r="AD23" t="s">
        <v>444</v>
      </c>
    </row>
    <row r="24" spans="1:45" x14ac:dyDescent="0.3">
      <c r="F24" t="s">
        <v>286</v>
      </c>
      <c r="P24" t="s">
        <v>287</v>
      </c>
      <c r="R24" t="s">
        <v>369</v>
      </c>
      <c r="U24" t="s">
        <v>62</v>
      </c>
      <c r="V24" t="s">
        <v>156</v>
      </c>
      <c r="W24" t="s">
        <v>63</v>
      </c>
      <c r="Y24" t="s">
        <v>63</v>
      </c>
      <c r="Z24" t="s">
        <v>241</v>
      </c>
      <c r="AA24" t="s">
        <v>62</v>
      </c>
      <c r="AM24" t="s">
        <v>197</v>
      </c>
      <c r="AN24" t="s">
        <v>152</v>
      </c>
      <c r="AO24" t="s">
        <v>84</v>
      </c>
      <c r="AQ24" t="s">
        <v>84</v>
      </c>
      <c r="AR24" t="s">
        <v>178</v>
      </c>
      <c r="AS24" t="s">
        <v>197</v>
      </c>
    </row>
    <row r="25" spans="1:45" x14ac:dyDescent="0.3">
      <c r="A25" t="s">
        <v>127</v>
      </c>
      <c r="B25" t="s">
        <v>161</v>
      </c>
      <c r="C25" t="s">
        <v>128</v>
      </c>
      <c r="F25" t="s">
        <v>287</v>
      </c>
      <c r="K25" t="s">
        <v>197</v>
      </c>
      <c r="L25" t="s">
        <v>178</v>
      </c>
      <c r="M25" t="s">
        <v>185</v>
      </c>
      <c r="U25" t="s">
        <v>396</v>
      </c>
      <c r="AA25" t="s">
        <v>396</v>
      </c>
      <c r="AD25" t="s">
        <v>52</v>
      </c>
      <c r="AE25" t="s">
        <v>445</v>
      </c>
      <c r="AF25" t="s">
        <v>201</v>
      </c>
      <c r="AH25" t="s">
        <v>201</v>
      </c>
      <c r="AI25" t="s">
        <v>146</v>
      </c>
      <c r="AJ25" t="s">
        <v>52</v>
      </c>
      <c r="AM25" t="s">
        <v>482</v>
      </c>
      <c r="AO25" t="s">
        <v>483</v>
      </c>
      <c r="AQ25" t="s">
        <v>485</v>
      </c>
    </row>
    <row r="26" spans="1:45" x14ac:dyDescent="0.3">
      <c r="A26" t="s">
        <v>162</v>
      </c>
      <c r="C26" t="s">
        <v>163</v>
      </c>
      <c r="K26" t="s">
        <v>331</v>
      </c>
      <c r="P26" t="s">
        <v>201</v>
      </c>
      <c r="Q26" t="s">
        <v>243</v>
      </c>
      <c r="R26" t="s">
        <v>218</v>
      </c>
      <c r="U26" t="s">
        <v>397</v>
      </c>
      <c r="AF26" t="s">
        <v>448</v>
      </c>
      <c r="AH26" t="s">
        <v>451</v>
      </c>
      <c r="AJ26" t="s">
        <v>450</v>
      </c>
      <c r="AO26" t="s">
        <v>484</v>
      </c>
    </row>
    <row r="27" spans="1:45" x14ac:dyDescent="0.3">
      <c r="F27" t="s">
        <v>119</v>
      </c>
      <c r="G27" t="s">
        <v>288</v>
      </c>
      <c r="H27" t="s">
        <v>80</v>
      </c>
      <c r="P27" t="s">
        <v>260</v>
      </c>
      <c r="R27" t="s">
        <v>370</v>
      </c>
      <c r="AF27" t="s">
        <v>446</v>
      </c>
      <c r="AH27" t="s">
        <v>452</v>
      </c>
    </row>
    <row r="28" spans="1:45" x14ac:dyDescent="0.3">
      <c r="A28" t="s">
        <v>129</v>
      </c>
      <c r="B28" t="s">
        <v>152</v>
      </c>
      <c r="C28" t="s">
        <v>130</v>
      </c>
      <c r="K28" t="s">
        <v>215</v>
      </c>
      <c r="L28" t="s">
        <v>248</v>
      </c>
      <c r="M28" t="s">
        <v>65</v>
      </c>
      <c r="U28" t="s">
        <v>53</v>
      </c>
      <c r="V28" t="s">
        <v>108</v>
      </c>
      <c r="W28" t="s">
        <v>197</v>
      </c>
      <c r="Y28" t="s">
        <v>197</v>
      </c>
      <c r="Z28" t="s">
        <v>152</v>
      </c>
      <c r="AA28" t="s">
        <v>53</v>
      </c>
      <c r="AF28" t="s">
        <v>447</v>
      </c>
      <c r="AM28" t="s">
        <v>107</v>
      </c>
    </row>
    <row r="29" spans="1:45" x14ac:dyDescent="0.3">
      <c r="A29" t="s">
        <v>164</v>
      </c>
      <c r="C29" t="s">
        <v>165</v>
      </c>
      <c r="F29" t="s">
        <v>77</v>
      </c>
      <c r="G29" t="s">
        <v>156</v>
      </c>
      <c r="H29" t="s">
        <v>125</v>
      </c>
      <c r="K29" t="s">
        <v>332</v>
      </c>
      <c r="P29" t="s">
        <v>219</v>
      </c>
      <c r="Q29" t="s">
        <v>152</v>
      </c>
      <c r="R29" t="s">
        <v>203</v>
      </c>
      <c r="W29" t="s">
        <v>398</v>
      </c>
      <c r="Y29" t="s">
        <v>400</v>
      </c>
      <c r="AA29" t="s">
        <v>401</v>
      </c>
      <c r="AF29" t="s">
        <v>449</v>
      </c>
      <c r="AM29" t="s">
        <v>62</v>
      </c>
      <c r="AN29" t="s">
        <v>241</v>
      </c>
      <c r="AO29" t="s">
        <v>84</v>
      </c>
    </row>
    <row r="30" spans="1:45" x14ac:dyDescent="0.3">
      <c r="C30" t="s">
        <v>52</v>
      </c>
      <c r="F30" t="s">
        <v>238</v>
      </c>
      <c r="K30" t="s">
        <v>333</v>
      </c>
      <c r="P30" t="s">
        <v>257</v>
      </c>
      <c r="R30" t="s">
        <v>371</v>
      </c>
      <c r="W30" t="s">
        <v>399</v>
      </c>
      <c r="AA30" t="s">
        <v>402</v>
      </c>
      <c r="AO30" t="s">
        <v>486</v>
      </c>
    </row>
    <row r="31" spans="1:45" x14ac:dyDescent="0.3">
      <c r="K31" t="s">
        <v>334</v>
      </c>
      <c r="R31" t="s">
        <v>372</v>
      </c>
      <c r="AD31" t="s">
        <v>62</v>
      </c>
      <c r="AE31" t="s">
        <v>156</v>
      </c>
      <c r="AF31" t="s">
        <v>87</v>
      </c>
      <c r="AH31" t="s">
        <v>87</v>
      </c>
      <c r="AI31" t="s">
        <v>241</v>
      </c>
      <c r="AJ31" t="s">
        <v>62</v>
      </c>
    </row>
    <row r="32" spans="1:45" x14ac:dyDescent="0.3">
      <c r="A32" t="s">
        <v>131</v>
      </c>
      <c r="B32" t="s">
        <v>166</v>
      </c>
      <c r="C32" t="s">
        <v>132</v>
      </c>
      <c r="F32" t="s">
        <v>135</v>
      </c>
      <c r="G32" t="s">
        <v>245</v>
      </c>
      <c r="H32" t="s">
        <v>79</v>
      </c>
      <c r="U32" t="s">
        <v>203</v>
      </c>
      <c r="V32" t="s">
        <v>178</v>
      </c>
      <c r="W32" t="s">
        <v>1</v>
      </c>
      <c r="Y32" t="s">
        <v>1</v>
      </c>
      <c r="Z32" t="s">
        <v>156</v>
      </c>
      <c r="AA32" t="s">
        <v>203</v>
      </c>
      <c r="AD32" t="s">
        <v>453</v>
      </c>
      <c r="AJ32" t="s">
        <v>455</v>
      </c>
    </row>
    <row r="33" spans="1:30" x14ac:dyDescent="0.3">
      <c r="A33" t="s">
        <v>167</v>
      </c>
      <c r="C33" t="s">
        <v>168</v>
      </c>
      <c r="K33" t="s">
        <v>84</v>
      </c>
      <c r="L33" t="s">
        <v>161</v>
      </c>
      <c r="M33" t="s">
        <v>198</v>
      </c>
      <c r="P33" t="s">
        <v>87</v>
      </c>
      <c r="Q33" t="s">
        <v>281</v>
      </c>
      <c r="R33" t="s">
        <v>79</v>
      </c>
      <c r="U33" t="s">
        <v>403</v>
      </c>
      <c r="Y33" t="s">
        <v>404</v>
      </c>
      <c r="AD33" t="s">
        <v>454</v>
      </c>
    </row>
    <row r="34" spans="1:30" x14ac:dyDescent="0.3">
      <c r="F34" t="s">
        <v>81</v>
      </c>
      <c r="G34" t="s">
        <v>239</v>
      </c>
      <c r="H34" t="s">
        <v>139</v>
      </c>
      <c r="K34" t="s">
        <v>335</v>
      </c>
      <c r="M34" t="s">
        <v>336</v>
      </c>
      <c r="P34" t="s">
        <v>266</v>
      </c>
      <c r="R34" t="s">
        <v>374</v>
      </c>
    </row>
    <row r="35" spans="1:30" x14ac:dyDescent="0.3">
      <c r="A35" t="s">
        <v>133</v>
      </c>
      <c r="B35" t="s">
        <v>146</v>
      </c>
      <c r="C35" t="s">
        <v>134</v>
      </c>
      <c r="F35" t="s">
        <v>240</v>
      </c>
      <c r="H35" t="s">
        <v>179</v>
      </c>
      <c r="P35" t="s">
        <v>373</v>
      </c>
      <c r="U35" t="s">
        <v>194</v>
      </c>
      <c r="V35" t="s">
        <v>241</v>
      </c>
      <c r="W35" t="s">
        <v>60</v>
      </c>
      <c r="Y35" t="s">
        <v>60</v>
      </c>
      <c r="Z35" t="s">
        <v>143</v>
      </c>
      <c r="AA35" t="s">
        <v>194</v>
      </c>
    </row>
    <row r="36" spans="1:30" x14ac:dyDescent="0.3">
      <c r="A36" t="s">
        <v>169</v>
      </c>
      <c r="C36" t="s">
        <v>171</v>
      </c>
      <c r="K36" t="s">
        <v>115</v>
      </c>
      <c r="L36" t="s">
        <v>276</v>
      </c>
      <c r="M36" t="s">
        <v>103</v>
      </c>
      <c r="W36" t="s">
        <v>405</v>
      </c>
      <c r="Y36" t="s">
        <v>406</v>
      </c>
    </row>
    <row r="37" spans="1:30" x14ac:dyDescent="0.3">
      <c r="A37" t="s">
        <v>170</v>
      </c>
      <c r="F37" t="s">
        <v>182</v>
      </c>
      <c r="G37" t="s">
        <v>156</v>
      </c>
      <c r="H37" t="s">
        <v>181</v>
      </c>
      <c r="P37" t="s">
        <v>81</v>
      </c>
      <c r="Q37" t="s">
        <v>241</v>
      </c>
      <c r="R37" t="s">
        <v>192</v>
      </c>
      <c r="Y37" t="s">
        <v>407</v>
      </c>
    </row>
    <row r="38" spans="1:30" x14ac:dyDescent="0.3">
      <c r="F38" t="s">
        <v>289</v>
      </c>
      <c r="K38" t="s">
        <v>98</v>
      </c>
      <c r="L38" t="s">
        <v>241</v>
      </c>
      <c r="M38" t="s">
        <v>187</v>
      </c>
      <c r="R38" t="s">
        <v>375</v>
      </c>
    </row>
    <row r="39" spans="1:30" x14ac:dyDescent="0.3">
      <c r="A39" t="s">
        <v>136</v>
      </c>
      <c r="B39" t="s">
        <v>172</v>
      </c>
      <c r="C39" t="s">
        <v>135</v>
      </c>
      <c r="F39" t="s">
        <v>290</v>
      </c>
      <c r="M39" t="s">
        <v>337</v>
      </c>
      <c r="U39" t="s">
        <v>49</v>
      </c>
      <c r="V39" t="s">
        <v>248</v>
      </c>
      <c r="W39" t="s">
        <v>195</v>
      </c>
      <c r="Y39" t="s">
        <v>195</v>
      </c>
      <c r="Z39" t="s">
        <v>277</v>
      </c>
      <c r="AA39" t="s">
        <v>49</v>
      </c>
    </row>
    <row r="40" spans="1:30" x14ac:dyDescent="0.3">
      <c r="A40" t="s">
        <v>173</v>
      </c>
      <c r="C40" t="s">
        <v>174</v>
      </c>
      <c r="P40" t="s">
        <v>88</v>
      </c>
      <c r="Q40" t="s">
        <v>376</v>
      </c>
      <c r="R40" t="s">
        <v>100</v>
      </c>
      <c r="U40" t="s">
        <v>408</v>
      </c>
      <c r="Y40" t="s">
        <v>254</v>
      </c>
      <c r="AA40" t="s">
        <v>411</v>
      </c>
    </row>
    <row r="41" spans="1:30" x14ac:dyDescent="0.3">
      <c r="F41" t="s">
        <v>183</v>
      </c>
      <c r="G41" t="s">
        <v>241</v>
      </c>
      <c r="H41" t="s">
        <v>133</v>
      </c>
      <c r="K41" t="s">
        <v>73</v>
      </c>
      <c r="L41" t="s">
        <v>146</v>
      </c>
      <c r="M41" t="s">
        <v>72</v>
      </c>
      <c r="U41" t="s">
        <v>409</v>
      </c>
      <c r="Y41" t="s">
        <v>410</v>
      </c>
      <c r="AA41" t="s">
        <v>412</v>
      </c>
    </row>
    <row r="42" spans="1:30" x14ac:dyDescent="0.3">
      <c r="A42" t="s">
        <v>137</v>
      </c>
      <c r="B42" t="s">
        <v>175</v>
      </c>
      <c r="C42" t="s">
        <v>138</v>
      </c>
      <c r="H42" t="s">
        <v>242</v>
      </c>
      <c r="K42" t="s">
        <v>338</v>
      </c>
      <c r="M42" t="s">
        <v>340</v>
      </c>
      <c r="AA42" t="s">
        <v>408</v>
      </c>
    </row>
    <row r="43" spans="1:30" x14ac:dyDescent="0.3">
      <c r="A43" t="s">
        <v>176</v>
      </c>
      <c r="C43" t="s">
        <v>177</v>
      </c>
      <c r="K43" t="s">
        <v>339</v>
      </c>
    </row>
    <row r="44" spans="1:30" x14ac:dyDescent="0.3">
      <c r="F44" t="s">
        <v>184</v>
      </c>
      <c r="G44" t="s">
        <v>281</v>
      </c>
      <c r="H44" t="s">
        <v>101</v>
      </c>
      <c r="U44" t="s">
        <v>55</v>
      </c>
      <c r="V44" t="s">
        <v>178</v>
      </c>
      <c r="W44" t="s">
        <v>100</v>
      </c>
      <c r="Y44" t="s">
        <v>100</v>
      </c>
      <c r="Z44" t="s">
        <v>417</v>
      </c>
      <c r="AA44" t="s">
        <v>55</v>
      </c>
    </row>
    <row r="45" spans="1:30" x14ac:dyDescent="0.3">
      <c r="A45" t="s">
        <v>139</v>
      </c>
      <c r="B45" t="s">
        <v>178</v>
      </c>
      <c r="C45" t="s">
        <v>140</v>
      </c>
      <c r="F45" t="s">
        <v>291</v>
      </c>
      <c r="H45" t="s">
        <v>293</v>
      </c>
      <c r="K45" t="s">
        <v>216</v>
      </c>
      <c r="L45" t="s">
        <v>341</v>
      </c>
      <c r="M45" t="s">
        <v>74</v>
      </c>
      <c r="U45" t="s">
        <v>413</v>
      </c>
      <c r="Y45" t="s">
        <v>414</v>
      </c>
      <c r="AA45" t="s">
        <v>415</v>
      </c>
    </row>
    <row r="46" spans="1:30" x14ac:dyDescent="0.3">
      <c r="A46" t="s">
        <v>179</v>
      </c>
      <c r="F46" t="s">
        <v>292</v>
      </c>
      <c r="K46" t="s">
        <v>342</v>
      </c>
      <c r="M46" t="s">
        <v>237</v>
      </c>
      <c r="Y46" t="s">
        <v>416</v>
      </c>
    </row>
    <row r="48" spans="1:30" x14ac:dyDescent="0.3">
      <c r="A48" t="s">
        <v>141</v>
      </c>
      <c r="B48" t="s">
        <v>178</v>
      </c>
      <c r="C48" t="s">
        <v>142</v>
      </c>
      <c r="F48" t="s">
        <v>70</v>
      </c>
      <c r="G48" t="s">
        <v>108</v>
      </c>
      <c r="H48" t="s">
        <v>185</v>
      </c>
      <c r="K48" t="s">
        <v>201</v>
      </c>
      <c r="L48" t="s">
        <v>343</v>
      </c>
      <c r="M48" t="s">
        <v>189</v>
      </c>
      <c r="U48" t="s">
        <v>84</v>
      </c>
      <c r="V48" t="s">
        <v>382</v>
      </c>
      <c r="W48" t="s">
        <v>48</v>
      </c>
      <c r="Y48" t="s">
        <v>48</v>
      </c>
      <c r="Z48" t="s">
        <v>241</v>
      </c>
      <c r="AA48" t="s">
        <v>84</v>
      </c>
    </row>
    <row r="49" spans="1:27" x14ac:dyDescent="0.3">
      <c r="A49" t="s">
        <v>180</v>
      </c>
      <c r="H49" t="s">
        <v>294</v>
      </c>
      <c r="K49" t="s">
        <v>344</v>
      </c>
      <c r="M49" t="s">
        <v>348</v>
      </c>
      <c r="AA49" t="s">
        <v>365</v>
      </c>
    </row>
    <row r="50" spans="1:27" x14ac:dyDescent="0.3">
      <c r="H50" t="s">
        <v>295</v>
      </c>
      <c r="K50" t="s">
        <v>345</v>
      </c>
      <c r="M50" t="s">
        <v>300</v>
      </c>
    </row>
    <row r="51" spans="1:27" x14ac:dyDescent="0.3">
      <c r="H51" t="s">
        <v>296</v>
      </c>
      <c r="K51" t="s">
        <v>346</v>
      </c>
      <c r="U51" t="s">
        <v>51</v>
      </c>
      <c r="V51" t="s">
        <v>383</v>
      </c>
      <c r="W51" t="s">
        <v>52</v>
      </c>
      <c r="Y51" t="s">
        <v>52</v>
      </c>
      <c r="Z51" t="s">
        <v>156</v>
      </c>
      <c r="AA51" t="s">
        <v>51</v>
      </c>
    </row>
    <row r="52" spans="1:27" x14ac:dyDescent="0.3">
      <c r="K52" t="s">
        <v>347</v>
      </c>
      <c r="U52" t="s">
        <v>418</v>
      </c>
      <c r="W52" t="s">
        <v>419</v>
      </c>
      <c r="Y52" t="s">
        <v>420</v>
      </c>
    </row>
    <row r="53" spans="1:27" x14ac:dyDescent="0.3">
      <c r="F53" t="s">
        <v>132</v>
      </c>
      <c r="G53" t="s">
        <v>241</v>
      </c>
      <c r="H53" t="s">
        <v>84</v>
      </c>
    </row>
    <row r="54" spans="1:27" x14ac:dyDescent="0.3">
      <c r="H54" t="s">
        <v>297</v>
      </c>
      <c r="K54" t="s">
        <v>80</v>
      </c>
      <c r="L54" t="s">
        <v>152</v>
      </c>
      <c r="M54" t="s">
        <v>218</v>
      </c>
      <c r="U54" t="s">
        <v>87</v>
      </c>
      <c r="V54" t="s">
        <v>383</v>
      </c>
      <c r="W54" t="s">
        <v>56</v>
      </c>
      <c r="Y54" t="s">
        <v>56</v>
      </c>
      <c r="Z54" t="s">
        <v>376</v>
      </c>
      <c r="AA54" t="s">
        <v>87</v>
      </c>
    </row>
    <row r="55" spans="1:27" x14ac:dyDescent="0.3">
      <c r="K55" t="s">
        <v>349</v>
      </c>
      <c r="M55" t="s">
        <v>350</v>
      </c>
      <c r="U55" t="s">
        <v>421</v>
      </c>
      <c r="W55" t="s">
        <v>422</v>
      </c>
    </row>
    <row r="56" spans="1:27" x14ac:dyDescent="0.3">
      <c r="F56" t="s">
        <v>186</v>
      </c>
      <c r="G56" t="s">
        <v>246</v>
      </c>
      <c r="H56" t="s">
        <v>187</v>
      </c>
      <c r="M56" t="s">
        <v>351</v>
      </c>
    </row>
    <row r="57" spans="1:27" x14ac:dyDescent="0.3">
      <c r="F57" t="s">
        <v>112</v>
      </c>
      <c r="H57" t="s">
        <v>247</v>
      </c>
      <c r="U57" t="s">
        <v>50</v>
      </c>
      <c r="V57" t="s">
        <v>152</v>
      </c>
      <c r="W57" t="s">
        <v>201</v>
      </c>
      <c r="Y57" t="s">
        <v>201</v>
      </c>
      <c r="Z57" t="s">
        <v>281</v>
      </c>
      <c r="AA57" t="s">
        <v>50</v>
      </c>
    </row>
    <row r="58" spans="1:27" x14ac:dyDescent="0.3">
      <c r="K58" t="s">
        <v>75</v>
      </c>
      <c r="L58" t="s">
        <v>109</v>
      </c>
      <c r="M58" t="s">
        <v>203</v>
      </c>
      <c r="U58" t="s">
        <v>423</v>
      </c>
      <c r="W58" t="s">
        <v>346</v>
      </c>
      <c r="Y58" t="s">
        <v>424</v>
      </c>
      <c r="AA58" t="s">
        <v>426</v>
      </c>
    </row>
    <row r="59" spans="1:27" x14ac:dyDescent="0.3">
      <c r="F59" t="s">
        <v>189</v>
      </c>
      <c r="G59" t="s">
        <v>248</v>
      </c>
      <c r="H59" t="s">
        <v>188</v>
      </c>
      <c r="M59" t="s">
        <v>352</v>
      </c>
      <c r="Y59" t="s">
        <v>259</v>
      </c>
    </row>
    <row r="60" spans="1:27" x14ac:dyDescent="0.3">
      <c r="F60" t="s">
        <v>298</v>
      </c>
      <c r="M60" t="s">
        <v>263</v>
      </c>
      <c r="Y60" t="s">
        <v>425</v>
      </c>
    </row>
    <row r="61" spans="1:27" x14ac:dyDescent="0.3">
      <c r="F61" t="s">
        <v>299</v>
      </c>
    </row>
    <row r="62" spans="1:27" x14ac:dyDescent="0.3">
      <c r="F62" t="s">
        <v>300</v>
      </c>
      <c r="K62" t="s">
        <v>219</v>
      </c>
      <c r="L62" t="s">
        <v>178</v>
      </c>
      <c r="M62" t="s">
        <v>77</v>
      </c>
    </row>
    <row r="63" spans="1:27" x14ac:dyDescent="0.3">
      <c r="K63" t="s">
        <v>321</v>
      </c>
    </row>
    <row r="64" spans="1:27" x14ac:dyDescent="0.3">
      <c r="F64" t="s">
        <v>190</v>
      </c>
      <c r="G64" t="s">
        <v>301</v>
      </c>
      <c r="H64" t="s">
        <v>75</v>
      </c>
    </row>
    <row r="65" spans="6:13" x14ac:dyDescent="0.3">
      <c r="K65" t="s">
        <v>87</v>
      </c>
      <c r="L65" t="s">
        <v>178</v>
      </c>
      <c r="M65" t="s">
        <v>96</v>
      </c>
    </row>
    <row r="66" spans="6:13" x14ac:dyDescent="0.3">
      <c r="F66" t="s">
        <v>96</v>
      </c>
      <c r="G66" t="s">
        <v>178</v>
      </c>
      <c r="H66" t="s">
        <v>191</v>
      </c>
      <c r="K66" t="s">
        <v>291</v>
      </c>
    </row>
    <row r="67" spans="6:13" x14ac:dyDescent="0.3">
      <c r="F67" t="s">
        <v>249</v>
      </c>
    </row>
    <row r="68" spans="6:13" x14ac:dyDescent="0.3">
      <c r="K68" t="s">
        <v>79</v>
      </c>
      <c r="L68" t="s">
        <v>143</v>
      </c>
      <c r="M68" t="s">
        <v>222</v>
      </c>
    </row>
    <row r="69" spans="6:13" x14ac:dyDescent="0.3">
      <c r="F69" t="s">
        <v>192</v>
      </c>
      <c r="G69" t="s">
        <v>156</v>
      </c>
      <c r="H69" t="s">
        <v>95</v>
      </c>
      <c r="K69" t="s">
        <v>353</v>
      </c>
    </row>
    <row r="70" spans="6:13" x14ac:dyDescent="0.3">
      <c r="F70" t="s">
        <v>302</v>
      </c>
      <c r="K70" t="s">
        <v>354</v>
      </c>
    </row>
    <row r="71" spans="6:13" x14ac:dyDescent="0.3">
      <c r="F71" t="s">
        <v>303</v>
      </c>
      <c r="K71" t="s">
        <v>355</v>
      </c>
    </row>
    <row r="73" spans="6:13" x14ac:dyDescent="0.3">
      <c r="F73" t="s">
        <v>68</v>
      </c>
      <c r="G73" t="s">
        <v>250</v>
      </c>
      <c r="H73" t="s">
        <v>123</v>
      </c>
      <c r="K73" t="s">
        <v>192</v>
      </c>
      <c r="L73" t="s">
        <v>2</v>
      </c>
      <c r="M73" t="s">
        <v>207</v>
      </c>
    </row>
    <row r="74" spans="6:13" x14ac:dyDescent="0.3">
      <c r="F74" t="s">
        <v>251</v>
      </c>
      <c r="H74" t="s">
        <v>252</v>
      </c>
      <c r="K74" t="s">
        <v>302</v>
      </c>
      <c r="M74" t="s">
        <v>267</v>
      </c>
    </row>
    <row r="76" spans="6:13" x14ac:dyDescent="0.3">
      <c r="F76" t="s">
        <v>194</v>
      </c>
      <c r="G76" t="s">
        <v>2</v>
      </c>
      <c r="H76" t="s">
        <v>193</v>
      </c>
      <c r="K76" t="s">
        <v>223</v>
      </c>
      <c r="L76" t="s">
        <v>268</v>
      </c>
      <c r="M76" t="s">
        <v>81</v>
      </c>
    </row>
    <row r="77" spans="6:13" x14ac:dyDescent="0.3">
      <c r="F77" t="s">
        <v>304</v>
      </c>
      <c r="H77" t="s">
        <v>305</v>
      </c>
    </row>
    <row r="78" spans="6:13" x14ac:dyDescent="0.3">
      <c r="K78" t="s">
        <v>88</v>
      </c>
      <c r="L78" t="s">
        <v>161</v>
      </c>
      <c r="M78" t="s">
        <v>123</v>
      </c>
    </row>
    <row r="79" spans="6:13" x14ac:dyDescent="0.3">
      <c r="F79" t="s">
        <v>195</v>
      </c>
      <c r="G79" t="s">
        <v>156</v>
      </c>
      <c r="H79" t="s">
        <v>76</v>
      </c>
      <c r="K79" t="s">
        <v>356</v>
      </c>
      <c r="M79" t="s">
        <v>357</v>
      </c>
    </row>
    <row r="80" spans="6:13" x14ac:dyDescent="0.3">
      <c r="F80" t="s">
        <v>255</v>
      </c>
    </row>
    <row r="81" spans="6:13" x14ac:dyDescent="0.3">
      <c r="K81" t="s">
        <v>100</v>
      </c>
      <c r="L81" t="s">
        <v>248</v>
      </c>
      <c r="M81" t="s">
        <v>226</v>
      </c>
    </row>
    <row r="82" spans="6:13" x14ac:dyDescent="0.3">
      <c r="F82" t="s">
        <v>99</v>
      </c>
      <c r="G82" t="s">
        <v>248</v>
      </c>
      <c r="H82" t="s">
        <v>196</v>
      </c>
      <c r="K82" t="s">
        <v>358</v>
      </c>
    </row>
    <row r="83" spans="6:13" x14ac:dyDescent="0.3">
      <c r="F83" t="s">
        <v>306</v>
      </c>
      <c r="K83" t="s">
        <v>359</v>
      </c>
    </row>
    <row r="84" spans="6:13" x14ac:dyDescent="0.3">
      <c r="F84" t="s">
        <v>256</v>
      </c>
    </row>
    <row r="85" spans="6:13" x14ac:dyDescent="0.3">
      <c r="F85" t="s">
        <v>307</v>
      </c>
    </row>
    <row r="87" spans="6:13" x14ac:dyDescent="0.3">
      <c r="F87" t="s">
        <v>197</v>
      </c>
      <c r="G87" t="s">
        <v>178</v>
      </c>
      <c r="H87" t="s">
        <v>91</v>
      </c>
    </row>
    <row r="88" spans="6:13" x14ac:dyDescent="0.3">
      <c r="F88" t="s">
        <v>308</v>
      </c>
    </row>
    <row r="90" spans="6:13" x14ac:dyDescent="0.3">
      <c r="F90" t="s">
        <v>199</v>
      </c>
      <c r="G90" t="s">
        <v>309</v>
      </c>
      <c r="H90" t="s">
        <v>198</v>
      </c>
    </row>
    <row r="92" spans="6:13" x14ac:dyDescent="0.3">
      <c r="F92" t="s">
        <v>72</v>
      </c>
      <c r="G92" t="s">
        <v>178</v>
      </c>
      <c r="H92" t="s">
        <v>200</v>
      </c>
    </row>
    <row r="93" spans="6:13" x14ac:dyDescent="0.3">
      <c r="F93" t="s">
        <v>310</v>
      </c>
    </row>
    <row r="95" spans="6:13" x14ac:dyDescent="0.3">
      <c r="F95" t="s">
        <v>201</v>
      </c>
      <c r="G95" t="s">
        <v>258</v>
      </c>
      <c r="H95" t="s">
        <v>202</v>
      </c>
    </row>
    <row r="96" spans="6:13" x14ac:dyDescent="0.3">
      <c r="F96" t="s">
        <v>259</v>
      </c>
      <c r="H96" t="s">
        <v>261</v>
      </c>
    </row>
    <row r="97" spans="6:8" x14ac:dyDescent="0.3">
      <c r="F97" t="s">
        <v>260</v>
      </c>
      <c r="H97" t="s">
        <v>262</v>
      </c>
    </row>
    <row r="99" spans="6:8" x14ac:dyDescent="0.3">
      <c r="F99" t="s">
        <v>203</v>
      </c>
      <c r="G99" t="s">
        <v>178</v>
      </c>
      <c r="H99" t="s">
        <v>204</v>
      </c>
    </row>
    <row r="100" spans="6:8" x14ac:dyDescent="0.3">
      <c r="F100" t="s">
        <v>263</v>
      </c>
    </row>
    <row r="102" spans="6:8" x14ac:dyDescent="0.3">
      <c r="F102" t="s">
        <v>205</v>
      </c>
      <c r="G102" t="s">
        <v>152</v>
      </c>
      <c r="H102" t="s">
        <v>87</v>
      </c>
    </row>
    <row r="103" spans="6:8" x14ac:dyDescent="0.3">
      <c r="F103" t="s">
        <v>264</v>
      </c>
      <c r="H103" t="s">
        <v>265</v>
      </c>
    </row>
    <row r="104" spans="6:8" x14ac:dyDescent="0.3">
      <c r="H104" t="s">
        <v>266</v>
      </c>
    </row>
    <row r="106" spans="6:8" x14ac:dyDescent="0.3">
      <c r="F106" t="s">
        <v>207</v>
      </c>
      <c r="G106" t="s">
        <v>178</v>
      </c>
      <c r="H106" t="s">
        <v>206</v>
      </c>
    </row>
    <row r="107" spans="6:8" x14ac:dyDescent="0.3">
      <c r="F107" t="s">
        <v>311</v>
      </c>
    </row>
    <row r="109" spans="6:8" x14ac:dyDescent="0.3">
      <c r="F109" t="s">
        <v>208</v>
      </c>
      <c r="G109" t="s">
        <v>312</v>
      </c>
      <c r="H109" t="s">
        <v>88</v>
      </c>
    </row>
    <row r="111" spans="6:8" x14ac:dyDescent="0.3">
      <c r="F111" t="s">
        <v>209</v>
      </c>
      <c r="G111" t="s">
        <v>156</v>
      </c>
      <c r="H111" t="s">
        <v>210</v>
      </c>
    </row>
    <row r="112" spans="6:8" x14ac:dyDescent="0.3">
      <c r="F112" t="s">
        <v>269</v>
      </c>
    </row>
    <row r="113" spans="6:8" x14ac:dyDescent="0.3">
      <c r="F113" t="s">
        <v>270</v>
      </c>
    </row>
    <row r="115" spans="6:8" x14ac:dyDescent="0.3">
      <c r="F115" t="s">
        <v>211</v>
      </c>
      <c r="G115" t="s">
        <v>156</v>
      </c>
      <c r="H115" t="s">
        <v>212</v>
      </c>
    </row>
    <row r="116" spans="6:8" x14ac:dyDescent="0.3">
      <c r="F116" t="s">
        <v>271</v>
      </c>
    </row>
    <row r="117" spans="6:8" x14ac:dyDescent="0.3">
      <c r="F117" t="s">
        <v>272</v>
      </c>
    </row>
    <row r="119" spans="6:8" x14ac:dyDescent="0.3">
      <c r="F119" t="s">
        <v>213</v>
      </c>
      <c r="G119" t="s">
        <v>146</v>
      </c>
      <c r="H119" t="s">
        <v>214</v>
      </c>
    </row>
    <row r="120" spans="6:8" x14ac:dyDescent="0.3">
      <c r="F120" t="s">
        <v>273</v>
      </c>
      <c r="H120" t="s">
        <v>275</v>
      </c>
    </row>
    <row r="121" spans="6:8" x14ac:dyDescent="0.3">
      <c r="F121" t="s">
        <v>274</v>
      </c>
    </row>
    <row r="123" spans="6:8" x14ac:dyDescent="0.3">
      <c r="F123" t="s">
        <v>215</v>
      </c>
      <c r="G123" t="s">
        <v>276</v>
      </c>
      <c r="H123" t="s">
        <v>85</v>
      </c>
    </row>
    <row r="125" spans="6:8" x14ac:dyDescent="0.3">
      <c r="F125" t="s">
        <v>103</v>
      </c>
      <c r="G125" t="s">
        <v>146</v>
      </c>
      <c r="H125" t="s">
        <v>94</v>
      </c>
    </row>
    <row r="126" spans="6:8" x14ac:dyDescent="0.3">
      <c r="F126" t="s">
        <v>313</v>
      </c>
      <c r="H126" t="s">
        <v>278</v>
      </c>
    </row>
    <row r="127" spans="6:8" x14ac:dyDescent="0.3">
      <c r="F127" t="s">
        <v>314</v>
      </c>
    </row>
    <row r="129" spans="6:8" x14ac:dyDescent="0.3">
      <c r="F129" t="s">
        <v>216</v>
      </c>
      <c r="G129" t="s">
        <v>143</v>
      </c>
      <c r="H129" t="s">
        <v>92</v>
      </c>
    </row>
    <row r="130" spans="6:8" x14ac:dyDescent="0.3">
      <c r="F130" t="s">
        <v>315</v>
      </c>
    </row>
    <row r="131" spans="6:8" x14ac:dyDescent="0.3">
      <c r="F131" t="s">
        <v>316</v>
      </c>
    </row>
    <row r="132" spans="6:8" x14ac:dyDescent="0.3">
      <c r="F132" t="s">
        <v>103</v>
      </c>
    </row>
    <row r="134" spans="6:8" x14ac:dyDescent="0.3">
      <c r="F134" t="s">
        <v>218</v>
      </c>
      <c r="G134" t="s">
        <v>317</v>
      </c>
      <c r="H134" t="s">
        <v>217</v>
      </c>
    </row>
    <row r="135" spans="6:8" x14ac:dyDescent="0.3">
      <c r="F135" t="s">
        <v>318</v>
      </c>
      <c r="H135" t="s">
        <v>170</v>
      </c>
    </row>
    <row r="137" spans="6:8" x14ac:dyDescent="0.3">
      <c r="F137" t="s">
        <v>220</v>
      </c>
      <c r="G137" t="s">
        <v>319</v>
      </c>
      <c r="H137" t="s">
        <v>219</v>
      </c>
    </row>
    <row r="138" spans="6:8" x14ac:dyDescent="0.3">
      <c r="F138" t="s">
        <v>320</v>
      </c>
      <c r="H138" t="s">
        <v>321</v>
      </c>
    </row>
    <row r="139" spans="6:8" x14ac:dyDescent="0.3">
      <c r="H139" t="s">
        <v>322</v>
      </c>
    </row>
    <row r="141" spans="6:8" x14ac:dyDescent="0.3">
      <c r="F141" t="s">
        <v>222</v>
      </c>
      <c r="G141" t="s">
        <v>146</v>
      </c>
      <c r="H141" t="s">
        <v>221</v>
      </c>
    </row>
    <row r="142" spans="6:8" x14ac:dyDescent="0.3">
      <c r="F142" t="s">
        <v>323</v>
      </c>
      <c r="H142" t="s">
        <v>279</v>
      </c>
    </row>
    <row r="143" spans="6:8" x14ac:dyDescent="0.3">
      <c r="F143" t="s">
        <v>324</v>
      </c>
    </row>
    <row r="145" spans="6:8" x14ac:dyDescent="0.3">
      <c r="F145" t="s">
        <v>224</v>
      </c>
      <c r="G145" t="s">
        <v>109</v>
      </c>
      <c r="H145" t="s">
        <v>223</v>
      </c>
    </row>
    <row r="146" spans="6:8" x14ac:dyDescent="0.3">
      <c r="H146" t="s">
        <v>325</v>
      </c>
    </row>
    <row r="147" spans="6:8" x14ac:dyDescent="0.3">
      <c r="H147" t="s">
        <v>280</v>
      </c>
    </row>
    <row r="149" spans="6:8" x14ac:dyDescent="0.3">
      <c r="F149" t="s">
        <v>226</v>
      </c>
      <c r="G149" t="s">
        <v>178</v>
      </c>
      <c r="H149" t="s">
        <v>225</v>
      </c>
    </row>
    <row r="150" spans="6:8" x14ac:dyDescent="0.3">
      <c r="F150" t="s">
        <v>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E6A7-4C06-4227-AE5A-F98CF782BE82}">
  <dimension ref="A1:AS61"/>
  <sheetViews>
    <sheetView tabSelected="1" topLeftCell="W1" workbookViewId="0">
      <selection activeCell="AF5" sqref="AF5"/>
    </sheetView>
  </sheetViews>
  <sheetFormatPr defaultRowHeight="14.4" x14ac:dyDescent="0.3"/>
  <sheetData>
    <row r="1" spans="1:45" x14ac:dyDescent="0.3">
      <c r="A1" t="s">
        <v>556</v>
      </c>
      <c r="Q1" t="s">
        <v>559</v>
      </c>
      <c r="AG1" t="s">
        <v>562</v>
      </c>
      <c r="AR1" t="s">
        <v>567</v>
      </c>
    </row>
    <row r="2" spans="1:45" x14ac:dyDescent="0.3">
      <c r="A2" t="s">
        <v>105</v>
      </c>
      <c r="L2" t="s">
        <v>129</v>
      </c>
      <c r="M2" s="1" t="s">
        <v>431</v>
      </c>
      <c r="N2" t="s">
        <v>76</v>
      </c>
      <c r="O2" t="s">
        <v>557</v>
      </c>
      <c r="Q2" t="s">
        <v>105</v>
      </c>
      <c r="AG2" t="s">
        <v>563</v>
      </c>
      <c r="AR2" t="s">
        <v>68</v>
      </c>
      <c r="AS2">
        <v>1</v>
      </c>
    </row>
    <row r="3" spans="1:45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M3" s="1" t="s">
        <v>477</v>
      </c>
      <c r="N3" t="s">
        <v>101</v>
      </c>
      <c r="O3" t="s">
        <v>557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B3" t="s">
        <v>58</v>
      </c>
      <c r="AC3" s="10" t="s">
        <v>383</v>
      </c>
      <c r="AD3" t="s">
        <v>212</v>
      </c>
      <c r="AE3" t="s">
        <v>557</v>
      </c>
      <c r="AG3" t="s">
        <v>105</v>
      </c>
      <c r="AR3" t="s">
        <v>181</v>
      </c>
      <c r="AS3">
        <v>1</v>
      </c>
    </row>
    <row r="4" spans="1:45" x14ac:dyDescent="0.3">
      <c r="A4" s="9" t="s">
        <v>26</v>
      </c>
      <c r="B4" t="s">
        <v>68</v>
      </c>
      <c r="C4" s="4">
        <f t="shared" ref="C4:C9" si="0">E4*3+F4</f>
        <v>13</v>
      </c>
      <c r="D4">
        <v>6</v>
      </c>
      <c r="E4">
        <v>4</v>
      </c>
      <c r="F4">
        <v>1</v>
      </c>
      <c r="G4">
        <f t="shared" ref="G4:G9" si="1">D4-E4-F4</f>
        <v>1</v>
      </c>
      <c r="H4">
        <v>9</v>
      </c>
      <c r="I4">
        <v>4</v>
      </c>
      <c r="J4">
        <f t="shared" ref="J4:J9" si="2">H4-I4</f>
        <v>5</v>
      </c>
      <c r="M4" s="2" t="s">
        <v>109</v>
      </c>
      <c r="N4" t="s">
        <v>79</v>
      </c>
      <c r="O4" t="s">
        <v>558</v>
      </c>
      <c r="Q4" s="9" t="s">
        <v>26</v>
      </c>
      <c r="R4" t="s">
        <v>92</v>
      </c>
      <c r="S4" s="4">
        <f>U4*3+V4</f>
        <v>13</v>
      </c>
      <c r="T4">
        <v>5</v>
      </c>
      <c r="U4">
        <v>4</v>
      </c>
      <c r="V4">
        <v>1</v>
      </c>
      <c r="W4">
        <f>T4-U4-V4</f>
        <v>0</v>
      </c>
      <c r="X4">
        <v>8</v>
      </c>
      <c r="Y4">
        <v>1</v>
      </c>
      <c r="Z4">
        <f>X4-Y4</f>
        <v>7</v>
      </c>
      <c r="AC4" s="10" t="s">
        <v>471</v>
      </c>
      <c r="AD4" t="s">
        <v>69</v>
      </c>
      <c r="AE4" t="s">
        <v>558</v>
      </c>
      <c r="AG4" t="s">
        <v>16</v>
      </c>
      <c r="AH4" t="s">
        <v>17</v>
      </c>
      <c r="AI4" t="s">
        <v>18</v>
      </c>
      <c r="AJ4" t="s">
        <v>19</v>
      </c>
      <c r="AK4" t="s">
        <v>20</v>
      </c>
      <c r="AL4" t="s">
        <v>21</v>
      </c>
      <c r="AM4" t="s">
        <v>22</v>
      </c>
      <c r="AN4" t="s">
        <v>23</v>
      </c>
      <c r="AO4" t="s">
        <v>24</v>
      </c>
      <c r="AP4" t="s">
        <v>25</v>
      </c>
      <c r="AR4" t="s">
        <v>193</v>
      </c>
      <c r="AS4">
        <v>1</v>
      </c>
    </row>
    <row r="5" spans="1:45" x14ac:dyDescent="0.3">
      <c r="A5" s="9" t="s">
        <v>27</v>
      </c>
      <c r="B5" t="s">
        <v>51</v>
      </c>
      <c r="C5" s="4">
        <f t="shared" si="0"/>
        <v>10</v>
      </c>
      <c r="D5">
        <v>6</v>
      </c>
      <c r="E5">
        <v>3</v>
      </c>
      <c r="F5">
        <v>1</v>
      </c>
      <c r="G5">
        <f t="shared" si="1"/>
        <v>2</v>
      </c>
      <c r="H5">
        <v>7</v>
      </c>
      <c r="I5">
        <v>5</v>
      </c>
      <c r="J5">
        <f t="shared" si="2"/>
        <v>2</v>
      </c>
      <c r="M5" s="1" t="s">
        <v>146</v>
      </c>
      <c r="N5" t="s">
        <v>65</v>
      </c>
      <c r="O5" t="s">
        <v>557</v>
      </c>
      <c r="Q5" s="9" t="s">
        <v>27</v>
      </c>
      <c r="R5" t="s">
        <v>213</v>
      </c>
      <c r="S5" s="4">
        <f>U5*3+V5</f>
        <v>9</v>
      </c>
      <c r="T5">
        <v>5</v>
      </c>
      <c r="U5">
        <v>3</v>
      </c>
      <c r="V5">
        <v>0</v>
      </c>
      <c r="W5">
        <f>T5-U5-V5</f>
        <v>2</v>
      </c>
      <c r="X5">
        <v>7</v>
      </c>
      <c r="Y5">
        <v>5</v>
      </c>
      <c r="Z5">
        <f>X5-Y5</f>
        <v>2</v>
      </c>
      <c r="AC5" s="2" t="s">
        <v>241</v>
      </c>
      <c r="AD5" t="s">
        <v>88</v>
      </c>
      <c r="AE5" t="s">
        <v>558</v>
      </c>
      <c r="AG5" s="9" t="s">
        <v>26</v>
      </c>
      <c r="AH5" t="s">
        <v>124</v>
      </c>
      <c r="AI5" s="4">
        <f t="shared" ref="AI5:AI10" si="3">AK5*3+AL5</f>
        <v>13</v>
      </c>
      <c r="AJ5">
        <v>5</v>
      </c>
      <c r="AK5">
        <v>4</v>
      </c>
      <c r="AL5">
        <v>1</v>
      </c>
      <c r="AM5">
        <f t="shared" ref="AM5:AM10" si="4">AJ5-AK5-AL5</f>
        <v>0</v>
      </c>
      <c r="AN5">
        <v>9</v>
      </c>
      <c r="AO5">
        <v>3</v>
      </c>
      <c r="AP5">
        <f t="shared" ref="AP5:AP10" si="5">AN5-AO5</f>
        <v>6</v>
      </c>
      <c r="AR5" t="s">
        <v>66</v>
      </c>
      <c r="AS5">
        <v>1</v>
      </c>
    </row>
    <row r="6" spans="1:45" x14ac:dyDescent="0.3">
      <c r="A6" s="8" t="s">
        <v>28</v>
      </c>
      <c r="B6" t="s">
        <v>129</v>
      </c>
      <c r="C6" s="4">
        <f t="shared" si="0"/>
        <v>9</v>
      </c>
      <c r="D6">
        <v>6</v>
      </c>
      <c r="E6">
        <v>3</v>
      </c>
      <c r="F6">
        <v>0</v>
      </c>
      <c r="G6">
        <f t="shared" si="1"/>
        <v>3</v>
      </c>
      <c r="H6">
        <v>12</v>
      </c>
      <c r="I6">
        <v>12</v>
      </c>
      <c r="J6">
        <f t="shared" si="2"/>
        <v>0</v>
      </c>
      <c r="M6" s="2" t="s">
        <v>277</v>
      </c>
      <c r="N6" t="s">
        <v>83</v>
      </c>
      <c r="O6" t="s">
        <v>558</v>
      </c>
      <c r="Q6" s="8" t="s">
        <v>28</v>
      </c>
      <c r="R6" t="s">
        <v>221</v>
      </c>
      <c r="S6" s="4">
        <f>U6*3+V6</f>
        <v>7</v>
      </c>
      <c r="T6">
        <v>5</v>
      </c>
      <c r="U6">
        <v>2</v>
      </c>
      <c r="V6">
        <v>1</v>
      </c>
      <c r="W6">
        <f>T6-U6-V6</f>
        <v>2</v>
      </c>
      <c r="X6">
        <v>6</v>
      </c>
      <c r="Y6">
        <v>5</v>
      </c>
      <c r="Z6">
        <f>X6-Y6</f>
        <v>1</v>
      </c>
      <c r="AC6" s="1" t="s">
        <v>143</v>
      </c>
      <c r="AD6" t="s">
        <v>98</v>
      </c>
      <c r="AE6" t="s">
        <v>557</v>
      </c>
      <c r="AG6" s="9" t="s">
        <v>27</v>
      </c>
      <c r="AH6" t="s">
        <v>193</v>
      </c>
      <c r="AI6" s="4">
        <f t="shared" si="3"/>
        <v>9</v>
      </c>
      <c r="AJ6">
        <v>5</v>
      </c>
      <c r="AK6">
        <v>3</v>
      </c>
      <c r="AL6">
        <v>0</v>
      </c>
      <c r="AM6">
        <f t="shared" si="4"/>
        <v>2</v>
      </c>
      <c r="AN6">
        <v>7</v>
      </c>
      <c r="AO6">
        <v>6</v>
      </c>
      <c r="AP6">
        <f t="shared" si="5"/>
        <v>1</v>
      </c>
      <c r="AR6" t="s">
        <v>193</v>
      </c>
      <c r="AS6">
        <v>1</v>
      </c>
    </row>
    <row r="7" spans="1:45" x14ac:dyDescent="0.3">
      <c r="A7" s="8" t="s">
        <v>29</v>
      </c>
      <c r="B7" t="s">
        <v>189</v>
      </c>
      <c r="C7" s="4">
        <f t="shared" si="0"/>
        <v>7</v>
      </c>
      <c r="D7">
        <v>6</v>
      </c>
      <c r="E7">
        <v>2</v>
      </c>
      <c r="F7">
        <v>1</v>
      </c>
      <c r="G7">
        <f t="shared" si="1"/>
        <v>3</v>
      </c>
      <c r="H7">
        <v>10</v>
      </c>
      <c r="I7">
        <v>9</v>
      </c>
      <c r="J7">
        <f t="shared" si="2"/>
        <v>1</v>
      </c>
      <c r="M7" s="2" t="s">
        <v>549</v>
      </c>
      <c r="N7" t="s">
        <v>75</v>
      </c>
      <c r="O7" t="s">
        <v>558</v>
      </c>
      <c r="Q7" s="8" t="s">
        <v>29</v>
      </c>
      <c r="R7" t="s">
        <v>218</v>
      </c>
      <c r="S7" s="4">
        <f>U7*3+V7</f>
        <v>7</v>
      </c>
      <c r="T7">
        <v>5</v>
      </c>
      <c r="U7">
        <v>2</v>
      </c>
      <c r="V7">
        <v>1</v>
      </c>
      <c r="W7">
        <f>T7-U7-V7</f>
        <v>2</v>
      </c>
      <c r="X7">
        <v>7</v>
      </c>
      <c r="Y7">
        <v>8</v>
      </c>
      <c r="Z7">
        <f>X7-Y7</f>
        <v>-1</v>
      </c>
      <c r="AC7" s="2" t="s">
        <v>109</v>
      </c>
      <c r="AD7" t="s">
        <v>131</v>
      </c>
      <c r="AE7" t="s">
        <v>557</v>
      </c>
      <c r="AG7" s="8" t="s">
        <v>28</v>
      </c>
      <c r="AH7" t="s">
        <v>209</v>
      </c>
      <c r="AI7" s="4">
        <f t="shared" si="3"/>
        <v>7</v>
      </c>
      <c r="AJ7">
        <v>5</v>
      </c>
      <c r="AK7">
        <v>2</v>
      </c>
      <c r="AL7">
        <v>1</v>
      </c>
      <c r="AM7">
        <f t="shared" si="4"/>
        <v>2</v>
      </c>
      <c r="AN7">
        <v>6</v>
      </c>
      <c r="AO7">
        <v>5</v>
      </c>
      <c r="AP7">
        <f t="shared" si="5"/>
        <v>1</v>
      </c>
    </row>
    <row r="8" spans="1:45" x14ac:dyDescent="0.3">
      <c r="A8" s="8" t="s">
        <v>31</v>
      </c>
      <c r="B8" t="s">
        <v>216</v>
      </c>
      <c r="C8" s="4">
        <f t="shared" si="0"/>
        <v>7</v>
      </c>
      <c r="D8">
        <v>6</v>
      </c>
      <c r="E8">
        <v>2</v>
      </c>
      <c r="F8">
        <v>1</v>
      </c>
      <c r="G8">
        <f t="shared" si="1"/>
        <v>3</v>
      </c>
      <c r="H8">
        <v>7</v>
      </c>
      <c r="I8">
        <v>10</v>
      </c>
      <c r="J8">
        <f t="shared" si="2"/>
        <v>-3</v>
      </c>
      <c r="Q8" s="8" t="s">
        <v>31</v>
      </c>
      <c r="R8" t="s">
        <v>58</v>
      </c>
      <c r="S8" s="4">
        <f>U8*3+V8</f>
        <v>5</v>
      </c>
      <c r="T8">
        <v>5</v>
      </c>
      <c r="U8">
        <v>1</v>
      </c>
      <c r="V8">
        <v>2</v>
      </c>
      <c r="W8">
        <f>T8-U8-V8</f>
        <v>2</v>
      </c>
      <c r="X8">
        <v>7</v>
      </c>
      <c r="Y8">
        <v>6</v>
      </c>
      <c r="Z8">
        <f>X8-Y8</f>
        <v>1</v>
      </c>
      <c r="AG8" s="8" t="s">
        <v>29</v>
      </c>
      <c r="AH8" t="s">
        <v>185</v>
      </c>
      <c r="AI8" s="4">
        <f t="shared" si="3"/>
        <v>5</v>
      </c>
      <c r="AJ8">
        <v>5</v>
      </c>
      <c r="AK8">
        <v>1</v>
      </c>
      <c r="AL8">
        <v>2</v>
      </c>
      <c r="AM8">
        <f t="shared" si="4"/>
        <v>2</v>
      </c>
      <c r="AN8">
        <v>3</v>
      </c>
      <c r="AO8">
        <v>3</v>
      </c>
      <c r="AP8">
        <f t="shared" si="5"/>
        <v>0</v>
      </c>
    </row>
    <row r="9" spans="1:45" x14ac:dyDescent="0.3">
      <c r="A9" s="8" t="s">
        <v>32</v>
      </c>
      <c r="B9" t="s">
        <v>91</v>
      </c>
      <c r="C9" s="4">
        <f t="shared" si="0"/>
        <v>6</v>
      </c>
      <c r="D9">
        <v>6</v>
      </c>
      <c r="E9">
        <v>2</v>
      </c>
      <c r="F9">
        <v>0</v>
      </c>
      <c r="G9">
        <f t="shared" si="1"/>
        <v>4</v>
      </c>
      <c r="H9">
        <v>6</v>
      </c>
      <c r="I9">
        <v>6</v>
      </c>
      <c r="J9">
        <f t="shared" si="2"/>
        <v>0</v>
      </c>
      <c r="L9" t="s">
        <v>68</v>
      </c>
      <c r="M9" s="1" t="s">
        <v>156</v>
      </c>
      <c r="N9" t="s">
        <v>76</v>
      </c>
      <c r="O9" t="s">
        <v>557</v>
      </c>
      <c r="Q9" s="8"/>
      <c r="R9" s="8"/>
      <c r="S9" s="8"/>
      <c r="T9" s="8"/>
      <c r="U9" s="8"/>
      <c r="V9" s="8"/>
      <c r="W9" s="8"/>
      <c r="X9" s="8"/>
      <c r="Y9" s="8"/>
      <c r="Z9" s="8"/>
      <c r="AB9" t="s">
        <v>213</v>
      </c>
      <c r="AC9" s="1" t="s">
        <v>178</v>
      </c>
      <c r="AD9" t="s">
        <v>212</v>
      </c>
      <c r="AE9" t="s">
        <v>557</v>
      </c>
      <c r="AG9" s="8" t="s">
        <v>31</v>
      </c>
      <c r="AH9" t="s">
        <v>100</v>
      </c>
      <c r="AI9" s="4">
        <f t="shared" si="3"/>
        <v>4</v>
      </c>
      <c r="AJ9">
        <v>5</v>
      </c>
      <c r="AK9">
        <v>1</v>
      </c>
      <c r="AL9">
        <v>1</v>
      </c>
      <c r="AM9">
        <f t="shared" si="4"/>
        <v>3</v>
      </c>
      <c r="AN9">
        <v>3</v>
      </c>
      <c r="AO9">
        <v>6</v>
      </c>
      <c r="AP9">
        <f t="shared" si="5"/>
        <v>-3</v>
      </c>
    </row>
    <row r="10" spans="1:45" x14ac:dyDescent="0.3">
      <c r="M10" s="10" t="s">
        <v>383</v>
      </c>
      <c r="N10" t="s">
        <v>101</v>
      </c>
      <c r="O10" t="s">
        <v>558</v>
      </c>
      <c r="Q10" s="8" t="s">
        <v>106</v>
      </c>
      <c r="AC10" s="1" t="s">
        <v>248</v>
      </c>
      <c r="AD10" t="s">
        <v>69</v>
      </c>
      <c r="AE10" t="s">
        <v>557</v>
      </c>
      <c r="AG10" s="8" t="s">
        <v>32</v>
      </c>
      <c r="AH10" t="s">
        <v>206</v>
      </c>
      <c r="AI10" s="4">
        <f t="shared" si="3"/>
        <v>4</v>
      </c>
      <c r="AJ10">
        <v>5</v>
      </c>
      <c r="AK10">
        <v>1</v>
      </c>
      <c r="AL10">
        <v>1</v>
      </c>
      <c r="AM10">
        <f t="shared" si="4"/>
        <v>3</v>
      </c>
      <c r="AN10">
        <v>4</v>
      </c>
      <c r="AO10">
        <v>9</v>
      </c>
      <c r="AP10">
        <f t="shared" si="5"/>
        <v>-5</v>
      </c>
    </row>
    <row r="11" spans="1:45" x14ac:dyDescent="0.3">
      <c r="A11" s="8" t="s">
        <v>106</v>
      </c>
      <c r="M11" s="2" t="s">
        <v>109</v>
      </c>
      <c r="N11" t="s">
        <v>79</v>
      </c>
      <c r="O11" t="s">
        <v>557</v>
      </c>
      <c r="Q11" t="s">
        <v>16</v>
      </c>
      <c r="R11" t="s">
        <v>17</v>
      </c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C11" s="2" t="s">
        <v>241</v>
      </c>
      <c r="AD11" t="s">
        <v>88</v>
      </c>
      <c r="AE11" t="s">
        <v>557</v>
      </c>
    </row>
    <row r="12" spans="1:45" x14ac:dyDescent="0.3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M12" s="1" t="s">
        <v>156</v>
      </c>
      <c r="N12" t="s">
        <v>65</v>
      </c>
      <c r="O12" t="s">
        <v>558</v>
      </c>
      <c r="Q12" s="9" t="s">
        <v>26</v>
      </c>
      <c r="R12" t="s">
        <v>88</v>
      </c>
      <c r="S12" s="4">
        <f>U12*3+V12</f>
        <v>9</v>
      </c>
      <c r="T12">
        <v>5</v>
      </c>
      <c r="U12">
        <v>3</v>
      </c>
      <c r="V12">
        <v>0</v>
      </c>
      <c r="W12">
        <f>T12-U12-V12</f>
        <v>2</v>
      </c>
      <c r="X12">
        <v>6</v>
      </c>
      <c r="Y12">
        <v>4</v>
      </c>
      <c r="Z12">
        <f>X12-Y12</f>
        <v>2</v>
      </c>
      <c r="AC12" s="2" t="s">
        <v>549</v>
      </c>
      <c r="AD12" t="s">
        <v>98</v>
      </c>
      <c r="AE12" t="s">
        <v>558</v>
      </c>
      <c r="AG12" s="8" t="s">
        <v>106</v>
      </c>
    </row>
    <row r="13" spans="1:45" x14ac:dyDescent="0.3">
      <c r="A13" s="9" t="s">
        <v>26</v>
      </c>
      <c r="B13" t="s">
        <v>79</v>
      </c>
      <c r="C13" s="4">
        <f t="shared" ref="C13:C18" si="6">E13*3+F13</f>
        <v>15</v>
      </c>
      <c r="D13">
        <v>6</v>
      </c>
      <c r="E13">
        <v>5</v>
      </c>
      <c r="F13">
        <v>0</v>
      </c>
      <c r="G13">
        <f t="shared" ref="G13:G18" si="7">D13-E13-F13</f>
        <v>1</v>
      </c>
      <c r="H13">
        <v>8</v>
      </c>
      <c r="I13">
        <v>2</v>
      </c>
      <c r="J13">
        <f t="shared" ref="J13:J18" si="8">H13-I13</f>
        <v>6</v>
      </c>
      <c r="M13" s="1" t="s">
        <v>146</v>
      </c>
      <c r="N13" t="s">
        <v>83</v>
      </c>
      <c r="O13" t="s">
        <v>558</v>
      </c>
      <c r="Q13" s="9" t="s">
        <v>27</v>
      </c>
      <c r="R13" t="s">
        <v>98</v>
      </c>
      <c r="S13" s="4">
        <f>U13*3+V13</f>
        <v>9</v>
      </c>
      <c r="T13">
        <v>5</v>
      </c>
      <c r="U13">
        <v>3</v>
      </c>
      <c r="V13">
        <v>0</v>
      </c>
      <c r="W13">
        <f>T13-U13-V13</f>
        <v>2</v>
      </c>
      <c r="X13">
        <v>6</v>
      </c>
      <c r="Y13">
        <v>8</v>
      </c>
      <c r="Z13">
        <f>X13-Y13</f>
        <v>-2</v>
      </c>
      <c r="AC13" s="1" t="s">
        <v>146</v>
      </c>
      <c r="AD13" t="s">
        <v>131</v>
      </c>
      <c r="AE13" t="s">
        <v>558</v>
      </c>
      <c r="AG13" t="s">
        <v>16</v>
      </c>
      <c r="AH13" t="s">
        <v>17</v>
      </c>
      <c r="AI13" t="s">
        <v>18</v>
      </c>
      <c r="AJ13" t="s">
        <v>19</v>
      </c>
      <c r="AK13" t="s">
        <v>20</v>
      </c>
      <c r="AL13" t="s">
        <v>21</v>
      </c>
      <c r="AM13" t="s">
        <v>22</v>
      </c>
      <c r="AN13" t="s">
        <v>23</v>
      </c>
      <c r="AO13" t="s">
        <v>24</v>
      </c>
      <c r="AP13" t="s">
        <v>25</v>
      </c>
    </row>
    <row r="14" spans="1:45" x14ac:dyDescent="0.3">
      <c r="A14" s="9" t="s">
        <v>27</v>
      </c>
      <c r="B14" t="s">
        <v>75</v>
      </c>
      <c r="C14" s="4">
        <f t="shared" si="6"/>
        <v>13</v>
      </c>
      <c r="D14">
        <v>6</v>
      </c>
      <c r="E14">
        <v>4</v>
      </c>
      <c r="F14">
        <v>1</v>
      </c>
      <c r="G14">
        <f t="shared" si="7"/>
        <v>1</v>
      </c>
      <c r="H14">
        <v>13</v>
      </c>
      <c r="I14">
        <v>9</v>
      </c>
      <c r="J14">
        <f t="shared" si="8"/>
        <v>4</v>
      </c>
      <c r="M14" s="1" t="s">
        <v>156</v>
      </c>
      <c r="N14" t="s">
        <v>75</v>
      </c>
      <c r="O14" t="s">
        <v>557</v>
      </c>
      <c r="Q14" s="8" t="s">
        <v>28</v>
      </c>
      <c r="R14" t="s">
        <v>131</v>
      </c>
      <c r="S14" s="4">
        <f>U14*3+V14</f>
        <v>4</v>
      </c>
      <c r="T14">
        <v>5</v>
      </c>
      <c r="U14">
        <v>1</v>
      </c>
      <c r="V14">
        <v>1</v>
      </c>
      <c r="W14">
        <f>T14-U14-V14</f>
        <v>3</v>
      </c>
      <c r="X14">
        <v>6</v>
      </c>
      <c r="Y14">
        <v>7</v>
      </c>
      <c r="Z14">
        <f>X14-Y14</f>
        <v>-1</v>
      </c>
      <c r="AG14" s="9" t="s">
        <v>26</v>
      </c>
      <c r="AH14" t="s">
        <v>122</v>
      </c>
      <c r="AI14" s="4">
        <f t="shared" ref="AI14:AI19" si="9">AK14*3+AL14</f>
        <v>12</v>
      </c>
      <c r="AJ14">
        <v>5</v>
      </c>
      <c r="AK14">
        <v>4</v>
      </c>
      <c r="AL14">
        <v>0</v>
      </c>
      <c r="AM14">
        <f t="shared" ref="AM14:AM19" si="10">AJ14-AK14-AL14</f>
        <v>1</v>
      </c>
      <c r="AN14">
        <v>7</v>
      </c>
      <c r="AO14">
        <v>3</v>
      </c>
      <c r="AP14">
        <f t="shared" ref="AP14:AP19" si="11">AN14-AO14</f>
        <v>4</v>
      </c>
    </row>
    <row r="15" spans="1:45" x14ac:dyDescent="0.3">
      <c r="A15" s="8" t="s">
        <v>28</v>
      </c>
      <c r="B15" t="s">
        <v>76</v>
      </c>
      <c r="C15" s="4">
        <f t="shared" si="6"/>
        <v>7</v>
      </c>
      <c r="D15">
        <v>6</v>
      </c>
      <c r="E15">
        <v>2</v>
      </c>
      <c r="F15">
        <v>1</v>
      </c>
      <c r="G15">
        <f t="shared" si="7"/>
        <v>3</v>
      </c>
      <c r="H15">
        <v>9</v>
      </c>
      <c r="I15">
        <v>10</v>
      </c>
      <c r="J15">
        <f t="shared" si="8"/>
        <v>-1</v>
      </c>
      <c r="Q15" s="8" t="s">
        <v>29</v>
      </c>
      <c r="R15" t="s">
        <v>212</v>
      </c>
      <c r="S15" s="4">
        <f>U15*3+V15</f>
        <v>4</v>
      </c>
      <c r="T15">
        <v>5</v>
      </c>
      <c r="U15">
        <v>1</v>
      </c>
      <c r="V15">
        <v>1</v>
      </c>
      <c r="W15">
        <f>T15-U15-V15</f>
        <v>3</v>
      </c>
      <c r="X15">
        <v>3</v>
      </c>
      <c r="Y15">
        <v>6</v>
      </c>
      <c r="Z15">
        <f>X15-Y15</f>
        <v>-3</v>
      </c>
      <c r="AB15" t="s">
        <v>218</v>
      </c>
      <c r="AC15" s="1" t="s">
        <v>146</v>
      </c>
      <c r="AD15" t="s">
        <v>212</v>
      </c>
      <c r="AE15" t="s">
        <v>557</v>
      </c>
      <c r="AG15" s="9" t="s">
        <v>27</v>
      </c>
      <c r="AH15" t="s">
        <v>96</v>
      </c>
      <c r="AI15" s="4">
        <f t="shared" si="9"/>
        <v>12</v>
      </c>
      <c r="AJ15">
        <v>5</v>
      </c>
      <c r="AK15">
        <v>4</v>
      </c>
      <c r="AL15">
        <v>0</v>
      </c>
      <c r="AM15">
        <f t="shared" si="10"/>
        <v>1</v>
      </c>
      <c r="AN15">
        <v>7</v>
      </c>
      <c r="AO15">
        <v>4</v>
      </c>
      <c r="AP15">
        <f t="shared" si="11"/>
        <v>3</v>
      </c>
    </row>
    <row r="16" spans="1:45" x14ac:dyDescent="0.3">
      <c r="A16" s="8" t="s">
        <v>29</v>
      </c>
      <c r="B16" t="s">
        <v>83</v>
      </c>
      <c r="C16" s="4">
        <f t="shared" si="6"/>
        <v>7</v>
      </c>
      <c r="D16">
        <v>6</v>
      </c>
      <c r="E16">
        <v>2</v>
      </c>
      <c r="F16">
        <v>1</v>
      </c>
      <c r="G16">
        <f t="shared" si="7"/>
        <v>3</v>
      </c>
      <c r="H16">
        <v>6</v>
      </c>
      <c r="I16">
        <v>9</v>
      </c>
      <c r="J16">
        <f t="shared" si="8"/>
        <v>-3</v>
      </c>
      <c r="L16" t="s">
        <v>91</v>
      </c>
      <c r="M16" s="1" t="s">
        <v>248</v>
      </c>
      <c r="N16" t="s">
        <v>76</v>
      </c>
      <c r="O16" t="s">
        <v>557</v>
      </c>
      <c r="Q16" s="8" t="s">
        <v>31</v>
      </c>
      <c r="R16" t="s">
        <v>69</v>
      </c>
      <c r="S16" s="4">
        <f>U16*3+V16</f>
        <v>3</v>
      </c>
      <c r="T16">
        <v>5</v>
      </c>
      <c r="U16">
        <v>0</v>
      </c>
      <c r="V16">
        <v>3</v>
      </c>
      <c r="W16">
        <f>T16-U16-V16</f>
        <v>2</v>
      </c>
      <c r="X16">
        <v>4</v>
      </c>
      <c r="Y16">
        <v>10</v>
      </c>
      <c r="Z16">
        <f>X16-Y16</f>
        <v>-6</v>
      </c>
      <c r="AC16" s="1" t="s">
        <v>248</v>
      </c>
      <c r="AD16" t="s">
        <v>69</v>
      </c>
      <c r="AE16" t="s">
        <v>557</v>
      </c>
      <c r="AG16" s="8" t="s">
        <v>28</v>
      </c>
      <c r="AH16" t="s">
        <v>207</v>
      </c>
      <c r="AI16" s="4">
        <f t="shared" si="9"/>
        <v>6</v>
      </c>
      <c r="AJ16">
        <v>5</v>
      </c>
      <c r="AK16">
        <v>2</v>
      </c>
      <c r="AL16">
        <v>0</v>
      </c>
      <c r="AM16">
        <f t="shared" si="10"/>
        <v>3</v>
      </c>
      <c r="AN16">
        <v>5</v>
      </c>
      <c r="AO16">
        <v>3</v>
      </c>
      <c r="AP16">
        <f t="shared" si="11"/>
        <v>2</v>
      </c>
    </row>
    <row r="17" spans="1:42" x14ac:dyDescent="0.3">
      <c r="A17" s="8" t="s">
        <v>31</v>
      </c>
      <c r="B17" t="s">
        <v>65</v>
      </c>
      <c r="C17" s="4">
        <f t="shared" si="6"/>
        <v>6</v>
      </c>
      <c r="D17">
        <v>6</v>
      </c>
      <c r="E17">
        <v>2</v>
      </c>
      <c r="F17">
        <v>0</v>
      </c>
      <c r="G17">
        <f t="shared" si="7"/>
        <v>4</v>
      </c>
      <c r="H17">
        <v>5</v>
      </c>
      <c r="I17">
        <v>8</v>
      </c>
      <c r="J17">
        <f t="shared" si="8"/>
        <v>-3</v>
      </c>
      <c r="M17" s="2" t="s">
        <v>241</v>
      </c>
      <c r="N17" t="s">
        <v>101</v>
      </c>
      <c r="O17" t="s">
        <v>558</v>
      </c>
      <c r="AC17" s="2" t="s">
        <v>560</v>
      </c>
      <c r="AD17" t="s">
        <v>88</v>
      </c>
      <c r="AE17" t="s">
        <v>558</v>
      </c>
      <c r="AG17" s="8" t="s">
        <v>29</v>
      </c>
      <c r="AH17" t="s">
        <v>222</v>
      </c>
      <c r="AI17" s="4">
        <f t="shared" si="9"/>
        <v>6</v>
      </c>
      <c r="AJ17">
        <v>5</v>
      </c>
      <c r="AK17">
        <v>2</v>
      </c>
      <c r="AL17">
        <v>0</v>
      </c>
      <c r="AM17">
        <f t="shared" si="10"/>
        <v>3</v>
      </c>
      <c r="AN17">
        <v>2</v>
      </c>
      <c r="AO17">
        <v>4</v>
      </c>
      <c r="AP17">
        <f t="shared" si="11"/>
        <v>-2</v>
      </c>
    </row>
    <row r="18" spans="1:42" x14ac:dyDescent="0.3">
      <c r="A18" s="8" t="s">
        <v>32</v>
      </c>
      <c r="B18" t="s">
        <v>101</v>
      </c>
      <c r="C18" s="4">
        <f t="shared" si="6"/>
        <v>4</v>
      </c>
      <c r="D18">
        <v>6</v>
      </c>
      <c r="E18">
        <v>1</v>
      </c>
      <c r="F18">
        <v>1</v>
      </c>
      <c r="G18">
        <f t="shared" si="7"/>
        <v>4</v>
      </c>
      <c r="H18">
        <v>5</v>
      </c>
      <c r="I18">
        <v>13</v>
      </c>
      <c r="J18">
        <f t="shared" si="8"/>
        <v>-8</v>
      </c>
      <c r="M18" s="2" t="s">
        <v>241</v>
      </c>
      <c r="N18" t="s">
        <v>79</v>
      </c>
      <c r="O18" t="s">
        <v>557</v>
      </c>
      <c r="Q18" s="8" t="s">
        <v>489</v>
      </c>
      <c r="AC18" s="2" t="s">
        <v>152</v>
      </c>
      <c r="AD18" t="s">
        <v>98</v>
      </c>
      <c r="AE18" t="s">
        <v>558</v>
      </c>
      <c r="AG18" s="8" t="s">
        <v>31</v>
      </c>
      <c r="AH18" t="s">
        <v>64</v>
      </c>
      <c r="AI18" s="4">
        <f t="shared" si="9"/>
        <v>6</v>
      </c>
      <c r="AJ18">
        <v>5</v>
      </c>
      <c r="AK18">
        <v>2</v>
      </c>
      <c r="AL18">
        <v>0</v>
      </c>
      <c r="AM18">
        <f t="shared" si="10"/>
        <v>3</v>
      </c>
      <c r="AN18">
        <v>5</v>
      </c>
      <c r="AO18">
        <v>8</v>
      </c>
      <c r="AP18">
        <f t="shared" si="11"/>
        <v>-3</v>
      </c>
    </row>
    <row r="19" spans="1:42" x14ac:dyDescent="0.3">
      <c r="M19" s="1" t="s">
        <v>156</v>
      </c>
      <c r="N19" t="s">
        <v>65</v>
      </c>
      <c r="O19" t="s">
        <v>557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C19" s="10" t="s">
        <v>383</v>
      </c>
      <c r="AD19" t="s">
        <v>131</v>
      </c>
      <c r="AE19" t="s">
        <v>557</v>
      </c>
      <c r="AG19" s="8" t="s">
        <v>32</v>
      </c>
      <c r="AH19" t="s">
        <v>123</v>
      </c>
      <c r="AI19" s="4">
        <f t="shared" si="9"/>
        <v>3</v>
      </c>
      <c r="AJ19">
        <v>5</v>
      </c>
      <c r="AK19">
        <v>1</v>
      </c>
      <c r="AL19">
        <v>0</v>
      </c>
      <c r="AM19">
        <f t="shared" si="10"/>
        <v>4</v>
      </c>
      <c r="AN19">
        <v>3</v>
      </c>
      <c r="AO19">
        <v>7</v>
      </c>
      <c r="AP19">
        <f t="shared" si="11"/>
        <v>-4</v>
      </c>
    </row>
    <row r="20" spans="1:42" x14ac:dyDescent="0.3">
      <c r="A20" s="8" t="s">
        <v>475</v>
      </c>
      <c r="M20" s="2" t="s">
        <v>109</v>
      </c>
      <c r="N20" t="s">
        <v>83</v>
      </c>
      <c r="O20" t="s">
        <v>558</v>
      </c>
      <c r="Q20" s="9" t="s">
        <v>26</v>
      </c>
      <c r="R20" t="s">
        <v>77</v>
      </c>
      <c r="S20" s="4">
        <f>U20*3+V20</f>
        <v>10</v>
      </c>
      <c r="T20">
        <v>5</v>
      </c>
      <c r="U20">
        <v>3</v>
      </c>
      <c r="V20">
        <v>1</v>
      </c>
      <c r="W20">
        <f>T20-U20-V20</f>
        <v>1</v>
      </c>
      <c r="X20">
        <v>9</v>
      </c>
      <c r="Y20">
        <v>6</v>
      </c>
      <c r="Z20">
        <f>X20-Y20</f>
        <v>3</v>
      </c>
    </row>
    <row r="21" spans="1:42" x14ac:dyDescent="0.3">
      <c r="A21" t="str">
        <f>B14</f>
        <v>Avaí</v>
      </c>
      <c r="B21" t="s">
        <v>152</v>
      </c>
      <c r="C21" t="str">
        <f>B4</f>
        <v>Novorizontino</v>
      </c>
      <c r="E21" t="str">
        <f>B4</f>
        <v>Novorizontino</v>
      </c>
      <c r="F21" t="s">
        <v>382</v>
      </c>
      <c r="G21" t="str">
        <f>B14</f>
        <v>Avaí</v>
      </c>
      <c r="M21" s="2" t="s">
        <v>152</v>
      </c>
      <c r="N21" t="s">
        <v>75</v>
      </c>
      <c r="O21" t="s">
        <v>558</v>
      </c>
      <c r="Q21" s="9" t="s">
        <v>27</v>
      </c>
      <c r="R21" t="s">
        <v>82</v>
      </c>
      <c r="S21" s="4">
        <f>U21*3+V21</f>
        <v>10</v>
      </c>
      <c r="T21">
        <v>5</v>
      </c>
      <c r="U21">
        <v>3</v>
      </c>
      <c r="V21">
        <v>1</v>
      </c>
      <c r="W21">
        <f>T21-U21-V21</f>
        <v>1</v>
      </c>
      <c r="X21">
        <v>7</v>
      </c>
      <c r="Y21">
        <v>4</v>
      </c>
      <c r="Z21">
        <f>X21-Y21</f>
        <v>3</v>
      </c>
      <c r="AB21" t="s">
        <v>92</v>
      </c>
      <c r="AC21" s="1" t="s">
        <v>156</v>
      </c>
      <c r="AD21" t="s">
        <v>212</v>
      </c>
      <c r="AE21" t="s">
        <v>558</v>
      </c>
      <c r="AG21" s="8" t="s">
        <v>475</v>
      </c>
    </row>
    <row r="22" spans="1:42" x14ac:dyDescent="0.3">
      <c r="A22" t="str">
        <f>B5</f>
        <v>Chapecoense</v>
      </c>
      <c r="B22" t="s">
        <v>382</v>
      </c>
      <c r="C22" t="str">
        <f>B13</f>
        <v>Juventude</v>
      </c>
      <c r="E22" t="str">
        <f>B13</f>
        <v>Juventude</v>
      </c>
      <c r="F22" t="s">
        <v>108</v>
      </c>
      <c r="G22" t="str">
        <f>B5</f>
        <v>Chapecoense</v>
      </c>
      <c r="Q22" s="8" t="s">
        <v>28</v>
      </c>
      <c r="R22" t="s">
        <v>188</v>
      </c>
      <c r="S22" s="4">
        <f>U22*3+V22</f>
        <v>7</v>
      </c>
      <c r="T22">
        <v>5</v>
      </c>
      <c r="U22">
        <v>2</v>
      </c>
      <c r="V22">
        <v>1</v>
      </c>
      <c r="W22">
        <f>T22-U22-V22</f>
        <v>2</v>
      </c>
      <c r="X22">
        <v>10</v>
      </c>
      <c r="Y22">
        <v>8</v>
      </c>
      <c r="Z22">
        <f>X22-Y22</f>
        <v>2</v>
      </c>
      <c r="AC22" s="10" t="s">
        <v>383</v>
      </c>
      <c r="AD22" t="s">
        <v>69</v>
      </c>
      <c r="AE22" t="s">
        <v>558</v>
      </c>
      <c r="AG22" t="str">
        <f>AH5</f>
        <v>Guaporé</v>
      </c>
      <c r="AH22" t="s">
        <v>161</v>
      </c>
      <c r="AI22" t="str">
        <f>AH15</f>
        <v>Amazonas</v>
      </c>
    </row>
    <row r="23" spans="1:42" x14ac:dyDescent="0.3">
      <c r="L23" t="s">
        <v>189</v>
      </c>
      <c r="M23" s="10" t="s">
        <v>471</v>
      </c>
      <c r="N23" t="s">
        <v>76</v>
      </c>
      <c r="O23" t="s">
        <v>558</v>
      </c>
      <c r="Q23" s="8" t="s">
        <v>29</v>
      </c>
      <c r="R23" t="s">
        <v>496</v>
      </c>
      <c r="S23" s="4">
        <f>U23*3+V23</f>
        <v>6</v>
      </c>
      <c r="T23">
        <v>5</v>
      </c>
      <c r="U23">
        <v>2</v>
      </c>
      <c r="V23">
        <v>0</v>
      </c>
      <c r="W23">
        <f>T23-U23-V23</f>
        <v>3</v>
      </c>
      <c r="X23">
        <v>6</v>
      </c>
      <c r="Y23">
        <v>9</v>
      </c>
      <c r="Z23">
        <f>X23-Y23</f>
        <v>-3</v>
      </c>
      <c r="AC23" s="1" t="s">
        <v>156</v>
      </c>
      <c r="AD23" t="s">
        <v>88</v>
      </c>
      <c r="AE23" t="s">
        <v>557</v>
      </c>
      <c r="AG23" t="str">
        <f>AH14</f>
        <v>Monte Roraima</v>
      </c>
      <c r="AH23" t="s">
        <v>245</v>
      </c>
      <c r="AI23" t="str">
        <f>AH6</f>
        <v>GAS</v>
      </c>
    </row>
    <row r="24" spans="1:42" x14ac:dyDescent="0.3">
      <c r="A24" t="s">
        <v>107</v>
      </c>
      <c r="M24" s="1" t="s">
        <v>156</v>
      </c>
      <c r="N24" t="s">
        <v>101</v>
      </c>
      <c r="O24" t="s">
        <v>558</v>
      </c>
      <c r="Q24" s="8" t="s">
        <v>31</v>
      </c>
      <c r="R24" t="s">
        <v>202</v>
      </c>
      <c r="S24" s="4">
        <f>U24*3+V24</f>
        <v>5</v>
      </c>
      <c r="T24">
        <v>5</v>
      </c>
      <c r="U24">
        <v>1</v>
      </c>
      <c r="V24">
        <v>2</v>
      </c>
      <c r="W24">
        <f>T24-U24-V24</f>
        <v>2</v>
      </c>
      <c r="X24">
        <v>6</v>
      </c>
      <c r="Y24">
        <v>10</v>
      </c>
      <c r="Z24">
        <f>X24-Y24</f>
        <v>-4</v>
      </c>
      <c r="AC24" s="1" t="s">
        <v>156</v>
      </c>
      <c r="AD24" t="s">
        <v>98</v>
      </c>
      <c r="AE24" t="s">
        <v>557</v>
      </c>
    </row>
    <row r="25" spans="1:42" x14ac:dyDescent="0.3">
      <c r="A25" t="s">
        <v>51</v>
      </c>
      <c r="B25" t="s">
        <v>382</v>
      </c>
      <c r="C25" t="s">
        <v>68</v>
      </c>
      <c r="E25" t="s">
        <v>68</v>
      </c>
      <c r="F25" t="s">
        <v>161</v>
      </c>
      <c r="G25" t="s">
        <v>51</v>
      </c>
      <c r="M25" s="2" t="s">
        <v>241</v>
      </c>
      <c r="N25" t="s">
        <v>79</v>
      </c>
      <c r="O25" t="s">
        <v>558</v>
      </c>
      <c r="AC25" s="1" t="s">
        <v>178</v>
      </c>
      <c r="AD25" t="s">
        <v>131</v>
      </c>
      <c r="AE25" t="s">
        <v>557</v>
      </c>
      <c r="AG25" t="s">
        <v>107</v>
      </c>
    </row>
    <row r="26" spans="1:42" x14ac:dyDescent="0.3">
      <c r="M26" s="2" t="s">
        <v>549</v>
      </c>
      <c r="N26" t="s">
        <v>65</v>
      </c>
      <c r="O26" t="s">
        <v>557</v>
      </c>
      <c r="Q26" s="8" t="s">
        <v>492</v>
      </c>
      <c r="AG26" t="s">
        <v>124</v>
      </c>
      <c r="AH26" t="s">
        <v>564</v>
      </c>
      <c r="AI26" t="s">
        <v>193</v>
      </c>
    </row>
    <row r="27" spans="1:42" x14ac:dyDescent="0.3">
      <c r="M27" s="1" t="s">
        <v>248</v>
      </c>
      <c r="N27" t="s">
        <v>83</v>
      </c>
      <c r="O27" t="s">
        <v>557</v>
      </c>
      <c r="Q27" t="s">
        <v>16</v>
      </c>
      <c r="R27" t="s">
        <v>17</v>
      </c>
      <c r="S27" t="s">
        <v>18</v>
      </c>
      <c r="T27" t="s">
        <v>19</v>
      </c>
      <c r="U27" t="s">
        <v>20</v>
      </c>
      <c r="V27" t="s">
        <v>21</v>
      </c>
      <c r="W27" t="s">
        <v>22</v>
      </c>
      <c r="X27" t="s">
        <v>23</v>
      </c>
      <c r="Y27" t="s">
        <v>24</v>
      </c>
      <c r="Z27" t="s">
        <v>25</v>
      </c>
      <c r="AB27" t="s">
        <v>221</v>
      </c>
      <c r="AC27" s="2" t="s">
        <v>241</v>
      </c>
      <c r="AD27" t="s">
        <v>212</v>
      </c>
      <c r="AE27" t="s">
        <v>558</v>
      </c>
    </row>
    <row r="28" spans="1:42" x14ac:dyDescent="0.3">
      <c r="M28" s="2" t="s">
        <v>277</v>
      </c>
      <c r="N28" t="s">
        <v>75</v>
      </c>
      <c r="O28" t="s">
        <v>557</v>
      </c>
      <c r="Q28" s="9" t="s">
        <v>26</v>
      </c>
      <c r="R28" t="s">
        <v>215</v>
      </c>
      <c r="S28" s="4">
        <f>U28*3+V28</f>
        <v>8</v>
      </c>
      <c r="T28">
        <v>5</v>
      </c>
      <c r="U28">
        <v>2</v>
      </c>
      <c r="V28">
        <v>2</v>
      </c>
      <c r="W28">
        <f>T28-U28-V28</f>
        <v>1</v>
      </c>
      <c r="X28">
        <v>8</v>
      </c>
      <c r="Y28">
        <v>7</v>
      </c>
      <c r="Z28">
        <f>X28-Y28</f>
        <v>1</v>
      </c>
      <c r="AC28" s="10" t="s">
        <v>383</v>
      </c>
      <c r="AD28" t="s">
        <v>69</v>
      </c>
      <c r="AE28" t="s">
        <v>557</v>
      </c>
      <c r="AG28" t="s">
        <v>565</v>
      </c>
    </row>
    <row r="29" spans="1:42" x14ac:dyDescent="0.3">
      <c r="Q29" s="9" t="s">
        <v>27</v>
      </c>
      <c r="R29" t="s">
        <v>181</v>
      </c>
      <c r="S29" s="4">
        <f>U29*3+V29</f>
        <v>7</v>
      </c>
      <c r="T29">
        <v>5</v>
      </c>
      <c r="U29">
        <v>2</v>
      </c>
      <c r="V29">
        <v>1</v>
      </c>
      <c r="W29">
        <f>T29-U29-V29</f>
        <v>2</v>
      </c>
      <c r="X29">
        <v>10</v>
      </c>
      <c r="Y29">
        <v>8</v>
      </c>
      <c r="Z29">
        <f>X29-Y29</f>
        <v>2</v>
      </c>
      <c r="AC29" s="1" t="s">
        <v>156</v>
      </c>
      <c r="AD29" t="s">
        <v>88</v>
      </c>
      <c r="AE29" t="s">
        <v>557</v>
      </c>
      <c r="AG29" t="s">
        <v>105</v>
      </c>
    </row>
    <row r="30" spans="1:42" x14ac:dyDescent="0.3">
      <c r="L30" t="s">
        <v>216</v>
      </c>
      <c r="M30" s="2" t="s">
        <v>108</v>
      </c>
      <c r="N30" t="s">
        <v>76</v>
      </c>
      <c r="O30" t="s">
        <v>558</v>
      </c>
      <c r="Q30" s="8" t="s">
        <v>28</v>
      </c>
      <c r="R30" t="s">
        <v>103</v>
      </c>
      <c r="S30" s="4">
        <f>U30*3+V30</f>
        <v>7</v>
      </c>
      <c r="T30">
        <v>5</v>
      </c>
      <c r="U30">
        <v>2</v>
      </c>
      <c r="V30">
        <v>1</v>
      </c>
      <c r="W30">
        <f>T30-U30-V30</f>
        <v>2</v>
      </c>
      <c r="X30">
        <v>7</v>
      </c>
      <c r="Y30">
        <v>9</v>
      </c>
      <c r="Z30">
        <f>X30-Y30</f>
        <v>-2</v>
      </c>
      <c r="AC30" s="2" t="s">
        <v>241</v>
      </c>
      <c r="AD30" t="s">
        <v>98</v>
      </c>
      <c r="AE30" t="s">
        <v>557</v>
      </c>
      <c r="AG30" t="s">
        <v>16</v>
      </c>
      <c r="AH30" t="s">
        <v>17</v>
      </c>
      <c r="AI30" t="s">
        <v>18</v>
      </c>
      <c r="AJ30" t="s">
        <v>19</v>
      </c>
      <c r="AK30" t="s">
        <v>20</v>
      </c>
      <c r="AL30" t="s">
        <v>21</v>
      </c>
      <c r="AM30" t="s">
        <v>22</v>
      </c>
      <c r="AN30" t="s">
        <v>23</v>
      </c>
      <c r="AO30" t="s">
        <v>24</v>
      </c>
      <c r="AP30" t="s">
        <v>25</v>
      </c>
    </row>
    <row r="31" spans="1:42" x14ac:dyDescent="0.3">
      <c r="M31" s="1" t="s">
        <v>540</v>
      </c>
      <c r="N31" t="s">
        <v>101</v>
      </c>
      <c r="O31" t="s">
        <v>557</v>
      </c>
      <c r="Q31" s="8" t="s">
        <v>29</v>
      </c>
      <c r="R31" t="s">
        <v>30</v>
      </c>
      <c r="S31" s="4">
        <f>U31*3+V31</f>
        <v>6</v>
      </c>
      <c r="T31">
        <v>5</v>
      </c>
      <c r="U31">
        <v>2</v>
      </c>
      <c r="V31">
        <v>0</v>
      </c>
      <c r="W31">
        <f>T31-U31-V31</f>
        <v>3</v>
      </c>
      <c r="X31">
        <v>7</v>
      </c>
      <c r="Y31">
        <v>8</v>
      </c>
      <c r="Z31">
        <f>X31-Y31</f>
        <v>-1</v>
      </c>
      <c r="AC31" s="1" t="s">
        <v>431</v>
      </c>
      <c r="AD31" t="s">
        <v>131</v>
      </c>
      <c r="AE31" t="s">
        <v>558</v>
      </c>
      <c r="AG31" s="9" t="s">
        <v>26</v>
      </c>
      <c r="AH31" t="s">
        <v>141</v>
      </c>
      <c r="AI31" s="4">
        <f t="shared" ref="AI31:AI36" si="12">AK31*3+AL31</f>
        <v>12</v>
      </c>
      <c r="AJ31">
        <v>5</v>
      </c>
      <c r="AK31">
        <v>4</v>
      </c>
      <c r="AL31">
        <v>0</v>
      </c>
      <c r="AM31">
        <f t="shared" ref="AM31:AM36" si="13">AJ31-AK31-AL31</f>
        <v>1</v>
      </c>
      <c r="AN31">
        <v>8</v>
      </c>
      <c r="AO31">
        <v>4</v>
      </c>
      <c r="AP31">
        <f t="shared" ref="AP31:AP36" si="14">AN31-AO31</f>
        <v>4</v>
      </c>
    </row>
    <row r="32" spans="1:42" x14ac:dyDescent="0.3">
      <c r="M32" s="1" t="s">
        <v>146</v>
      </c>
      <c r="N32" t="s">
        <v>79</v>
      </c>
      <c r="O32" t="s">
        <v>557</v>
      </c>
      <c r="Q32" s="8" t="s">
        <v>31</v>
      </c>
      <c r="R32" t="s">
        <v>183</v>
      </c>
      <c r="S32" s="4">
        <f>U32*3+V32</f>
        <v>4</v>
      </c>
      <c r="T32">
        <v>5</v>
      </c>
      <c r="U32">
        <v>1</v>
      </c>
      <c r="V32">
        <v>1</v>
      </c>
      <c r="W32">
        <f>T32-U32-V32</f>
        <v>3</v>
      </c>
      <c r="X32">
        <v>5</v>
      </c>
      <c r="Y32">
        <v>6</v>
      </c>
      <c r="Z32">
        <f>X32-Y32</f>
        <v>-1</v>
      </c>
      <c r="AG32" s="9" t="s">
        <v>27</v>
      </c>
      <c r="AH32" t="s">
        <v>127</v>
      </c>
      <c r="AI32" s="4">
        <f t="shared" si="12"/>
        <v>9</v>
      </c>
      <c r="AJ32">
        <v>5</v>
      </c>
      <c r="AK32">
        <v>3</v>
      </c>
      <c r="AL32">
        <v>0</v>
      </c>
      <c r="AM32">
        <f t="shared" si="13"/>
        <v>2</v>
      </c>
      <c r="AN32">
        <v>8</v>
      </c>
      <c r="AO32">
        <v>5</v>
      </c>
      <c r="AP32">
        <f t="shared" si="14"/>
        <v>3</v>
      </c>
    </row>
    <row r="33" spans="12:42" x14ac:dyDescent="0.3">
      <c r="M33" s="2" t="s">
        <v>241</v>
      </c>
      <c r="N33" t="s">
        <v>65</v>
      </c>
      <c r="O33" t="s">
        <v>558</v>
      </c>
      <c r="AB33" t="s">
        <v>82</v>
      </c>
      <c r="AC33" s="1" t="s">
        <v>178</v>
      </c>
      <c r="AD33" t="s">
        <v>30</v>
      </c>
      <c r="AE33" t="s">
        <v>558</v>
      </c>
      <c r="AG33" s="8" t="s">
        <v>28</v>
      </c>
      <c r="AH33" t="s">
        <v>208</v>
      </c>
      <c r="AI33" s="4">
        <f t="shared" si="12"/>
        <v>9</v>
      </c>
      <c r="AJ33">
        <v>5</v>
      </c>
      <c r="AK33">
        <v>3</v>
      </c>
      <c r="AL33">
        <v>0</v>
      </c>
      <c r="AM33">
        <f t="shared" si="13"/>
        <v>2</v>
      </c>
      <c r="AN33">
        <v>7</v>
      </c>
      <c r="AO33">
        <v>6</v>
      </c>
      <c r="AP33">
        <f t="shared" si="14"/>
        <v>1</v>
      </c>
    </row>
    <row r="34" spans="12:42" x14ac:dyDescent="0.3">
      <c r="M34" s="10" t="s">
        <v>382</v>
      </c>
      <c r="N34" t="s">
        <v>83</v>
      </c>
      <c r="O34" t="s">
        <v>557</v>
      </c>
      <c r="Q34" s="8" t="s">
        <v>456</v>
      </c>
      <c r="AC34" s="1" t="s">
        <v>156</v>
      </c>
      <c r="AD34" t="s">
        <v>183</v>
      </c>
      <c r="AE34" t="s">
        <v>558</v>
      </c>
      <c r="AG34" s="8" t="s">
        <v>29</v>
      </c>
      <c r="AH34" t="s">
        <v>74</v>
      </c>
      <c r="AI34" s="4">
        <f t="shared" si="12"/>
        <v>7</v>
      </c>
      <c r="AJ34">
        <v>5</v>
      </c>
      <c r="AK34">
        <v>2</v>
      </c>
      <c r="AL34">
        <v>1</v>
      </c>
      <c r="AM34">
        <f t="shared" si="13"/>
        <v>2</v>
      </c>
      <c r="AN34">
        <v>6</v>
      </c>
      <c r="AO34">
        <v>7</v>
      </c>
      <c r="AP34">
        <f t="shared" si="14"/>
        <v>-1</v>
      </c>
    </row>
    <row r="35" spans="12:42" x14ac:dyDescent="0.3">
      <c r="M35" s="2" t="s">
        <v>549</v>
      </c>
      <c r="N35" t="s">
        <v>75</v>
      </c>
      <c r="O35" t="s">
        <v>558</v>
      </c>
      <c r="Q35" t="str">
        <f>R4</f>
        <v>Itabaiana</v>
      </c>
      <c r="R35" t="s">
        <v>245</v>
      </c>
      <c r="S35" t="str">
        <f>R21</f>
        <v>Ceará</v>
      </c>
      <c r="AC35" s="1" t="s">
        <v>146</v>
      </c>
      <c r="AD35" t="s">
        <v>181</v>
      </c>
      <c r="AE35" t="s">
        <v>557</v>
      </c>
      <c r="AG35" s="8" t="s">
        <v>31</v>
      </c>
      <c r="AH35" t="s">
        <v>224</v>
      </c>
      <c r="AI35" s="4">
        <f t="shared" si="12"/>
        <v>4</v>
      </c>
      <c r="AJ35">
        <v>5</v>
      </c>
      <c r="AK35">
        <v>1</v>
      </c>
      <c r="AL35">
        <v>1</v>
      </c>
      <c r="AM35">
        <f t="shared" si="13"/>
        <v>3</v>
      </c>
      <c r="AN35">
        <v>5</v>
      </c>
      <c r="AO35">
        <v>8</v>
      </c>
      <c r="AP35">
        <f t="shared" si="14"/>
        <v>-3</v>
      </c>
    </row>
    <row r="36" spans="12:42" x14ac:dyDescent="0.3">
      <c r="Q36" t="str">
        <f>R12</f>
        <v>Botafogo-PB</v>
      </c>
      <c r="R36" t="s">
        <v>277</v>
      </c>
      <c r="S36" t="str">
        <f>R29</f>
        <v>ABC</v>
      </c>
      <c r="AC36" s="2" t="s">
        <v>152</v>
      </c>
      <c r="AD36" t="s">
        <v>103</v>
      </c>
      <c r="AE36" t="s">
        <v>557</v>
      </c>
      <c r="AG36" s="8" t="s">
        <v>32</v>
      </c>
      <c r="AH36" t="s">
        <v>214</v>
      </c>
      <c r="AI36" s="4">
        <f t="shared" si="12"/>
        <v>3</v>
      </c>
      <c r="AJ36">
        <v>5</v>
      </c>
      <c r="AK36">
        <v>1</v>
      </c>
      <c r="AL36">
        <v>0</v>
      </c>
      <c r="AM36">
        <f t="shared" si="13"/>
        <v>4</v>
      </c>
      <c r="AN36">
        <v>3</v>
      </c>
      <c r="AO36">
        <v>7</v>
      </c>
      <c r="AP36">
        <f t="shared" si="14"/>
        <v>-4</v>
      </c>
    </row>
    <row r="37" spans="12:42" x14ac:dyDescent="0.3">
      <c r="L37" t="s">
        <v>51</v>
      </c>
      <c r="M37" s="2" t="s">
        <v>109</v>
      </c>
      <c r="N37" t="s">
        <v>76</v>
      </c>
      <c r="O37" t="s">
        <v>558</v>
      </c>
      <c r="Q37" t="str">
        <f>R20</f>
        <v>Sport</v>
      </c>
      <c r="R37" t="s">
        <v>239</v>
      </c>
      <c r="S37" t="str">
        <f>R5</f>
        <v>ASA</v>
      </c>
      <c r="AC37" s="10" t="s">
        <v>383</v>
      </c>
      <c r="AD37" t="s">
        <v>215</v>
      </c>
      <c r="AE37" t="s">
        <v>557</v>
      </c>
    </row>
    <row r="38" spans="12:42" x14ac:dyDescent="0.3">
      <c r="M38" s="1" t="s">
        <v>156</v>
      </c>
      <c r="N38" t="s">
        <v>101</v>
      </c>
      <c r="O38" t="s">
        <v>557</v>
      </c>
      <c r="Q38" t="str">
        <f>R28</f>
        <v>Jacuipense</v>
      </c>
      <c r="R38" t="s">
        <v>241</v>
      </c>
      <c r="S38" t="str">
        <f>R13</f>
        <v>Confiança</v>
      </c>
      <c r="AG38" s="8" t="s">
        <v>106</v>
      </c>
    </row>
    <row r="39" spans="12:42" x14ac:dyDescent="0.3">
      <c r="M39" s="2" t="s">
        <v>241</v>
      </c>
      <c r="N39" t="s">
        <v>79</v>
      </c>
      <c r="O39" t="s">
        <v>558</v>
      </c>
      <c r="AB39" t="s">
        <v>77</v>
      </c>
      <c r="AC39" s="1" t="s">
        <v>431</v>
      </c>
      <c r="AD39" t="s">
        <v>30</v>
      </c>
      <c r="AE39" t="s">
        <v>558</v>
      </c>
      <c r="AG39" t="s">
        <v>16</v>
      </c>
      <c r="AH39" t="s">
        <v>17</v>
      </c>
      <c r="AI39" t="s">
        <v>18</v>
      </c>
      <c r="AJ39" t="s">
        <v>19</v>
      </c>
      <c r="AK39" t="s">
        <v>20</v>
      </c>
      <c r="AL39" t="s">
        <v>21</v>
      </c>
      <c r="AM39" t="s">
        <v>22</v>
      </c>
      <c r="AN39" t="s">
        <v>23</v>
      </c>
      <c r="AO39" t="s">
        <v>24</v>
      </c>
      <c r="AP39" t="s">
        <v>25</v>
      </c>
    </row>
    <row r="40" spans="12:42" x14ac:dyDescent="0.3">
      <c r="M40" s="1" t="s">
        <v>178</v>
      </c>
      <c r="N40" t="s">
        <v>65</v>
      </c>
      <c r="O40" t="s">
        <v>558</v>
      </c>
      <c r="Q40" t="s">
        <v>475</v>
      </c>
      <c r="AC40" s="1" t="s">
        <v>178</v>
      </c>
      <c r="AD40" t="s">
        <v>183</v>
      </c>
      <c r="AE40" t="s">
        <v>557</v>
      </c>
      <c r="AG40" s="9" t="s">
        <v>26</v>
      </c>
      <c r="AH40" t="s">
        <v>66</v>
      </c>
      <c r="AI40" s="4">
        <f t="shared" ref="AI40:AI45" si="15">AK40*3+AL40</f>
        <v>13</v>
      </c>
      <c r="AJ40">
        <v>5</v>
      </c>
      <c r="AK40">
        <v>4</v>
      </c>
      <c r="AL40">
        <v>1</v>
      </c>
      <c r="AM40">
        <f t="shared" ref="AM40:AM45" si="16">AJ40-AK40-AL40</f>
        <v>0</v>
      </c>
      <c r="AN40">
        <v>13</v>
      </c>
      <c r="AO40">
        <v>7</v>
      </c>
      <c r="AP40">
        <f t="shared" ref="AP40:AP45" si="17">AN40-AO40</f>
        <v>6</v>
      </c>
    </row>
    <row r="41" spans="12:42" x14ac:dyDescent="0.3">
      <c r="M41" s="1" t="s">
        <v>156</v>
      </c>
      <c r="N41" t="s">
        <v>83</v>
      </c>
      <c r="O41" t="s">
        <v>557</v>
      </c>
      <c r="Q41" t="s">
        <v>181</v>
      </c>
      <c r="R41" t="s">
        <v>146</v>
      </c>
      <c r="S41" t="s">
        <v>82</v>
      </c>
      <c r="U41" t="s">
        <v>82</v>
      </c>
      <c r="V41" t="s">
        <v>383</v>
      </c>
      <c r="W41" t="s">
        <v>181</v>
      </c>
      <c r="AC41" s="10" t="s">
        <v>541</v>
      </c>
      <c r="AD41" t="s">
        <v>181</v>
      </c>
      <c r="AE41" t="s">
        <v>557</v>
      </c>
      <c r="AG41" s="9" t="s">
        <v>27</v>
      </c>
      <c r="AH41" t="s">
        <v>223</v>
      </c>
      <c r="AI41" s="4">
        <f t="shared" si="15"/>
        <v>7</v>
      </c>
      <c r="AJ41">
        <v>5</v>
      </c>
      <c r="AK41">
        <v>2</v>
      </c>
      <c r="AL41">
        <v>1</v>
      </c>
      <c r="AM41">
        <f t="shared" si="16"/>
        <v>2</v>
      </c>
      <c r="AN41">
        <v>7</v>
      </c>
      <c r="AO41">
        <v>6</v>
      </c>
      <c r="AP41">
        <f t="shared" si="17"/>
        <v>1</v>
      </c>
    </row>
    <row r="42" spans="12:42" x14ac:dyDescent="0.3">
      <c r="M42" s="10" t="s">
        <v>471</v>
      </c>
      <c r="N42" t="s">
        <v>75</v>
      </c>
      <c r="O42" t="s">
        <v>557</v>
      </c>
      <c r="Q42" t="s">
        <v>77</v>
      </c>
      <c r="R42" t="s">
        <v>382</v>
      </c>
      <c r="S42" t="s">
        <v>98</v>
      </c>
      <c r="U42" t="s">
        <v>98</v>
      </c>
      <c r="V42" t="s">
        <v>152</v>
      </c>
      <c r="W42" t="s">
        <v>77</v>
      </c>
      <c r="AC42" s="2" t="s">
        <v>241</v>
      </c>
      <c r="AD42" t="s">
        <v>103</v>
      </c>
      <c r="AE42" t="s">
        <v>558</v>
      </c>
      <c r="AG42" s="8" t="s">
        <v>28</v>
      </c>
      <c r="AH42" t="s">
        <v>81</v>
      </c>
      <c r="AI42" s="4">
        <f t="shared" si="15"/>
        <v>7</v>
      </c>
      <c r="AJ42">
        <v>5</v>
      </c>
      <c r="AK42">
        <v>2</v>
      </c>
      <c r="AL42">
        <v>1</v>
      </c>
      <c r="AM42">
        <f t="shared" si="16"/>
        <v>2</v>
      </c>
      <c r="AN42">
        <v>5</v>
      </c>
      <c r="AO42">
        <v>6</v>
      </c>
      <c r="AP42">
        <f t="shared" si="17"/>
        <v>-1</v>
      </c>
    </row>
    <row r="43" spans="12:42" x14ac:dyDescent="0.3">
      <c r="AC43" s="1" t="s">
        <v>156</v>
      </c>
      <c r="AD43" t="s">
        <v>215</v>
      </c>
      <c r="AE43" t="s">
        <v>557</v>
      </c>
      <c r="AG43" s="8" t="s">
        <v>29</v>
      </c>
      <c r="AH43" t="s">
        <v>190</v>
      </c>
      <c r="AI43" s="4">
        <f t="shared" si="15"/>
        <v>6</v>
      </c>
      <c r="AJ43">
        <v>5</v>
      </c>
      <c r="AK43">
        <v>2</v>
      </c>
      <c r="AL43">
        <v>0</v>
      </c>
      <c r="AM43">
        <f t="shared" si="16"/>
        <v>3</v>
      </c>
      <c r="AN43">
        <v>4</v>
      </c>
      <c r="AO43">
        <v>7</v>
      </c>
      <c r="AP43">
        <f t="shared" si="17"/>
        <v>-3</v>
      </c>
    </row>
    <row r="44" spans="12:42" x14ac:dyDescent="0.3">
      <c r="Q44" t="s">
        <v>107</v>
      </c>
      <c r="AG44" s="8" t="s">
        <v>31</v>
      </c>
      <c r="AH44" t="s">
        <v>121</v>
      </c>
      <c r="AI44" s="4">
        <f t="shared" si="15"/>
        <v>5</v>
      </c>
      <c r="AJ44">
        <v>5</v>
      </c>
      <c r="AK44">
        <v>1</v>
      </c>
      <c r="AL44">
        <v>2</v>
      </c>
      <c r="AM44">
        <f t="shared" si="16"/>
        <v>2</v>
      </c>
      <c r="AN44">
        <v>4</v>
      </c>
      <c r="AO44">
        <v>5</v>
      </c>
      <c r="AP44">
        <f t="shared" si="17"/>
        <v>-1</v>
      </c>
    </row>
    <row r="45" spans="12:42" x14ac:dyDescent="0.3">
      <c r="Q45" t="s">
        <v>181</v>
      </c>
      <c r="R45" t="s">
        <v>431</v>
      </c>
      <c r="S45" t="s">
        <v>77</v>
      </c>
      <c r="U45" t="s">
        <v>77</v>
      </c>
      <c r="V45" t="s">
        <v>561</v>
      </c>
      <c r="W45" t="s">
        <v>181</v>
      </c>
      <c r="AB45" t="s">
        <v>202</v>
      </c>
      <c r="AC45" s="2" t="s">
        <v>109</v>
      </c>
      <c r="AD45" t="s">
        <v>30</v>
      </c>
      <c r="AE45" t="s">
        <v>557</v>
      </c>
      <c r="AG45" s="8" t="s">
        <v>32</v>
      </c>
      <c r="AH45" t="s">
        <v>85</v>
      </c>
      <c r="AI45" s="4">
        <f t="shared" si="15"/>
        <v>4</v>
      </c>
      <c r="AJ45">
        <v>5</v>
      </c>
      <c r="AK45">
        <v>1</v>
      </c>
      <c r="AL45">
        <v>1</v>
      </c>
      <c r="AM45">
        <f t="shared" si="16"/>
        <v>3</v>
      </c>
      <c r="AN45">
        <v>3</v>
      </c>
      <c r="AO45">
        <v>5</v>
      </c>
      <c r="AP45">
        <f t="shared" si="17"/>
        <v>-2</v>
      </c>
    </row>
    <row r="46" spans="12:42" x14ac:dyDescent="0.3">
      <c r="AC46" s="10" t="s">
        <v>383</v>
      </c>
      <c r="AD46" t="s">
        <v>183</v>
      </c>
      <c r="AE46" t="s">
        <v>558</v>
      </c>
    </row>
    <row r="47" spans="12:42" x14ac:dyDescent="0.3">
      <c r="AC47" s="2" t="s">
        <v>108</v>
      </c>
      <c r="AD47" t="s">
        <v>181</v>
      </c>
      <c r="AE47" t="s">
        <v>558</v>
      </c>
      <c r="AG47" s="8" t="s">
        <v>475</v>
      </c>
    </row>
    <row r="48" spans="12:42" x14ac:dyDescent="0.3">
      <c r="AC48" s="1" t="s">
        <v>431</v>
      </c>
      <c r="AD48" t="s">
        <v>103</v>
      </c>
      <c r="AE48" t="s">
        <v>557</v>
      </c>
      <c r="AG48" t="str">
        <f>AH31</f>
        <v>Primavera-MT</v>
      </c>
      <c r="AH48" t="s">
        <v>178</v>
      </c>
      <c r="AI48" t="str">
        <f>AH41</f>
        <v>Tocantinópolis</v>
      </c>
    </row>
    <row r="49" spans="28:39" x14ac:dyDescent="0.3">
      <c r="AC49" s="10" t="s">
        <v>471</v>
      </c>
      <c r="AD49" t="s">
        <v>215</v>
      </c>
      <c r="AE49" t="s">
        <v>557</v>
      </c>
      <c r="AG49" t="str">
        <f>AH40</f>
        <v>Atlético-GO</v>
      </c>
      <c r="AH49" t="s">
        <v>156</v>
      </c>
      <c r="AI49" t="str">
        <f>AH32</f>
        <v>Araguaína</v>
      </c>
    </row>
    <row r="51" spans="28:39" x14ac:dyDescent="0.3">
      <c r="AB51" t="s">
        <v>188</v>
      </c>
      <c r="AC51" s="1" t="s">
        <v>281</v>
      </c>
      <c r="AD51" t="s">
        <v>30</v>
      </c>
      <c r="AE51" t="s">
        <v>557</v>
      </c>
      <c r="AG51" t="s">
        <v>107</v>
      </c>
    </row>
    <row r="52" spans="28:39" x14ac:dyDescent="0.3">
      <c r="AC52" s="1" t="s">
        <v>156</v>
      </c>
      <c r="AD52" t="s">
        <v>183</v>
      </c>
      <c r="AE52" t="s">
        <v>557</v>
      </c>
      <c r="AG52" t="s">
        <v>141</v>
      </c>
      <c r="AH52" t="s">
        <v>382</v>
      </c>
      <c r="AI52" t="s">
        <v>66</v>
      </c>
      <c r="AK52" t="s">
        <v>66</v>
      </c>
      <c r="AL52" t="s">
        <v>243</v>
      </c>
      <c r="AM52" t="s">
        <v>141</v>
      </c>
    </row>
    <row r="53" spans="28:39" x14ac:dyDescent="0.3">
      <c r="AC53" s="2" t="s">
        <v>152</v>
      </c>
      <c r="AD53" t="s">
        <v>181</v>
      </c>
      <c r="AE53" t="s">
        <v>558</v>
      </c>
    </row>
    <row r="54" spans="28:39" x14ac:dyDescent="0.3">
      <c r="AC54" s="10" t="s">
        <v>471</v>
      </c>
      <c r="AD54" t="s">
        <v>103</v>
      </c>
      <c r="AE54" t="s">
        <v>557</v>
      </c>
      <c r="AG54" t="s">
        <v>566</v>
      </c>
    </row>
    <row r="55" spans="28:39" x14ac:dyDescent="0.3">
      <c r="AC55" s="2" t="s">
        <v>277</v>
      </c>
      <c r="AD55" t="s">
        <v>215</v>
      </c>
      <c r="AE55" t="s">
        <v>558</v>
      </c>
      <c r="AG55" t="s">
        <v>193</v>
      </c>
      <c r="AH55" t="s">
        <v>383</v>
      </c>
      <c r="AI55" t="s">
        <v>66</v>
      </c>
      <c r="AK55" t="s">
        <v>66</v>
      </c>
      <c r="AL55" t="s">
        <v>109</v>
      </c>
      <c r="AM55" t="s">
        <v>193</v>
      </c>
    </row>
    <row r="57" spans="28:39" x14ac:dyDescent="0.3">
      <c r="AB57" t="s">
        <v>496</v>
      </c>
      <c r="AC57" s="2" t="s">
        <v>152</v>
      </c>
      <c r="AD57" t="s">
        <v>30</v>
      </c>
      <c r="AE57" t="s">
        <v>557</v>
      </c>
    </row>
    <row r="58" spans="28:39" x14ac:dyDescent="0.3">
      <c r="AC58" s="2" t="s">
        <v>560</v>
      </c>
      <c r="AD58" t="s">
        <v>183</v>
      </c>
      <c r="AE58" t="s">
        <v>557</v>
      </c>
    </row>
    <row r="59" spans="28:39" x14ac:dyDescent="0.3">
      <c r="AC59" s="1" t="s">
        <v>146</v>
      </c>
      <c r="AD59" t="s">
        <v>181</v>
      </c>
      <c r="AE59" t="s">
        <v>557</v>
      </c>
    </row>
    <row r="60" spans="28:39" x14ac:dyDescent="0.3">
      <c r="AC60" s="1" t="s">
        <v>248</v>
      </c>
      <c r="AD60" t="s">
        <v>103</v>
      </c>
      <c r="AE60" t="s">
        <v>558</v>
      </c>
    </row>
    <row r="61" spans="28:39" x14ac:dyDescent="0.3">
      <c r="AC61" s="2" t="s">
        <v>109</v>
      </c>
      <c r="AD61" t="s">
        <v>215</v>
      </c>
      <c r="AE61" t="s">
        <v>558</v>
      </c>
    </row>
  </sheetData>
  <sortState xmlns:xlrd2="http://schemas.microsoft.com/office/spreadsheetml/2017/richdata2" ref="R28:Z32">
    <sortCondition descending="1" ref="S28:S32"/>
    <sortCondition descending="1" ref="Z28:Z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Supercopa</vt:lpstr>
      <vt:lpstr>Série A</vt:lpstr>
      <vt:lpstr>Série B</vt:lpstr>
      <vt:lpstr>Série C</vt:lpstr>
      <vt:lpstr>Série D</vt:lpstr>
      <vt:lpstr>Copa do Brasil</vt:lpstr>
      <vt:lpstr>Regionais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2026-01-07T18:00:45Z</dcterms:created>
  <dcterms:modified xsi:type="dcterms:W3CDTF">2026-07-26T05:10:22Z</dcterms:modified>
</cp:coreProperties>
</file>