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13_ncr:1_{A6A8188D-3D11-4837-962D-D540CC81120E}" xr6:coauthVersionLast="47" xr6:coauthVersionMax="47" xr10:uidLastSave="{00000000-0000-0000-0000-000000000000}"/>
  <bookViews>
    <workbookView xWindow="-108" yWindow="-108" windowWidth="23256" windowHeight="13176" activeTab="2" xr2:uid="{012F8191-555B-434C-A0BE-91EE38CF7633}"/>
  </bookViews>
  <sheets>
    <sheet name="AFC" sheetId="6" r:id="rId1"/>
    <sheet name="CAF" sheetId="5" r:id="rId2"/>
    <sheet name="Concacaf" sheetId="1" r:id="rId3"/>
    <sheet name="Conmebol" sheetId="2" r:id="rId4"/>
    <sheet name="OFC" sheetId="3" r:id="rId5"/>
    <sheet name="UEFA" sheetId="4" r:id="rId6"/>
    <sheet name="Intercontinent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26" i="1"/>
  <c r="L27" i="1"/>
  <c r="L28" i="1"/>
  <c r="L21" i="1"/>
  <c r="L20" i="1"/>
  <c r="L19" i="1"/>
  <c r="L22" i="1"/>
  <c r="L12" i="1"/>
  <c r="L13" i="1"/>
  <c r="L15" i="1"/>
  <c r="L14" i="1"/>
  <c r="L5" i="1"/>
  <c r="L8" i="1"/>
  <c r="L7" i="1"/>
  <c r="L6" i="1"/>
  <c r="S29" i="1"/>
  <c r="P29" i="1"/>
  <c r="S26" i="1"/>
  <c r="P26" i="1"/>
  <c r="S27" i="1"/>
  <c r="P27" i="1"/>
  <c r="S28" i="1"/>
  <c r="P28" i="1"/>
  <c r="S21" i="1"/>
  <c r="P21" i="1"/>
  <c r="S20" i="1"/>
  <c r="P20" i="1"/>
  <c r="S19" i="1"/>
  <c r="P19" i="1"/>
  <c r="S22" i="1"/>
  <c r="P22" i="1"/>
  <c r="S12" i="1"/>
  <c r="P12" i="1"/>
  <c r="S13" i="1"/>
  <c r="P13" i="1"/>
  <c r="S15" i="1"/>
  <c r="P15" i="1"/>
  <c r="S14" i="1"/>
  <c r="P14" i="1"/>
  <c r="S8" i="1"/>
  <c r="P5" i="1"/>
  <c r="S7" i="1"/>
  <c r="P8" i="1"/>
  <c r="S6" i="1"/>
  <c r="P7" i="1"/>
  <c r="S5" i="1"/>
  <c r="P6" i="1"/>
  <c r="C31" i="3"/>
  <c r="A31" i="3"/>
  <c r="A30" i="3"/>
  <c r="C27" i="3"/>
  <c r="A27" i="3"/>
  <c r="J24" i="3"/>
  <c r="G24" i="3"/>
  <c r="C24" i="3"/>
  <c r="J23" i="3"/>
  <c r="G23" i="3"/>
  <c r="C23" i="3"/>
  <c r="J22" i="3"/>
  <c r="G22" i="3"/>
  <c r="C22" i="3"/>
  <c r="J21" i="3"/>
  <c r="G21" i="3"/>
  <c r="C21" i="3"/>
  <c r="J17" i="3"/>
  <c r="G17" i="3"/>
  <c r="C17" i="3"/>
  <c r="J16" i="3"/>
  <c r="G16" i="3"/>
  <c r="C16" i="3"/>
  <c r="J15" i="3"/>
  <c r="G15" i="3"/>
  <c r="C15" i="3"/>
  <c r="J14" i="3"/>
  <c r="G14" i="3"/>
  <c r="C14" i="3"/>
  <c r="C9" i="3"/>
  <c r="C10" i="3"/>
  <c r="C8" i="3"/>
  <c r="C7" i="3"/>
  <c r="C6" i="3"/>
  <c r="C5" i="3"/>
  <c r="C4" i="3"/>
  <c r="C3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AZ56" i="2"/>
  <c r="AW56" i="2"/>
  <c r="AZ55" i="2"/>
  <c r="AW55" i="2"/>
  <c r="AZ54" i="2"/>
  <c r="AW54" i="2"/>
  <c r="AZ53" i="2"/>
  <c r="AW53" i="2"/>
  <c r="AZ49" i="2"/>
  <c r="AW49" i="2"/>
  <c r="AZ48" i="2"/>
  <c r="AW48" i="2"/>
  <c r="AZ47" i="2"/>
  <c r="AW47" i="2"/>
  <c r="AZ46" i="2"/>
  <c r="AW46" i="2"/>
  <c r="AZ42" i="2"/>
  <c r="AW42" i="2"/>
  <c r="AZ41" i="2"/>
  <c r="AW41" i="2"/>
  <c r="AZ40" i="2"/>
  <c r="AW40" i="2"/>
  <c r="AZ39" i="2"/>
  <c r="AW39" i="2"/>
  <c r="AZ35" i="2"/>
  <c r="AW35" i="2"/>
  <c r="AZ34" i="2"/>
  <c r="AW34" i="2"/>
  <c r="AZ33" i="2"/>
  <c r="AW33" i="2"/>
  <c r="AZ32" i="2"/>
  <c r="AW32" i="2"/>
  <c r="AZ28" i="2"/>
  <c r="AW28" i="2"/>
  <c r="AZ27" i="2"/>
  <c r="AW27" i="2"/>
  <c r="AZ26" i="2"/>
  <c r="AW26" i="2"/>
  <c r="AZ25" i="2"/>
  <c r="AW25" i="2"/>
  <c r="AZ21" i="2"/>
  <c r="AW21" i="2"/>
  <c r="AZ20" i="2"/>
  <c r="AW20" i="2"/>
  <c r="AZ19" i="2"/>
  <c r="AW19" i="2"/>
  <c r="AZ18" i="2"/>
  <c r="AW18" i="2"/>
  <c r="AZ14" i="2"/>
  <c r="AW14" i="2"/>
  <c r="AZ13" i="2"/>
  <c r="AW13" i="2"/>
  <c r="AZ12" i="2"/>
  <c r="AW12" i="2"/>
  <c r="AZ11" i="2"/>
  <c r="AW11" i="2"/>
  <c r="AZ7" i="2"/>
  <c r="AW7" i="2"/>
  <c r="AZ6" i="2"/>
  <c r="AW6" i="2"/>
  <c r="AZ5" i="2"/>
  <c r="AW5" i="2"/>
  <c r="AZ4" i="2"/>
  <c r="AW4" i="2"/>
  <c r="AA56" i="2"/>
  <c r="X56" i="2"/>
  <c r="AA55" i="2"/>
  <c r="X55" i="2"/>
  <c r="AA54" i="2"/>
  <c r="X54" i="2"/>
  <c r="AA53" i="2"/>
  <c r="X53" i="2"/>
  <c r="AA49" i="2"/>
  <c r="X49" i="2"/>
  <c r="AA48" i="2"/>
  <c r="X48" i="2"/>
  <c r="AA47" i="2"/>
  <c r="X47" i="2"/>
  <c r="AA46" i="2"/>
  <c r="X46" i="2"/>
  <c r="AA42" i="2"/>
  <c r="X42" i="2"/>
  <c r="AA41" i="2"/>
  <c r="X41" i="2"/>
  <c r="AA40" i="2"/>
  <c r="X40" i="2"/>
  <c r="AA39" i="2"/>
  <c r="X39" i="2"/>
  <c r="AA35" i="2"/>
  <c r="X35" i="2"/>
  <c r="AA34" i="2"/>
  <c r="X34" i="2"/>
  <c r="AA33" i="2"/>
  <c r="X33" i="2"/>
  <c r="AA32" i="2"/>
  <c r="X32" i="2"/>
  <c r="AA28" i="2"/>
  <c r="X28" i="2"/>
  <c r="AA27" i="2"/>
  <c r="X27" i="2"/>
  <c r="AA26" i="2"/>
  <c r="X26" i="2"/>
  <c r="AA25" i="2"/>
  <c r="X25" i="2"/>
  <c r="AA21" i="2"/>
  <c r="X21" i="2"/>
  <c r="AA20" i="2"/>
  <c r="X20" i="2"/>
  <c r="AA19" i="2"/>
  <c r="X19" i="2"/>
  <c r="AA18" i="2"/>
  <c r="X18" i="2"/>
  <c r="AA14" i="2"/>
  <c r="X14" i="2"/>
  <c r="AA13" i="2"/>
  <c r="X13" i="2"/>
  <c r="AA12" i="2"/>
  <c r="X12" i="2"/>
  <c r="AA11" i="2"/>
  <c r="X11" i="2"/>
  <c r="AA7" i="2"/>
  <c r="X7" i="2"/>
  <c r="AA6" i="2"/>
  <c r="X6" i="2"/>
  <c r="AA5" i="2"/>
  <c r="X5" i="2"/>
  <c r="AA4" i="2"/>
  <c r="X4" i="2"/>
</calcChain>
</file>

<file path=xl/sharedStrings.xml><?xml version="1.0" encoding="utf-8"?>
<sst xmlns="http://schemas.openxmlformats.org/spreadsheetml/2006/main" count="1522" uniqueCount="482">
  <si>
    <t>Champions Cup</t>
  </si>
  <si>
    <t>1a fase</t>
  </si>
  <si>
    <t>San Diego</t>
  </si>
  <si>
    <t>Pumas</t>
  </si>
  <si>
    <t>San Miguelito</t>
  </si>
  <si>
    <t>LA Galaxy</t>
  </si>
  <si>
    <t>Vancouver</t>
  </si>
  <si>
    <t>Cruz Azul</t>
  </si>
  <si>
    <t>Xelajú</t>
  </si>
  <si>
    <t>Monterrey</t>
  </si>
  <si>
    <t>Real España</t>
  </si>
  <si>
    <t>LAFC</t>
  </si>
  <si>
    <t>Atlético Ottawa</t>
  </si>
  <si>
    <t>Olimpia</t>
  </si>
  <si>
    <t>Cartaginés</t>
  </si>
  <si>
    <t>Forge FC</t>
  </si>
  <si>
    <t>Philadelphia Union</t>
  </si>
  <si>
    <t>Nashville</t>
  </si>
  <si>
    <t>América</t>
  </si>
  <si>
    <t>Vancouver Whitecaps</t>
  </si>
  <si>
    <t>Tigres</t>
  </si>
  <si>
    <t>Cincinnati</t>
  </si>
  <si>
    <t>Oitavas de final</t>
  </si>
  <si>
    <t>2x1</t>
  </si>
  <si>
    <t>2x3</t>
  </si>
  <si>
    <t>2x2</t>
  </si>
  <si>
    <t>0x1</t>
  </si>
  <si>
    <t>1x1</t>
  </si>
  <si>
    <t>2x0</t>
  </si>
  <si>
    <t>3x1</t>
  </si>
  <si>
    <t>1x2</t>
  </si>
  <si>
    <t>1x0</t>
  </si>
  <si>
    <t>5x1</t>
  </si>
  <si>
    <t>Toluca</t>
  </si>
  <si>
    <t>Mount Pleasant</t>
  </si>
  <si>
    <t>Alajuelense</t>
  </si>
  <si>
    <t>Inter Miami</t>
  </si>
  <si>
    <t>Seattle Sounders</t>
  </si>
  <si>
    <t>Quartas de final</t>
  </si>
  <si>
    <t>0x2</t>
  </si>
  <si>
    <t>3x3</t>
  </si>
  <si>
    <t>0x0</t>
  </si>
  <si>
    <t>Semifinal</t>
  </si>
  <si>
    <t>4x0</t>
  </si>
  <si>
    <t>0x0 (5x6)</t>
  </si>
  <si>
    <t>Final</t>
  </si>
  <si>
    <t>0x3</t>
  </si>
  <si>
    <t>1x4</t>
  </si>
  <si>
    <t>Recopa</t>
  </si>
  <si>
    <t>Lanús</t>
  </si>
  <si>
    <t>Flamengo</t>
  </si>
  <si>
    <t>Armando Méndez 3'</t>
  </si>
  <si>
    <t>Samuel Lino 74'</t>
  </si>
  <si>
    <t>Libertadores</t>
  </si>
  <si>
    <t>Fase 1</t>
  </si>
  <si>
    <t>The Strongest</t>
  </si>
  <si>
    <t>Juventud Las Piedras</t>
  </si>
  <si>
    <t>2 de Mayo</t>
  </si>
  <si>
    <t>Deportivo Táchira</t>
  </si>
  <si>
    <t>Universidad Católica-EQU</t>
  </si>
  <si>
    <t>Alianza Lima</t>
  </si>
  <si>
    <t>Fase 2</t>
  </si>
  <si>
    <t>Luciano Ursino</t>
  </si>
  <si>
    <t>Carlos Sosa</t>
  </si>
  <si>
    <t>0x0 (1x4)</t>
  </si>
  <si>
    <t>Agustín Rodríguez (2x)</t>
  </si>
  <si>
    <t>Luis Cangá</t>
  </si>
  <si>
    <t>Mauricio Alonso</t>
  </si>
  <si>
    <t>4x1</t>
  </si>
  <si>
    <t>Byron Palacios (2x)</t>
  </si>
  <si>
    <t>Azarías Londoño</t>
  </si>
  <si>
    <t>Iván Rossi</t>
  </si>
  <si>
    <t>Gaspar Gentile</t>
  </si>
  <si>
    <t>Ronald Cornet</t>
  </si>
  <si>
    <t>Barcelona</t>
  </si>
  <si>
    <t>Nacional Potosí</t>
  </si>
  <si>
    <t>Carabobo</t>
  </si>
  <si>
    <t>O'Higgins</t>
  </si>
  <si>
    <t>Liverpool</t>
  </si>
  <si>
    <t>Guaraní</t>
  </si>
  <si>
    <t>Tolima</t>
  </si>
  <si>
    <t>Sporting Cristal</t>
  </si>
  <si>
    <t>Argentinos Juniors</t>
  </si>
  <si>
    <t>Botafogo</t>
  </si>
  <si>
    <t>Huachipato</t>
  </si>
  <si>
    <t>Bahia</t>
  </si>
  <si>
    <t>Independiente Medellín</t>
  </si>
  <si>
    <t>Byron Palacios</t>
  </si>
  <si>
    <t>Enrique Borja</t>
  </si>
  <si>
    <t>Eddy Mejía</t>
  </si>
  <si>
    <t>Eugenio Isnaldo</t>
  </si>
  <si>
    <t>3x0</t>
  </si>
  <si>
    <t>Gonzalo Lencina</t>
  </si>
  <si>
    <t>Adrián Parra</t>
  </si>
  <si>
    <t>Samuel Velásquez</t>
  </si>
  <si>
    <t>Irven Ávila</t>
  </si>
  <si>
    <t>Sebastián Prieto</t>
  </si>
  <si>
    <t>Hernán López Muñoz</t>
  </si>
  <si>
    <t>Tomás Molina (2x)</t>
  </si>
  <si>
    <t>Aldo Velasco</t>
  </si>
  <si>
    <t>Arthur Cabral</t>
  </si>
  <si>
    <t>Artur</t>
  </si>
  <si>
    <t>Ronald Gallegos</t>
  </si>
  <si>
    <t>2x1 (2x3)</t>
  </si>
  <si>
    <t>Claudio Sepúlveda</t>
  </si>
  <si>
    <t>Lionel Altamirano</t>
  </si>
  <si>
    <t>Matías Lugo</t>
  </si>
  <si>
    <t>Francisco González (2x)</t>
  </si>
  <si>
    <t>Jean Lucas</t>
  </si>
  <si>
    <t>Moisés González</t>
  </si>
  <si>
    <t>Nicolás Garrido</t>
  </si>
  <si>
    <t>Sebastián Fernández</t>
  </si>
  <si>
    <t>Santiago Viera</t>
  </si>
  <si>
    <t>Leyser Chaverra</t>
  </si>
  <si>
    <t>Baldomero Pelaza</t>
  </si>
  <si>
    <t>Francisco Fydriszewski</t>
  </si>
  <si>
    <t>Anthony Aires</t>
  </si>
  <si>
    <t>3x1 (3x4)</t>
  </si>
  <si>
    <t>Fase 3</t>
  </si>
  <si>
    <t>José Fajardo</t>
  </si>
  <si>
    <t>Maximiliano Romero</t>
  </si>
  <si>
    <t>0x0 (3x4)</t>
  </si>
  <si>
    <t>Miguel Araujo</t>
  </si>
  <si>
    <t>Felipe Vizeu</t>
  </si>
  <si>
    <t>Tomás Molina</t>
  </si>
  <si>
    <t>Rubén Bentancourt</t>
  </si>
  <si>
    <t>Emiliano Viveros (2x)</t>
  </si>
  <si>
    <t>Juan Carlos Gálviz (GC)</t>
  </si>
  <si>
    <t>Fase de Grupos</t>
  </si>
  <si>
    <t>Grupo A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</si>
  <si>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</si>
  <si>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</si>
  <si>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</si>
  <si>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</si>
  <si>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</si>
  <si>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</si>
  <si>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</si>
  <si>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</si>
  <si>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</si>
  <si>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</si>
  <si>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</si>
  <si>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2.</t>
  </si>
  <si>
    <t>3.</t>
  </si>
  <si>
    <t>Bucaramanga</t>
  </si>
  <si>
    <t>4.</t>
  </si>
  <si>
    <t>Grupo B</t>
  </si>
  <si>
    <t>Grupo C</t>
  </si>
  <si>
    <t>Grupo D</t>
  </si>
  <si>
    <t>Grupo E</t>
  </si>
  <si>
    <t>Grupo F</t>
  </si>
  <si>
    <t>Grupo G</t>
  </si>
  <si>
    <t>Grupo H</t>
  </si>
  <si>
    <t>Universidad Católica-CHI</t>
  </si>
  <si>
    <t>LDU</t>
  </si>
  <si>
    <t>Cerro Porteño</t>
  </si>
  <si>
    <t>Fluminense</t>
  </si>
  <si>
    <t>Santa Fe</t>
  </si>
  <si>
    <t>Estudiantes</t>
  </si>
  <si>
    <t>Rosario Central</t>
  </si>
  <si>
    <t>UCV</t>
  </si>
  <si>
    <t>Del Valle</t>
  </si>
  <si>
    <t>Cruzeiro</t>
  </si>
  <si>
    <t>Bolívar</t>
  </si>
  <si>
    <t>Palmeiras</t>
  </si>
  <si>
    <t>Platense</t>
  </si>
  <si>
    <t>Deportivo La Guaira</t>
  </si>
  <si>
    <t>Libertad</t>
  </si>
  <si>
    <t>Boca Juniors</t>
  </si>
  <si>
    <t>Always Ready</t>
  </si>
  <si>
    <t>Coquimbo Unido</t>
  </si>
  <si>
    <t>Mirassol</t>
  </si>
  <si>
    <t>Nacional</t>
  </si>
  <si>
    <t>Independiente Rivadavia</t>
  </si>
  <si>
    <t>Cusco</t>
  </si>
  <si>
    <t>Peñarol</t>
  </si>
  <si>
    <t>Corinthians</t>
  </si>
  <si>
    <t>Junior</t>
  </si>
  <si>
    <t>Universitario</t>
  </si>
  <si>
    <t>Fernando Zampedri</t>
  </si>
  <si>
    <t>Yairo Moreno</t>
  </si>
  <si>
    <t>Hárold Mosquera (2x)</t>
  </si>
  <si>
    <t>1x3</t>
  </si>
  <si>
    <t>Flaco López</t>
  </si>
  <si>
    <t>Jesús Rivas</t>
  </si>
  <si>
    <t>Fabián Ángel</t>
  </si>
  <si>
    <t>Guillermo Paiva</t>
  </si>
  <si>
    <t>Kevin Serna</t>
  </si>
  <si>
    <t>Negueba</t>
  </si>
  <si>
    <t>Tomás Bottari</t>
  </si>
  <si>
    <t>Álex Arce</t>
  </si>
  <si>
    <t>Fernando Cornejo</t>
  </si>
  <si>
    <t>Jáminton Campaz (2x)</t>
  </si>
  <si>
    <t>Pablo Hervías</t>
  </si>
  <si>
    <t>Alfred Canales</t>
  </si>
  <si>
    <t>Facundo Callejo (2x)</t>
  </si>
  <si>
    <t>Guillermo Paiva (2x)</t>
  </si>
  <si>
    <t>Vitor Roque</t>
  </si>
  <si>
    <t>Juan Manuel Cuesta</t>
  </si>
  <si>
    <t>Neto Moura (2x)</t>
  </si>
  <si>
    <t>Alesson</t>
  </si>
  <si>
    <t>Leonel Quiñónez</t>
  </si>
  <si>
    <t>Michael Estrada</t>
  </si>
  <si>
    <t>0x0 (2x4)</t>
  </si>
  <si>
    <t>Pablo Hervías (2x)</t>
  </si>
  <si>
    <t>1x2 (6x7)</t>
  </si>
  <si>
    <t>0x1 (7x6)</t>
  </si>
  <si>
    <t>Aldair Fuentes</t>
  </si>
  <si>
    <t>Marlon Ruidías</t>
  </si>
  <si>
    <t>Nonato</t>
  </si>
  <si>
    <t>Renato Marques</t>
  </si>
  <si>
    <t>Gabriel Villamil (GC)</t>
  </si>
  <si>
    <t>Michael Estrada (2x)</t>
  </si>
  <si>
    <t>Neto Moura</t>
  </si>
  <si>
    <t>José Sagredo</t>
  </si>
  <si>
    <t>Álvaro Campuzano</t>
  </si>
  <si>
    <t>Gustavo Aguilar</t>
  </si>
  <si>
    <t>Guillermo Paiva 21'</t>
  </si>
  <si>
    <t>Jhonier Guerrero 62'</t>
  </si>
  <si>
    <t>Juan Manuel Tévez 45+1'</t>
  </si>
  <si>
    <t>Facundo Callejo 10', 45+4'</t>
  </si>
  <si>
    <t>Lorenzo Melgarejo 102'</t>
  </si>
  <si>
    <t>Renato Marques 80'</t>
  </si>
  <si>
    <t>2x2 (4x2)</t>
  </si>
  <si>
    <t>Neto Moura 11'</t>
  </si>
  <si>
    <t>Negueba 79'</t>
  </si>
  <si>
    <t>Iván Ramírez 36'</t>
  </si>
  <si>
    <t>Lorenzo Melgarejo 86'</t>
  </si>
  <si>
    <t>Lorenzo Melgarejo</t>
  </si>
  <si>
    <t>Ángel Cardozo Lucena</t>
  </si>
  <si>
    <t>Negueba 63'</t>
  </si>
  <si>
    <t>Chico da Costa 83'</t>
  </si>
  <si>
    <t>Sul-Americana</t>
  </si>
  <si>
    <t>Independiente Petrolero</t>
  </si>
  <si>
    <t>Guabirá</t>
  </si>
  <si>
    <t>Blooming</t>
  </si>
  <si>
    <t>Bulo Bulo</t>
  </si>
  <si>
    <t>Universidad de Chile</t>
  </si>
  <si>
    <t>Palestino</t>
  </si>
  <si>
    <t>Cobresal</t>
  </si>
  <si>
    <t>Audax Italiano</t>
  </si>
  <si>
    <t>Atlético Nacional</t>
  </si>
  <si>
    <t>Millonarios</t>
  </si>
  <si>
    <t>América de Cali</t>
  </si>
  <si>
    <t>Deportivo Cuenca</t>
  </si>
  <si>
    <t>Libertad-EQU</t>
  </si>
  <si>
    <t>Orense</t>
  </si>
  <si>
    <t>Macará</t>
  </si>
  <si>
    <t>Nacional-PAR</t>
  </si>
  <si>
    <t>Recoleta</t>
  </si>
  <si>
    <t>Sportivo Trinidense</t>
  </si>
  <si>
    <t>Alianza Atlético</t>
  </si>
  <si>
    <t>Deportivo Garcilaso</t>
  </si>
  <si>
    <t>Cienciano</t>
  </si>
  <si>
    <t>Melgar</t>
  </si>
  <si>
    <t>Montevideo City Torque</t>
  </si>
  <si>
    <t>Defensor</t>
  </si>
  <si>
    <t>Boston River</t>
  </si>
  <si>
    <t>Racing-URU</t>
  </si>
  <si>
    <t>Puerto Cabello</t>
  </si>
  <si>
    <t>Monagas</t>
  </si>
  <si>
    <t>Caracas</t>
  </si>
  <si>
    <t>Metropolitanos</t>
  </si>
  <si>
    <t>0x0 (5x4)</t>
  </si>
  <si>
    <t>0x0 (3x5)</t>
  </si>
  <si>
    <t>1x1 (4x5)</t>
  </si>
  <si>
    <t>Robin Ramírez</t>
  </si>
  <si>
    <t>Jefferson Ibáñez</t>
  </si>
  <si>
    <t>0x0 (8x9)</t>
  </si>
  <si>
    <t>Matías Zaldivia</t>
  </si>
  <si>
    <t>Lucas di Yorio</t>
  </si>
  <si>
    <t>Lucas Assadi (2x)</t>
  </si>
  <si>
    <t>Camilo Cándido</t>
  </si>
  <si>
    <t>Alfredo Morelos</t>
  </si>
  <si>
    <t>Santiago Giordana</t>
  </si>
  <si>
    <t>1x1 (2x4)</t>
  </si>
  <si>
    <t>Cristian Barrios</t>
  </si>
  <si>
    <t>Fabián Sambueza</t>
  </si>
  <si>
    <t>2x2 (7x6)</t>
  </si>
  <si>
    <t>Rodrigo Melo (2x)</t>
  </si>
  <si>
    <t>Carlos Arboleda</t>
  </si>
  <si>
    <t>Néstor Caicedo</t>
  </si>
  <si>
    <t>Pedro Velasco</t>
  </si>
  <si>
    <t>Sergio Vásquez</t>
  </si>
  <si>
    <t>Walter Herrera</t>
  </si>
  <si>
    <t>Gustavo Viera</t>
  </si>
  <si>
    <t>Néstor Camacho</t>
  </si>
  <si>
    <t>Kevin Arévalo (2x)</t>
  </si>
  <si>
    <t>Agustín Anello</t>
  </si>
  <si>
    <t>1x1 (5x3)</t>
  </si>
  <si>
    <t>Edwuin Pernía</t>
  </si>
  <si>
    <t>Fernando Basante</t>
  </si>
  <si>
    <t>Jeriel de Santis</t>
  </si>
  <si>
    <t>José Hernández</t>
  </si>
  <si>
    <t>RB Bragantino</t>
  </si>
  <si>
    <t>Racing</t>
  </si>
  <si>
    <t>Atlético-MG</t>
  </si>
  <si>
    <t>Tigre</t>
  </si>
  <si>
    <t>San Lorenzo</t>
  </si>
  <si>
    <t>Deportivo Riestra</t>
  </si>
  <si>
    <t>Grêmio</t>
  </si>
  <si>
    <t>Vasco</t>
  </si>
  <si>
    <t>Barracas Central</t>
  </si>
  <si>
    <t>São Paulo</t>
  </si>
  <si>
    <t>Santos</t>
  </si>
  <si>
    <t>River Plate</t>
  </si>
  <si>
    <t>Playoffs</t>
  </si>
  <si>
    <t>Dylan Aquino</t>
  </si>
  <si>
    <t>Benjamín Rollheiser</t>
  </si>
  <si>
    <t>Álvaro Barreal</t>
  </si>
  <si>
    <t>Marcelino Moreno</t>
  </si>
  <si>
    <t>Rodrigo Castillo</t>
  </si>
  <si>
    <t>Samuel Lino</t>
  </si>
  <si>
    <t>Bruno Henrique</t>
  </si>
  <si>
    <t>Edwin Cardona</t>
  </si>
  <si>
    <t>Marino Hinestroza</t>
  </si>
  <si>
    <t>Dimas Meza (GC)</t>
  </si>
  <si>
    <t>Gerardo Padrón</t>
  </si>
  <si>
    <t>Junior Paredes</t>
  </si>
  <si>
    <t>Facundo Rodríguez</t>
  </si>
  <si>
    <t>Maximiliano Silvera</t>
  </si>
  <si>
    <t>0x1 (4x5)</t>
  </si>
  <si>
    <t>Rafael Carrascal</t>
  </si>
  <si>
    <t>Luís Leal (2x)</t>
  </si>
  <si>
    <t>Alvaro Quiroga (2x)</t>
  </si>
  <si>
    <t>Padú</t>
  </si>
  <si>
    <t>Bernardo Cuesta (2x)</t>
  </si>
  <si>
    <t>Jhamir D'Arrigo</t>
  </si>
  <si>
    <t>Leandro Paredes</t>
  </si>
  <si>
    <t>5x0</t>
  </si>
  <si>
    <t>Patrik Mercado</t>
  </si>
  <si>
    <t>Claudio Spinelli (4x)</t>
  </si>
  <si>
    <t>Agustín Graneros (2x)</t>
  </si>
  <si>
    <t>Carlos Lora</t>
  </si>
  <si>
    <t>Jesús Pretell</t>
  </si>
  <si>
    <t>Adalid Terrazas</t>
  </si>
  <si>
    <t>Santiago González</t>
  </si>
  <si>
    <t>Charles Aránguiz</t>
  </si>
  <si>
    <t>Lucas Assadi</t>
  </si>
  <si>
    <t>Javier Altamirano</t>
  </si>
  <si>
    <t>Gerald Távara</t>
  </si>
  <si>
    <t>1x2 (4x2)</t>
  </si>
  <si>
    <t>Jorman Campuzano</t>
  </si>
  <si>
    <t>Dairon Asprilla</t>
  </si>
  <si>
    <t>Mario Sandoval</t>
  </si>
  <si>
    <t>Eduardo Vargas</t>
  </si>
  <si>
    <t>Lautaro Palacios</t>
  </si>
  <si>
    <t>Javier Cabrera</t>
  </si>
  <si>
    <t>José Neris</t>
  </si>
  <si>
    <t>Kevin Arévalo</t>
  </si>
  <si>
    <t>Matías Arezo</t>
  </si>
  <si>
    <t>Lyanco</t>
  </si>
  <si>
    <t>Michael Hoyos (GC)</t>
  </si>
  <si>
    <t>Dudu</t>
  </si>
  <si>
    <t>Juan Montenegro</t>
  </si>
  <si>
    <t>Luís Leal</t>
  </si>
  <si>
    <t>Raúl Guerrón</t>
  </si>
  <si>
    <t>Eric Ramires</t>
  </si>
  <si>
    <t>Gabriel</t>
  </si>
  <si>
    <t>Eduardo Sasha</t>
  </si>
  <si>
    <t>Jhon Jhon (2x)</t>
  </si>
  <si>
    <t>Bernardo Cuesta</t>
  </si>
  <si>
    <t>Miguel Vegas</t>
  </si>
  <si>
    <t>Lewuis Peña</t>
  </si>
  <si>
    <t>Pablo Maia</t>
  </si>
  <si>
    <t>Jonathan Calleri</t>
  </si>
  <si>
    <t>Luciano</t>
  </si>
  <si>
    <t>Sebastián Rodríguez</t>
  </si>
  <si>
    <t>0x1 (3x4)</t>
  </si>
  <si>
    <t>Ignacio Sosa</t>
  </si>
  <si>
    <t>Mauricio Cabral</t>
  </si>
  <si>
    <t>Jhon Jhon</t>
  </si>
  <si>
    <t>Eduardo Sasha (2x)</t>
  </si>
  <si>
    <t>Brahian Egüez</t>
  </si>
  <si>
    <t>Eric Ramires (GC)</t>
  </si>
  <si>
    <t>3x2 (6x7)</t>
  </si>
  <si>
    <t>0x1 (8x9)</t>
  </si>
  <si>
    <t>Eduardo Vargas 5', 9'</t>
  </si>
  <si>
    <t>Matías Arezo 34'</t>
  </si>
  <si>
    <t>Emerson Royal 45+4' (GC)</t>
  </si>
  <si>
    <t>Luís Leal 92'</t>
  </si>
  <si>
    <t>Francisco La Mantía 93' (GC)</t>
  </si>
  <si>
    <t>Jeriel de Santis 51'</t>
  </si>
  <si>
    <t>Brayan Rodríguez 52'</t>
  </si>
  <si>
    <t>2x1 (4x2)</t>
  </si>
  <si>
    <t>Daniel Aguilar</t>
  </si>
  <si>
    <t>Alvaro Quiroga</t>
  </si>
  <si>
    <t>Alejandro Meleán</t>
  </si>
  <si>
    <t>1x1 (4x1)</t>
  </si>
  <si>
    <t>Jesús Yendis 107'</t>
  </si>
  <si>
    <t>Mario Sandoval 109'</t>
  </si>
  <si>
    <t>Vicente Rodríguez</t>
  </si>
  <si>
    <t>Marco Collao</t>
  </si>
  <si>
    <t>Gaston Gíl Romero</t>
  </si>
  <si>
    <t>Campeões</t>
  </si>
  <si>
    <t>OFC Pro League</t>
  </si>
  <si>
    <t>5.</t>
  </si>
  <si>
    <t>6.</t>
  </si>
  <si>
    <t>7.</t>
  </si>
  <si>
    <t>8.</t>
  </si>
  <si>
    <t>PNG Hekari</t>
  </si>
  <si>
    <t>Auckland FC</t>
  </si>
  <si>
    <t>South Melbourne</t>
  </si>
  <si>
    <t>Bula FC</t>
  </si>
  <si>
    <t>South Island United</t>
  </si>
  <si>
    <t>Solomon Kings</t>
  </si>
  <si>
    <t>Tahiti United</t>
  </si>
  <si>
    <t>Vanuatu United</t>
  </si>
  <si>
    <t>Leaders Group</t>
  </si>
  <si>
    <t>Challengers Group</t>
  </si>
  <si>
    <t>Playoff</t>
  </si>
  <si>
    <t>0x0 (4x2)</t>
  </si>
  <si>
    <t>Campeão</t>
  </si>
  <si>
    <t>Champions League</t>
  </si>
  <si>
    <t>PSG</t>
  </si>
  <si>
    <t>Real Madrid</t>
  </si>
  <si>
    <t>Bayern</t>
  </si>
  <si>
    <t>Atlético de Madrid</t>
  </si>
  <si>
    <t>Sporting</t>
  </si>
  <si>
    <t>Arsenal</t>
  </si>
  <si>
    <t>Europa League</t>
  </si>
  <si>
    <t>Braga</t>
  </si>
  <si>
    <t>Real Betis</t>
  </si>
  <si>
    <t>Freiburg</t>
  </si>
  <si>
    <t>Porto</t>
  </si>
  <si>
    <t>Bologna</t>
  </si>
  <si>
    <t>Celta de Vigo</t>
  </si>
  <si>
    <t>Nottingham Forest</t>
  </si>
  <si>
    <t>Aston Villa</t>
  </si>
  <si>
    <t>1x1 (3x1)</t>
  </si>
  <si>
    <t>Conference League</t>
  </si>
  <si>
    <t>Shakhtar Donetsk</t>
  </si>
  <si>
    <t>Crystal Palace</t>
  </si>
  <si>
    <t>Rayo Vallecano</t>
  </si>
  <si>
    <t>Mainz</t>
  </si>
  <si>
    <t>Strasbourg</t>
  </si>
  <si>
    <t>AEK Atenas</t>
  </si>
  <si>
    <t>Fiorentina</t>
  </si>
  <si>
    <t>AZ</t>
  </si>
  <si>
    <t>3x2</t>
  </si>
  <si>
    <t>Central American Cup</t>
  </si>
  <si>
    <t>Municipal</t>
  </si>
  <si>
    <t>Saprissa</t>
  </si>
  <si>
    <t>Marathón</t>
  </si>
  <si>
    <t>Olancho</t>
  </si>
  <si>
    <t>Liberia</t>
  </si>
  <si>
    <t>Antigua</t>
  </si>
  <si>
    <t>Tauro</t>
  </si>
  <si>
    <t>Puntarenas</t>
  </si>
  <si>
    <t>Aurora</t>
  </si>
  <si>
    <t>Diriangén</t>
  </si>
  <si>
    <t>Árabe Unido</t>
  </si>
  <si>
    <t>Municipal Jalapa</t>
  </si>
  <si>
    <t>Managua</t>
  </si>
  <si>
    <t>Play-In</t>
  </si>
  <si>
    <t>ASFAR</t>
  </si>
  <si>
    <t>RS Berkane</t>
  </si>
  <si>
    <t>Espérance</t>
  </si>
  <si>
    <t>Mamelodi Sundowns</t>
  </si>
  <si>
    <t>Confederations Cup</t>
  </si>
  <si>
    <t>USM Alger</t>
  </si>
  <si>
    <t>Olympic Safi</t>
  </si>
  <si>
    <t>Zamalek</t>
  </si>
  <si>
    <t>Champions League Elite</t>
  </si>
  <si>
    <t>Buriram United</t>
  </si>
  <si>
    <t>Shabab Al Ahli</t>
  </si>
  <si>
    <t>Al Ahli</t>
  </si>
  <si>
    <t>Vissel Kobe</t>
  </si>
  <si>
    <t>Machida Zelvia</t>
  </si>
  <si>
    <t>0x4</t>
  </si>
  <si>
    <t>Champions League 2</t>
  </si>
  <si>
    <t>Al Wasl</t>
  </si>
  <si>
    <t>Al Nassr</t>
  </si>
  <si>
    <t>Al Ahli-CAT</t>
  </si>
  <si>
    <t>Al Hussein</t>
  </si>
  <si>
    <t>Gamba Osaka</t>
  </si>
  <si>
    <t>Challenge League</t>
  </si>
  <si>
    <t>Kuwait SC Campeão</t>
  </si>
  <si>
    <t>Kuwait SC</t>
  </si>
  <si>
    <t>Playoff Ásia-Oceania</t>
  </si>
  <si>
    <t>Copa África-Ásia-Pacífico</t>
  </si>
  <si>
    <t>Dérbi das Américas</t>
  </si>
  <si>
    <t>Copa Challenger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</si>
</sst>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3" fillId="3" borderId="0" xfId="0" applyFont="1" applyFill="1"/>
    <xf numFmtId="0" fontId="3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5CF8-6C5B-4CB0-BBC0-E36FC4B5A94A}">
  <dimension ref="A1:M10"/>
  <sheetViews>
    <sheetView workbookViewId="0">
      <selection activeCell="M4" sqref="M4"/>
    </sheetView>
  </sheetViews>
  <sheetFormatPr defaultRowHeight="14.4" x14ac:dyDescent="0.3"/>
  <sheetData>
    <row r="1" spans="1:13" x14ac:dyDescent="0.3">
      <c r="A1" t="s">
        <v>462</v>
      </c>
      <c r="E1" t="s">
        <v>469</v>
      </c>
      <c r="I1" t="s">
        <v>475</v>
      </c>
      <c r="L1" t="s">
        <v>393</v>
      </c>
    </row>
    <row r="2" spans="1:13" x14ac:dyDescent="0.3">
      <c r="A2" t="s">
        <v>38</v>
      </c>
      <c r="E2" t="s">
        <v>38</v>
      </c>
      <c r="I2" t="s">
        <v>476</v>
      </c>
      <c r="L2" t="s">
        <v>467</v>
      </c>
      <c r="M2">
        <v>1</v>
      </c>
    </row>
    <row r="3" spans="1:13" x14ac:dyDescent="0.3">
      <c r="A3" t="s">
        <v>463</v>
      </c>
      <c r="B3" t="s">
        <v>28</v>
      </c>
      <c r="C3" t="s">
        <v>464</v>
      </c>
      <c r="E3" t="s">
        <v>470</v>
      </c>
      <c r="F3" t="s">
        <v>28</v>
      </c>
      <c r="G3" t="s">
        <v>471</v>
      </c>
      <c r="L3" t="s">
        <v>472</v>
      </c>
      <c r="M3">
        <v>1</v>
      </c>
    </row>
    <row r="4" spans="1:13" x14ac:dyDescent="0.3">
      <c r="E4" t="s">
        <v>472</v>
      </c>
      <c r="F4" t="s">
        <v>23</v>
      </c>
      <c r="G4" t="s">
        <v>473</v>
      </c>
      <c r="L4" t="s">
        <v>477</v>
      </c>
      <c r="M4">
        <v>1</v>
      </c>
    </row>
    <row r="5" spans="1:13" x14ac:dyDescent="0.3">
      <c r="A5" t="s">
        <v>42</v>
      </c>
    </row>
    <row r="6" spans="1:13" x14ac:dyDescent="0.3">
      <c r="A6" t="s">
        <v>465</v>
      </c>
      <c r="B6" t="s">
        <v>438</v>
      </c>
      <c r="C6" t="s">
        <v>466</v>
      </c>
      <c r="E6" t="s">
        <v>42</v>
      </c>
    </row>
    <row r="7" spans="1:13" x14ac:dyDescent="0.3">
      <c r="A7" t="s">
        <v>467</v>
      </c>
      <c r="B7" t="s">
        <v>28</v>
      </c>
      <c r="C7" t="s">
        <v>463</v>
      </c>
      <c r="E7" t="s">
        <v>470</v>
      </c>
      <c r="F7" t="s">
        <v>39</v>
      </c>
      <c r="G7" t="s">
        <v>472</v>
      </c>
    </row>
    <row r="9" spans="1:13" x14ac:dyDescent="0.3">
      <c r="A9" t="s">
        <v>45</v>
      </c>
      <c r="E9" t="s">
        <v>45</v>
      </c>
    </row>
    <row r="10" spans="1:13" x14ac:dyDescent="0.3">
      <c r="A10" t="s">
        <v>465</v>
      </c>
      <c r="B10" t="s">
        <v>468</v>
      </c>
      <c r="C10" t="s">
        <v>467</v>
      </c>
      <c r="E10" t="s">
        <v>474</v>
      </c>
      <c r="F10" t="s">
        <v>39</v>
      </c>
      <c r="G10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DC26-AF1C-4007-A9EC-B4F64E3D5A11}">
  <dimension ref="A1:R7"/>
  <sheetViews>
    <sheetView workbookViewId="0">
      <selection activeCell="B1" sqref="B1:H1"/>
    </sheetView>
  </sheetViews>
  <sheetFormatPr defaultRowHeight="14.4" x14ac:dyDescent="0.3"/>
  <sheetData>
    <row r="1" spans="1:18" x14ac:dyDescent="0.3">
      <c r="A1" t="s">
        <v>412</v>
      </c>
      <c r="I1" t="s">
        <v>458</v>
      </c>
      <c r="Q1" t="s">
        <v>393</v>
      </c>
    </row>
    <row r="2" spans="1:18" x14ac:dyDescent="0.3">
      <c r="A2" t="s">
        <v>42</v>
      </c>
      <c r="I2" t="s">
        <v>42</v>
      </c>
      <c r="Q2" t="s">
        <v>457</v>
      </c>
      <c r="R2">
        <v>2</v>
      </c>
    </row>
    <row r="3" spans="1:18" x14ac:dyDescent="0.3">
      <c r="A3" t="s">
        <v>454</v>
      </c>
      <c r="B3" t="s">
        <v>28</v>
      </c>
      <c r="C3" t="s">
        <v>455</v>
      </c>
      <c r="E3" t="s">
        <v>455</v>
      </c>
      <c r="F3" t="s">
        <v>41</v>
      </c>
      <c r="G3" t="s">
        <v>454</v>
      </c>
      <c r="I3" t="s">
        <v>459</v>
      </c>
      <c r="J3" t="s">
        <v>41</v>
      </c>
      <c r="K3" t="s">
        <v>460</v>
      </c>
      <c r="M3" t="s">
        <v>460</v>
      </c>
      <c r="N3" t="s">
        <v>31</v>
      </c>
      <c r="O3" t="s">
        <v>459</v>
      </c>
      <c r="Q3" t="s">
        <v>461</v>
      </c>
      <c r="R3">
        <v>3</v>
      </c>
    </row>
    <row r="4" spans="1:18" x14ac:dyDescent="0.3">
      <c r="A4" t="s">
        <v>456</v>
      </c>
      <c r="B4" t="s">
        <v>26</v>
      </c>
      <c r="C4" t="s">
        <v>457</v>
      </c>
      <c r="E4" t="s">
        <v>457</v>
      </c>
      <c r="F4" t="s">
        <v>28</v>
      </c>
      <c r="G4" t="s">
        <v>456</v>
      </c>
    </row>
    <row r="5" spans="1:18" x14ac:dyDescent="0.3">
      <c r="I5" t="s">
        <v>45</v>
      </c>
    </row>
    <row r="6" spans="1:18" x14ac:dyDescent="0.3">
      <c r="A6" t="s">
        <v>45</v>
      </c>
      <c r="I6" t="s">
        <v>461</v>
      </c>
      <c r="J6" t="s">
        <v>31</v>
      </c>
      <c r="K6" t="s">
        <v>460</v>
      </c>
    </row>
    <row r="7" spans="1:18" x14ac:dyDescent="0.3">
      <c r="A7" t="s">
        <v>457</v>
      </c>
      <c r="B7" t="s">
        <v>428</v>
      </c>
      <c r="C7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12EA-D8A2-44D0-AE34-E736E5C5CC7A}">
  <dimension ref="A1:AD34"/>
  <sheetViews>
    <sheetView tabSelected="1" topLeftCell="D3" workbookViewId="0">
      <selection activeCell="K29" sqref="K29"/>
    </sheetView>
  </sheetViews>
  <sheetFormatPr defaultRowHeight="14.4" x14ac:dyDescent="0.3"/>
  <sheetData>
    <row r="1" spans="1:30" x14ac:dyDescent="0.3">
      <c r="A1" t="s">
        <v>0</v>
      </c>
      <c r="J1" t="s">
        <v>439</v>
      </c>
      <c r="U1" t="s">
        <v>38</v>
      </c>
      <c r="AC1" t="s">
        <v>393</v>
      </c>
    </row>
    <row r="2" spans="1:30" x14ac:dyDescent="0.3">
      <c r="A2" t="s">
        <v>1</v>
      </c>
      <c r="J2" t="s">
        <v>128</v>
      </c>
      <c r="U2" t="s">
        <v>445</v>
      </c>
      <c r="V2" t="s">
        <v>23</v>
      </c>
      <c r="W2" t="s">
        <v>450</v>
      </c>
      <c r="Y2" t="s">
        <v>450</v>
      </c>
      <c r="Z2" t="s">
        <v>24</v>
      </c>
      <c r="AA2" t="s">
        <v>445</v>
      </c>
      <c r="AC2" t="s">
        <v>34</v>
      </c>
      <c r="AD2">
        <v>1</v>
      </c>
    </row>
    <row r="3" spans="1:30" x14ac:dyDescent="0.3">
      <c r="A3" t="s">
        <v>2</v>
      </c>
      <c r="B3" t="s">
        <v>23</v>
      </c>
      <c r="C3" t="s">
        <v>3</v>
      </c>
      <c r="E3" t="s">
        <v>3</v>
      </c>
      <c r="F3" t="s">
        <v>24</v>
      </c>
      <c r="G3" t="s">
        <v>2</v>
      </c>
      <c r="J3" t="s">
        <v>129</v>
      </c>
      <c r="U3" t="s">
        <v>447</v>
      </c>
      <c r="V3" t="s">
        <v>41</v>
      </c>
      <c r="W3" t="s">
        <v>449</v>
      </c>
      <c r="Y3" t="s">
        <v>449</v>
      </c>
      <c r="Z3" t="s">
        <v>26</v>
      </c>
      <c r="AA3" t="s">
        <v>447</v>
      </c>
      <c r="AC3" t="s">
        <v>448</v>
      </c>
      <c r="AD3">
        <v>1</v>
      </c>
    </row>
    <row r="4" spans="1:30" x14ac:dyDescent="0.3">
      <c r="A4" t="s">
        <v>4</v>
      </c>
      <c r="B4" t="s">
        <v>25</v>
      </c>
      <c r="C4" t="s">
        <v>5</v>
      </c>
      <c r="E4" t="s">
        <v>5</v>
      </c>
      <c r="F4" t="s">
        <v>26</v>
      </c>
      <c r="G4" t="s">
        <v>4</v>
      </c>
      <c r="J4" t="s">
        <v>130</v>
      </c>
      <c r="K4" t="s">
        <v>131</v>
      </c>
      <c r="L4" t="s">
        <v>132</v>
      </c>
      <c r="M4" t="s">
        <v>133</v>
      </c>
      <c r="N4" t="s">
        <v>134</v>
      </c>
      <c r="O4" t="s">
        <v>135</v>
      </c>
      <c r="P4" t="s">
        <v>136</v>
      </c>
      <c r="Q4" t="s">
        <v>137</v>
      </c>
      <c r="R4" t="s">
        <v>138</v>
      </c>
      <c r="S4" t="s">
        <v>139</v>
      </c>
      <c r="U4" t="s">
        <v>440</v>
      </c>
      <c r="V4" t="s">
        <v>23</v>
      </c>
      <c r="W4" t="s">
        <v>444</v>
      </c>
      <c r="Y4" t="s">
        <v>444</v>
      </c>
      <c r="Z4" t="s">
        <v>47</v>
      </c>
      <c r="AA4" t="s">
        <v>440</v>
      </c>
    </row>
    <row r="5" spans="1:30" x14ac:dyDescent="0.3">
      <c r="A5" t="s">
        <v>6</v>
      </c>
      <c r="B5" t="s">
        <v>26</v>
      </c>
      <c r="C5" t="s">
        <v>7</v>
      </c>
      <c r="E5" t="s">
        <v>7</v>
      </c>
      <c r="F5" t="s">
        <v>27</v>
      </c>
      <c r="G5" t="s">
        <v>6</v>
      </c>
      <c r="J5" s="1" t="s">
        <v>140</v>
      </c>
      <c r="K5" t="s">
        <v>450</v>
      </c>
      <c r="L5" s="2">
        <f>N5*3+O5</f>
        <v>9</v>
      </c>
      <c r="M5">
        <v>3</v>
      </c>
      <c r="N5">
        <v>3</v>
      </c>
      <c r="O5">
        <v>0</v>
      </c>
      <c r="P5">
        <f>M5-N5-O5</f>
        <v>0</v>
      </c>
      <c r="Q5">
        <v>4</v>
      </c>
      <c r="R5">
        <v>1</v>
      </c>
      <c r="S5">
        <f t="shared" ref="S5:S8" si="0">Q5-R5</f>
        <v>3</v>
      </c>
      <c r="U5" t="s">
        <v>448</v>
      </c>
      <c r="V5" t="s">
        <v>28</v>
      </c>
      <c r="W5" t="s">
        <v>451</v>
      </c>
      <c r="Y5" t="s">
        <v>451</v>
      </c>
      <c r="Z5" t="s">
        <v>27</v>
      </c>
      <c r="AA5" t="s">
        <v>448</v>
      </c>
    </row>
    <row r="6" spans="1:30" x14ac:dyDescent="0.3">
      <c r="A6" t="s">
        <v>8</v>
      </c>
      <c r="B6" t="s">
        <v>23</v>
      </c>
      <c r="C6" t="s">
        <v>9</v>
      </c>
      <c r="E6" t="s">
        <v>9</v>
      </c>
      <c r="F6" t="s">
        <v>28</v>
      </c>
      <c r="G6" t="s">
        <v>8</v>
      </c>
      <c r="J6" s="3" t="s">
        <v>141</v>
      </c>
      <c r="K6" t="s">
        <v>440</v>
      </c>
      <c r="L6" s="2">
        <f>N6*3+O6</f>
        <v>4</v>
      </c>
      <c r="M6">
        <v>3</v>
      </c>
      <c r="N6">
        <v>1</v>
      </c>
      <c r="O6">
        <v>1</v>
      </c>
      <c r="P6">
        <f>M6-N6-O6</f>
        <v>1</v>
      </c>
      <c r="Q6">
        <v>3</v>
      </c>
      <c r="R6">
        <v>2</v>
      </c>
      <c r="S6">
        <f t="shared" si="0"/>
        <v>1</v>
      </c>
    </row>
    <row r="7" spans="1:30" x14ac:dyDescent="0.3">
      <c r="A7" t="s">
        <v>10</v>
      </c>
      <c r="B7" t="s">
        <v>29</v>
      </c>
      <c r="C7" t="s">
        <v>11</v>
      </c>
      <c r="E7" t="s">
        <v>11</v>
      </c>
      <c r="F7" t="s">
        <v>30</v>
      </c>
      <c r="G7" t="s">
        <v>10</v>
      </c>
      <c r="J7" s="8" t="s">
        <v>142</v>
      </c>
      <c r="K7" t="s">
        <v>442</v>
      </c>
      <c r="L7" s="2">
        <f>N7*3+O7</f>
        <v>3</v>
      </c>
      <c r="M7">
        <v>3</v>
      </c>
      <c r="N7">
        <v>1</v>
      </c>
      <c r="O7">
        <v>0</v>
      </c>
      <c r="P7">
        <f>M7-N7-O7</f>
        <v>2</v>
      </c>
      <c r="Q7">
        <v>3</v>
      </c>
      <c r="R7">
        <v>5</v>
      </c>
      <c r="S7">
        <f t="shared" si="0"/>
        <v>-2</v>
      </c>
      <c r="U7" t="s">
        <v>42</v>
      </c>
    </row>
    <row r="8" spans="1:30" x14ac:dyDescent="0.3">
      <c r="A8" t="s">
        <v>12</v>
      </c>
      <c r="B8" t="s">
        <v>31</v>
      </c>
      <c r="C8" t="s">
        <v>17</v>
      </c>
      <c r="E8" t="s">
        <v>17</v>
      </c>
      <c r="F8" t="s">
        <v>32</v>
      </c>
      <c r="G8" t="s">
        <v>12</v>
      </c>
      <c r="J8" t="s">
        <v>144</v>
      </c>
      <c r="K8" t="s">
        <v>446</v>
      </c>
      <c r="L8" s="2">
        <f>N8*3+O8</f>
        <v>1</v>
      </c>
      <c r="M8">
        <v>3</v>
      </c>
      <c r="N8">
        <v>0</v>
      </c>
      <c r="O8">
        <v>1</v>
      </c>
      <c r="P8">
        <f>M8-N8-O8</f>
        <v>2</v>
      </c>
      <c r="Q8">
        <v>2</v>
      </c>
      <c r="R8">
        <v>4</v>
      </c>
      <c r="S8">
        <f t="shared" si="0"/>
        <v>-2</v>
      </c>
      <c r="U8" t="s">
        <v>445</v>
      </c>
      <c r="V8" t="s">
        <v>39</v>
      </c>
      <c r="W8" t="s">
        <v>447</v>
      </c>
      <c r="Y8" t="s">
        <v>447</v>
      </c>
      <c r="Z8" t="s">
        <v>27</v>
      </c>
      <c r="AA8" t="s">
        <v>445</v>
      </c>
    </row>
    <row r="9" spans="1:30" x14ac:dyDescent="0.3">
      <c r="A9" t="s">
        <v>13</v>
      </c>
      <c r="B9" t="s">
        <v>26</v>
      </c>
      <c r="C9" t="s">
        <v>18</v>
      </c>
      <c r="E9" t="s">
        <v>18</v>
      </c>
      <c r="F9" t="s">
        <v>29</v>
      </c>
      <c r="G9" t="s">
        <v>13</v>
      </c>
      <c r="U9" t="s">
        <v>448</v>
      </c>
      <c r="V9" t="s">
        <v>91</v>
      </c>
      <c r="W9" t="s">
        <v>440</v>
      </c>
      <c r="Y9" t="s">
        <v>440</v>
      </c>
      <c r="Z9" t="s">
        <v>26</v>
      </c>
      <c r="AA9" t="s">
        <v>448</v>
      </c>
    </row>
    <row r="10" spans="1:30" x14ac:dyDescent="0.3">
      <c r="A10" t="s">
        <v>14</v>
      </c>
      <c r="B10" t="s">
        <v>30</v>
      </c>
      <c r="C10" t="s">
        <v>19</v>
      </c>
      <c r="E10" t="s">
        <v>19</v>
      </c>
      <c r="F10" t="s">
        <v>28</v>
      </c>
      <c r="G10" t="s">
        <v>14</v>
      </c>
      <c r="J10" t="s">
        <v>145</v>
      </c>
    </row>
    <row r="11" spans="1:30" x14ac:dyDescent="0.3">
      <c r="A11" t="s">
        <v>15</v>
      </c>
      <c r="B11" t="s">
        <v>30</v>
      </c>
      <c r="C11" t="s">
        <v>20</v>
      </c>
      <c r="E11" t="s">
        <v>20</v>
      </c>
      <c r="F11" t="s">
        <v>31</v>
      </c>
      <c r="G11" t="s">
        <v>15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136</v>
      </c>
      <c r="Q11" t="s">
        <v>137</v>
      </c>
      <c r="R11" t="s">
        <v>138</v>
      </c>
      <c r="S11" t="s">
        <v>139</v>
      </c>
      <c r="U11" t="s">
        <v>45</v>
      </c>
    </row>
    <row r="12" spans="1:30" x14ac:dyDescent="0.3">
      <c r="A12" t="s">
        <v>16</v>
      </c>
      <c r="B12" t="s">
        <v>28</v>
      </c>
      <c r="C12" t="s">
        <v>21</v>
      </c>
      <c r="E12" t="s">
        <v>21</v>
      </c>
      <c r="F12" t="s">
        <v>30</v>
      </c>
      <c r="G12" t="s">
        <v>16</v>
      </c>
      <c r="J12" s="1" t="s">
        <v>140</v>
      </c>
      <c r="K12" t="s">
        <v>451</v>
      </c>
      <c r="L12" s="2">
        <f>N12*3+O12</f>
        <v>6</v>
      </c>
      <c r="M12">
        <v>3</v>
      </c>
      <c r="N12">
        <v>2</v>
      </c>
      <c r="O12">
        <v>0</v>
      </c>
      <c r="P12">
        <f>M12-N12-O12</f>
        <v>1</v>
      </c>
      <c r="Q12">
        <v>4</v>
      </c>
      <c r="R12">
        <v>2</v>
      </c>
      <c r="S12">
        <f>Q12-R12</f>
        <v>2</v>
      </c>
      <c r="U12" t="s">
        <v>447</v>
      </c>
      <c r="V12" t="s">
        <v>31</v>
      </c>
      <c r="W12" t="s">
        <v>448</v>
      </c>
      <c r="Y12" t="s">
        <v>448</v>
      </c>
      <c r="Z12" t="s">
        <v>28</v>
      </c>
      <c r="AA12" t="s">
        <v>447</v>
      </c>
    </row>
    <row r="13" spans="1:30" x14ac:dyDescent="0.3">
      <c r="J13" s="3" t="s">
        <v>141</v>
      </c>
      <c r="K13" t="s">
        <v>447</v>
      </c>
      <c r="L13" s="2">
        <f>N13*3+O13</f>
        <v>6</v>
      </c>
      <c r="M13">
        <v>3</v>
      </c>
      <c r="N13">
        <v>2</v>
      </c>
      <c r="O13">
        <v>0</v>
      </c>
      <c r="P13">
        <f>M13-N13-O13</f>
        <v>1</v>
      </c>
      <c r="Q13">
        <v>4</v>
      </c>
      <c r="R13">
        <v>2</v>
      </c>
      <c r="S13">
        <f>Q13-R13</f>
        <v>2</v>
      </c>
    </row>
    <row r="14" spans="1:30" x14ac:dyDescent="0.3">
      <c r="A14" t="s">
        <v>22</v>
      </c>
      <c r="J14" s="8" t="s">
        <v>142</v>
      </c>
      <c r="K14" t="s">
        <v>13</v>
      </c>
      <c r="L14" s="2">
        <f>N14*3+O14</f>
        <v>6</v>
      </c>
      <c r="M14">
        <v>3</v>
      </c>
      <c r="N14">
        <v>2</v>
      </c>
      <c r="O14">
        <v>0</v>
      </c>
      <c r="P14">
        <f>M14-N14-O14</f>
        <v>1</v>
      </c>
      <c r="Q14">
        <v>3</v>
      </c>
      <c r="R14">
        <v>1</v>
      </c>
      <c r="S14">
        <f>Q14-R14</f>
        <v>2</v>
      </c>
      <c r="U14" t="s">
        <v>453</v>
      </c>
    </row>
    <row r="15" spans="1:30" x14ac:dyDescent="0.3">
      <c r="A15" t="s">
        <v>2</v>
      </c>
      <c r="B15" t="s">
        <v>28</v>
      </c>
      <c r="C15" t="s">
        <v>33</v>
      </c>
      <c r="E15" t="s">
        <v>33</v>
      </c>
      <c r="F15" t="s">
        <v>39</v>
      </c>
      <c r="G15" t="s">
        <v>2</v>
      </c>
      <c r="J15" t="s">
        <v>144</v>
      </c>
      <c r="K15" t="s">
        <v>443</v>
      </c>
      <c r="L15" s="2">
        <f>N15*3+O15</f>
        <v>0</v>
      </c>
      <c r="M15">
        <v>3</v>
      </c>
      <c r="N15">
        <v>0</v>
      </c>
      <c r="O15">
        <v>0</v>
      </c>
      <c r="P15">
        <f>M15-N15-O15</f>
        <v>3</v>
      </c>
      <c r="Q15">
        <v>1</v>
      </c>
      <c r="R15">
        <v>7</v>
      </c>
      <c r="S15">
        <f>Q15-R15</f>
        <v>-6</v>
      </c>
      <c r="U15" t="s">
        <v>449</v>
      </c>
      <c r="V15" t="s">
        <v>68</v>
      </c>
      <c r="W15" t="s">
        <v>450</v>
      </c>
      <c r="Y15" t="s">
        <v>450</v>
      </c>
      <c r="Z15" t="s">
        <v>41</v>
      </c>
      <c r="AA15" t="s">
        <v>449</v>
      </c>
    </row>
    <row r="16" spans="1:30" x14ac:dyDescent="0.3">
      <c r="A16" t="s">
        <v>4</v>
      </c>
      <c r="B16" t="s">
        <v>30</v>
      </c>
      <c r="C16" t="s">
        <v>34</v>
      </c>
      <c r="E16" t="s">
        <v>34</v>
      </c>
      <c r="F16" t="s">
        <v>27</v>
      </c>
      <c r="G16" t="s">
        <v>4</v>
      </c>
      <c r="U16" t="s">
        <v>451</v>
      </c>
      <c r="V16" t="s">
        <v>91</v>
      </c>
      <c r="W16" t="s">
        <v>444</v>
      </c>
      <c r="Y16" t="s">
        <v>444</v>
      </c>
      <c r="Z16" t="s">
        <v>26</v>
      </c>
      <c r="AA16" t="s">
        <v>451</v>
      </c>
    </row>
    <row r="17" spans="1:19" x14ac:dyDescent="0.3">
      <c r="A17" t="s">
        <v>7</v>
      </c>
      <c r="B17" t="s">
        <v>40</v>
      </c>
      <c r="C17" t="s">
        <v>9</v>
      </c>
      <c r="E17" t="s">
        <v>9</v>
      </c>
      <c r="F17" t="s">
        <v>31</v>
      </c>
      <c r="G17" t="s">
        <v>7</v>
      </c>
      <c r="J17" t="s">
        <v>146</v>
      </c>
    </row>
    <row r="18" spans="1:19" x14ac:dyDescent="0.3">
      <c r="A18" t="s">
        <v>10</v>
      </c>
      <c r="B18" t="s">
        <v>23</v>
      </c>
      <c r="C18" t="s">
        <v>35</v>
      </c>
      <c r="E18" t="s">
        <v>35</v>
      </c>
      <c r="F18" t="s">
        <v>31</v>
      </c>
      <c r="G18" t="s">
        <v>10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135</v>
      </c>
      <c r="P18" t="s">
        <v>136</v>
      </c>
      <c r="Q18" t="s">
        <v>137</v>
      </c>
      <c r="R18" t="s">
        <v>138</v>
      </c>
      <c r="S18" t="s">
        <v>139</v>
      </c>
    </row>
    <row r="19" spans="1:19" x14ac:dyDescent="0.3">
      <c r="A19" t="s">
        <v>17</v>
      </c>
      <c r="B19" t="s">
        <v>31</v>
      </c>
      <c r="C19" t="s">
        <v>36</v>
      </c>
      <c r="E19" t="s">
        <v>36</v>
      </c>
      <c r="F19" t="s">
        <v>26</v>
      </c>
      <c r="G19" t="s">
        <v>17</v>
      </c>
      <c r="J19" s="1" t="s">
        <v>140</v>
      </c>
      <c r="K19" t="s">
        <v>444</v>
      </c>
      <c r="L19" s="2">
        <f>N19*3+O19</f>
        <v>7</v>
      </c>
      <c r="M19">
        <v>3</v>
      </c>
      <c r="N19">
        <v>2</v>
      </c>
      <c r="O19">
        <v>1</v>
      </c>
      <c r="P19">
        <f>M19-N19-O19</f>
        <v>0</v>
      </c>
      <c r="Q19">
        <v>5</v>
      </c>
      <c r="R19">
        <v>1</v>
      </c>
      <c r="S19">
        <f>Q19-R19</f>
        <v>4</v>
      </c>
    </row>
    <row r="20" spans="1:19" x14ac:dyDescent="0.3">
      <c r="A20" t="s">
        <v>18</v>
      </c>
      <c r="B20" t="s">
        <v>25</v>
      </c>
      <c r="C20" t="s">
        <v>16</v>
      </c>
      <c r="E20" t="s">
        <v>16</v>
      </c>
      <c r="F20" t="s">
        <v>27</v>
      </c>
      <c r="G20" t="s">
        <v>18</v>
      </c>
      <c r="J20" s="3" t="s">
        <v>141</v>
      </c>
      <c r="K20" t="s">
        <v>448</v>
      </c>
      <c r="L20" s="2">
        <f>N20*3+O20</f>
        <v>6</v>
      </c>
      <c r="M20">
        <v>3</v>
      </c>
      <c r="N20">
        <v>2</v>
      </c>
      <c r="O20">
        <v>0</v>
      </c>
      <c r="P20">
        <f>M20-N20-O20</f>
        <v>1</v>
      </c>
      <c r="Q20">
        <v>2</v>
      </c>
      <c r="R20">
        <v>2</v>
      </c>
      <c r="S20">
        <f>Q20-R20</f>
        <v>0</v>
      </c>
    </row>
    <row r="21" spans="1:19" x14ac:dyDescent="0.3">
      <c r="A21" t="s">
        <v>19</v>
      </c>
      <c r="B21" t="s">
        <v>28</v>
      </c>
      <c r="C21" t="s">
        <v>37</v>
      </c>
      <c r="E21" t="s">
        <v>37</v>
      </c>
      <c r="F21" t="s">
        <v>41</v>
      </c>
      <c r="G21" t="s">
        <v>19</v>
      </c>
      <c r="J21" s="8" t="s">
        <v>142</v>
      </c>
      <c r="K21" t="s">
        <v>177</v>
      </c>
      <c r="L21" s="2">
        <f>N21*3+O21</f>
        <v>3</v>
      </c>
      <c r="M21">
        <v>3</v>
      </c>
      <c r="N21">
        <v>1</v>
      </c>
      <c r="O21">
        <v>0</v>
      </c>
      <c r="P21">
        <f>M21-N21-O21</f>
        <v>2</v>
      </c>
      <c r="Q21">
        <v>4</v>
      </c>
      <c r="R21">
        <v>4</v>
      </c>
      <c r="S21">
        <f>Q21-R21</f>
        <v>0</v>
      </c>
    </row>
    <row r="22" spans="1:19" x14ac:dyDescent="0.3">
      <c r="J22" t="s">
        <v>144</v>
      </c>
      <c r="K22" t="s">
        <v>441</v>
      </c>
      <c r="L22" s="2">
        <f>N22*3+O22</f>
        <v>1</v>
      </c>
      <c r="M22">
        <v>3</v>
      </c>
      <c r="N22">
        <v>0</v>
      </c>
      <c r="O22">
        <v>1</v>
      </c>
      <c r="P22">
        <f>M22-N22-O22</f>
        <v>2</v>
      </c>
      <c r="Q22">
        <v>2</v>
      </c>
      <c r="R22">
        <v>6</v>
      </c>
      <c r="S22">
        <f>Q22-R22</f>
        <v>-4</v>
      </c>
    </row>
    <row r="23" spans="1:19" x14ac:dyDescent="0.3">
      <c r="A23" t="s">
        <v>38</v>
      </c>
    </row>
    <row r="24" spans="1:19" x14ac:dyDescent="0.3">
      <c r="A24" t="s">
        <v>34</v>
      </c>
      <c r="B24" t="s">
        <v>43</v>
      </c>
      <c r="C24" t="s">
        <v>2</v>
      </c>
      <c r="E24" t="s">
        <v>2</v>
      </c>
      <c r="F24" t="s">
        <v>30</v>
      </c>
      <c r="G24" t="s">
        <v>34</v>
      </c>
      <c r="J24" t="s">
        <v>147</v>
      </c>
    </row>
    <row r="25" spans="1:19" x14ac:dyDescent="0.3">
      <c r="A25" t="s">
        <v>35</v>
      </c>
      <c r="B25" t="s">
        <v>41</v>
      </c>
      <c r="C25" t="s">
        <v>9</v>
      </c>
      <c r="E25" t="s">
        <v>9</v>
      </c>
      <c r="F25" t="s">
        <v>44</v>
      </c>
      <c r="G25" t="s">
        <v>35</v>
      </c>
      <c r="J25" t="s">
        <v>130</v>
      </c>
      <c r="K25" t="s">
        <v>131</v>
      </c>
      <c r="L25" t="s">
        <v>132</v>
      </c>
      <c r="M25" t="s">
        <v>133</v>
      </c>
      <c r="N25" t="s">
        <v>134</v>
      </c>
      <c r="O25" t="s">
        <v>135</v>
      </c>
      <c r="P25" t="s">
        <v>136</v>
      </c>
      <c r="Q25" t="s">
        <v>137</v>
      </c>
      <c r="R25" t="s">
        <v>138</v>
      </c>
      <c r="S25" t="s">
        <v>139</v>
      </c>
    </row>
    <row r="26" spans="1:19" x14ac:dyDescent="0.3">
      <c r="A26" t="s">
        <v>16</v>
      </c>
      <c r="B26" t="s">
        <v>27</v>
      </c>
      <c r="C26" t="s">
        <v>17</v>
      </c>
      <c r="E26" t="s">
        <v>17</v>
      </c>
      <c r="F26" t="s">
        <v>25</v>
      </c>
      <c r="G26" t="s">
        <v>16</v>
      </c>
      <c r="J26" s="1" t="s">
        <v>140</v>
      </c>
      <c r="K26" t="s">
        <v>449</v>
      </c>
      <c r="L26" s="2">
        <f>N26*3+O26</f>
        <v>5</v>
      </c>
      <c r="M26">
        <v>3</v>
      </c>
      <c r="N26">
        <v>1</v>
      </c>
      <c r="O26">
        <v>2</v>
      </c>
      <c r="P26">
        <f>M26-N26-O26</f>
        <v>0</v>
      </c>
      <c r="Q26">
        <v>5</v>
      </c>
      <c r="R26">
        <v>4</v>
      </c>
      <c r="S26">
        <f>Q26-R26</f>
        <v>1</v>
      </c>
    </row>
    <row r="27" spans="1:19" x14ac:dyDescent="0.3">
      <c r="A27" t="s">
        <v>20</v>
      </c>
      <c r="B27" t="s">
        <v>41</v>
      </c>
      <c r="C27" t="s">
        <v>19</v>
      </c>
      <c r="E27" t="s">
        <v>19</v>
      </c>
      <c r="F27" t="s">
        <v>25</v>
      </c>
      <c r="G27" t="s">
        <v>20</v>
      </c>
      <c r="J27" s="3" t="s">
        <v>141</v>
      </c>
      <c r="K27" t="s">
        <v>445</v>
      </c>
      <c r="L27" s="2">
        <f t="shared" ref="L27:L29" si="1">N27*3+O27</f>
        <v>4</v>
      </c>
      <c r="M27">
        <v>3</v>
      </c>
      <c r="N27">
        <v>1</v>
      </c>
      <c r="O27">
        <v>1</v>
      </c>
      <c r="P27">
        <f t="shared" ref="P27:P29" si="2">M27-N27-O27</f>
        <v>1</v>
      </c>
      <c r="Q27">
        <v>4</v>
      </c>
      <c r="R27">
        <v>4</v>
      </c>
      <c r="S27">
        <f t="shared" ref="S27:S29" si="3">Q27-R27</f>
        <v>0</v>
      </c>
    </row>
    <row r="28" spans="1:19" x14ac:dyDescent="0.3">
      <c r="J28" s="8" t="s">
        <v>142</v>
      </c>
      <c r="K28" t="s">
        <v>35</v>
      </c>
      <c r="L28" s="2">
        <f>N28*3+O28</f>
        <v>4</v>
      </c>
      <c r="M28">
        <v>3</v>
      </c>
      <c r="N28">
        <v>1</v>
      </c>
      <c r="O28">
        <v>1</v>
      </c>
      <c r="P28">
        <f>M28-N28-O28</f>
        <v>1</v>
      </c>
      <c r="Q28">
        <v>1</v>
      </c>
      <c r="R28">
        <v>1</v>
      </c>
      <c r="S28">
        <f>Q28-R28</f>
        <v>0</v>
      </c>
    </row>
    <row r="29" spans="1:19" x14ac:dyDescent="0.3">
      <c r="A29" t="s">
        <v>42</v>
      </c>
      <c r="J29" t="s">
        <v>144</v>
      </c>
      <c r="K29" t="s">
        <v>452</v>
      </c>
      <c r="L29" s="2">
        <f t="shared" si="1"/>
        <v>3</v>
      </c>
      <c r="M29">
        <v>3</v>
      </c>
      <c r="N29">
        <v>1</v>
      </c>
      <c r="O29">
        <v>0</v>
      </c>
      <c r="P29">
        <f t="shared" si="2"/>
        <v>2</v>
      </c>
      <c r="Q29">
        <v>2</v>
      </c>
      <c r="R29">
        <v>3</v>
      </c>
      <c r="S29">
        <f t="shared" si="3"/>
        <v>-1</v>
      </c>
    </row>
    <row r="30" spans="1:19" x14ac:dyDescent="0.3">
      <c r="A30" t="s">
        <v>35</v>
      </c>
      <c r="B30" t="s">
        <v>46</v>
      </c>
      <c r="C30" t="s">
        <v>34</v>
      </c>
      <c r="E30" t="s">
        <v>34</v>
      </c>
      <c r="F30" t="s">
        <v>25</v>
      </c>
      <c r="G30" t="s">
        <v>35</v>
      </c>
    </row>
    <row r="31" spans="1:19" x14ac:dyDescent="0.3">
      <c r="A31" t="s">
        <v>20</v>
      </c>
      <c r="B31" t="s">
        <v>31</v>
      </c>
      <c r="C31" t="s">
        <v>16</v>
      </c>
      <c r="E31" t="s">
        <v>16</v>
      </c>
      <c r="F31" t="s">
        <v>47</v>
      </c>
      <c r="G31" t="s">
        <v>20</v>
      </c>
    </row>
    <row r="33" spans="1:3" x14ac:dyDescent="0.3">
      <c r="A33" t="s">
        <v>45</v>
      </c>
    </row>
    <row r="34" spans="1:3" x14ac:dyDescent="0.3">
      <c r="A34" t="s">
        <v>34</v>
      </c>
      <c r="B34" t="s">
        <v>28</v>
      </c>
      <c r="C34" t="s">
        <v>20</v>
      </c>
    </row>
  </sheetData>
  <sortState xmlns:xlrd2="http://schemas.microsoft.com/office/spreadsheetml/2017/richdata2" ref="K5:R8">
    <sortCondition descending="1" ref="L5:L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848D-41D4-45E5-9425-B8B15A80CFEA}">
  <dimension ref="A1:BL102"/>
  <sheetViews>
    <sheetView topLeftCell="AF1" zoomScaleNormal="100" workbookViewId="0">
      <selection activeCell="AD53" sqref="AD53"/>
    </sheetView>
  </sheetViews>
  <sheetFormatPr defaultRowHeight="14.4" x14ac:dyDescent="0.3"/>
  <sheetData>
    <row r="1" spans="1:64" x14ac:dyDescent="0.3">
      <c r="A1" t="s">
        <v>48</v>
      </c>
      <c r="I1" t="s">
        <v>53</v>
      </c>
      <c r="R1" t="s">
        <v>128</v>
      </c>
      <c r="AC1" t="s">
        <v>22</v>
      </c>
      <c r="AL1" t="s">
        <v>231</v>
      </c>
      <c r="AQ1" t="s">
        <v>128</v>
      </c>
      <c r="BB1" t="s">
        <v>305</v>
      </c>
      <c r="BK1" t="s">
        <v>393</v>
      </c>
    </row>
    <row r="2" spans="1:64" x14ac:dyDescent="0.3">
      <c r="A2" t="s">
        <v>49</v>
      </c>
      <c r="B2" t="s">
        <v>28</v>
      </c>
      <c r="C2" t="s">
        <v>50</v>
      </c>
      <c r="E2" t="s">
        <v>50</v>
      </c>
      <c r="F2" t="s">
        <v>31</v>
      </c>
      <c r="G2" t="s">
        <v>49</v>
      </c>
      <c r="I2" t="s">
        <v>54</v>
      </c>
      <c r="R2" t="s">
        <v>129</v>
      </c>
      <c r="AC2" t="s">
        <v>173</v>
      </c>
      <c r="AD2" t="s">
        <v>26</v>
      </c>
      <c r="AE2" t="s">
        <v>152</v>
      </c>
      <c r="AG2" t="s">
        <v>152</v>
      </c>
      <c r="AH2" t="s">
        <v>204</v>
      </c>
      <c r="AI2" t="s">
        <v>173</v>
      </c>
      <c r="AL2" t="s">
        <v>54</v>
      </c>
      <c r="AQ2" t="s">
        <v>129</v>
      </c>
      <c r="BB2" t="s">
        <v>49</v>
      </c>
      <c r="BC2" t="s">
        <v>27</v>
      </c>
      <c r="BD2" t="s">
        <v>303</v>
      </c>
      <c r="BF2" t="s">
        <v>303</v>
      </c>
      <c r="BG2" t="s">
        <v>30</v>
      </c>
      <c r="BH2" t="s">
        <v>49</v>
      </c>
      <c r="BK2" t="s">
        <v>49</v>
      </c>
      <c r="BL2">
        <v>1</v>
      </c>
    </row>
    <row r="3" spans="1:64" x14ac:dyDescent="0.3">
      <c r="A3" t="s">
        <v>51</v>
      </c>
      <c r="E3" t="s">
        <v>52</v>
      </c>
      <c r="I3" t="s">
        <v>55</v>
      </c>
      <c r="J3" t="s">
        <v>27</v>
      </c>
      <c r="K3" t="s">
        <v>58</v>
      </c>
      <c r="M3" t="s">
        <v>58</v>
      </c>
      <c r="N3" t="s">
        <v>64</v>
      </c>
      <c r="O3" t="s">
        <v>55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E3" t="s">
        <v>178</v>
      </c>
      <c r="AG3" t="s">
        <v>193</v>
      </c>
      <c r="AI3" t="s">
        <v>194</v>
      </c>
      <c r="AL3" t="s">
        <v>232</v>
      </c>
      <c r="AM3" t="s">
        <v>264</v>
      </c>
      <c r="AN3" t="s">
        <v>233</v>
      </c>
      <c r="AQ3" t="s">
        <v>130</v>
      </c>
      <c r="AR3" t="s">
        <v>131</v>
      </c>
      <c r="AS3" t="s">
        <v>132</v>
      </c>
      <c r="AT3" t="s">
        <v>133</v>
      </c>
      <c r="AU3" t="s">
        <v>134</v>
      </c>
      <c r="AV3" t="s">
        <v>135</v>
      </c>
      <c r="AW3" t="s">
        <v>136</v>
      </c>
      <c r="AX3" t="s">
        <v>137</v>
      </c>
      <c r="AY3" t="s">
        <v>138</v>
      </c>
      <c r="AZ3" t="s">
        <v>139</v>
      </c>
      <c r="BB3" t="s">
        <v>306</v>
      </c>
      <c r="BD3" t="s">
        <v>307</v>
      </c>
      <c r="BF3" t="s">
        <v>308</v>
      </c>
      <c r="BH3" t="s">
        <v>309</v>
      </c>
      <c r="BK3" t="s">
        <v>170</v>
      </c>
      <c r="BL3">
        <v>1</v>
      </c>
    </row>
    <row r="4" spans="1:64" x14ac:dyDescent="0.3">
      <c r="A4" t="s">
        <v>378</v>
      </c>
      <c r="I4" t="s">
        <v>62</v>
      </c>
      <c r="K4" t="s">
        <v>63</v>
      </c>
      <c r="R4" s="1" t="s">
        <v>140</v>
      </c>
      <c r="S4" t="s">
        <v>152</v>
      </c>
      <c r="T4" s="2">
        <v>11</v>
      </c>
      <c r="U4">
        <v>6</v>
      </c>
      <c r="V4">
        <v>3</v>
      </c>
      <c r="W4">
        <v>2</v>
      </c>
      <c r="X4">
        <f t="shared" ref="X4:X7" si="0">U4-V4-W4</f>
        <v>1</v>
      </c>
      <c r="Y4">
        <v>8</v>
      </c>
      <c r="Z4">
        <v>5</v>
      </c>
      <c r="AA4">
        <f t="shared" ref="AA4:AA7" si="1">Y4-Z4</f>
        <v>3</v>
      </c>
      <c r="AL4" t="s">
        <v>265</v>
      </c>
      <c r="AN4" t="s">
        <v>266</v>
      </c>
      <c r="AQ4" s="1" t="s">
        <v>140</v>
      </c>
      <c r="AR4" t="s">
        <v>293</v>
      </c>
      <c r="AS4" s="2">
        <v>13</v>
      </c>
      <c r="AT4">
        <v>6</v>
      </c>
      <c r="AU4">
        <v>4</v>
      </c>
      <c r="AV4">
        <v>1</v>
      </c>
      <c r="AW4">
        <f t="shared" ref="AW4:AW7" si="2">AT4-AU4-AV4</f>
        <v>1</v>
      </c>
      <c r="AX4">
        <v>13</v>
      </c>
      <c r="AY4">
        <v>6</v>
      </c>
      <c r="AZ4">
        <f t="shared" ref="AZ4:AZ7" si="3">AX4-AY4</f>
        <v>7</v>
      </c>
      <c r="BH4" t="s">
        <v>310</v>
      </c>
      <c r="BK4" t="s">
        <v>260</v>
      </c>
      <c r="BL4">
        <v>1</v>
      </c>
    </row>
    <row r="5" spans="1:64" x14ac:dyDescent="0.3">
      <c r="R5" s="3" t="s">
        <v>141</v>
      </c>
      <c r="S5" t="s">
        <v>153</v>
      </c>
      <c r="T5" s="2">
        <v>10</v>
      </c>
      <c r="U5">
        <v>6</v>
      </c>
      <c r="V5">
        <v>3</v>
      </c>
      <c r="W5">
        <v>1</v>
      </c>
      <c r="X5">
        <f t="shared" si="0"/>
        <v>2</v>
      </c>
      <c r="Y5">
        <v>4</v>
      </c>
      <c r="Z5">
        <v>5</v>
      </c>
      <c r="AA5">
        <f t="shared" si="1"/>
        <v>-1</v>
      </c>
      <c r="AC5" t="s">
        <v>156</v>
      </c>
      <c r="AD5" t="s">
        <v>91</v>
      </c>
      <c r="AE5" t="s">
        <v>59</v>
      </c>
      <c r="AG5" t="s">
        <v>59</v>
      </c>
      <c r="AH5" t="s">
        <v>28</v>
      </c>
      <c r="AI5" t="s">
        <v>156</v>
      </c>
      <c r="AQ5" s="4" t="s">
        <v>141</v>
      </c>
      <c r="AR5" t="s">
        <v>250</v>
      </c>
      <c r="AS5" s="2">
        <v>8</v>
      </c>
      <c r="AT5">
        <v>6</v>
      </c>
      <c r="AU5">
        <v>2</v>
      </c>
      <c r="AV5">
        <v>2</v>
      </c>
      <c r="AW5">
        <f t="shared" si="2"/>
        <v>2</v>
      </c>
      <c r="AX5">
        <v>6</v>
      </c>
      <c r="AY5">
        <v>6</v>
      </c>
      <c r="AZ5">
        <f t="shared" si="3"/>
        <v>0</v>
      </c>
    </row>
    <row r="6" spans="1:64" x14ac:dyDescent="0.3">
      <c r="I6" t="s">
        <v>56</v>
      </c>
      <c r="J6" t="s">
        <v>25</v>
      </c>
      <c r="K6" t="s">
        <v>59</v>
      </c>
      <c r="M6" t="s">
        <v>59</v>
      </c>
      <c r="N6" t="s">
        <v>68</v>
      </c>
      <c r="O6" t="s">
        <v>56</v>
      </c>
      <c r="R6" s="5" t="s">
        <v>142</v>
      </c>
      <c r="S6" t="s">
        <v>154</v>
      </c>
      <c r="T6" s="2">
        <v>8</v>
      </c>
      <c r="U6">
        <v>6</v>
      </c>
      <c r="V6">
        <v>2</v>
      </c>
      <c r="W6">
        <v>2</v>
      </c>
      <c r="X6">
        <f t="shared" si="0"/>
        <v>2</v>
      </c>
      <c r="Y6">
        <v>7</v>
      </c>
      <c r="Z6">
        <v>6</v>
      </c>
      <c r="AA6">
        <f t="shared" si="1"/>
        <v>1</v>
      </c>
      <c r="AC6" t="s">
        <v>179</v>
      </c>
      <c r="AG6" t="s">
        <v>70</v>
      </c>
      <c r="AL6" t="s">
        <v>234</v>
      </c>
      <c r="AM6" t="s">
        <v>267</v>
      </c>
      <c r="AN6" t="s">
        <v>235</v>
      </c>
      <c r="AQ6" s="8" t="s">
        <v>142</v>
      </c>
      <c r="AR6" t="s">
        <v>249</v>
      </c>
      <c r="AS6" s="2">
        <v>7</v>
      </c>
      <c r="AT6">
        <v>6</v>
      </c>
      <c r="AU6">
        <v>2</v>
      </c>
      <c r="AV6">
        <v>1</v>
      </c>
      <c r="AW6">
        <f t="shared" si="2"/>
        <v>3</v>
      </c>
      <c r="AX6">
        <v>5</v>
      </c>
      <c r="AY6">
        <v>10</v>
      </c>
      <c r="AZ6">
        <f t="shared" si="3"/>
        <v>-5</v>
      </c>
      <c r="BB6" t="s">
        <v>50</v>
      </c>
      <c r="BC6" t="s">
        <v>23</v>
      </c>
      <c r="BD6" t="s">
        <v>240</v>
      </c>
      <c r="BF6" t="s">
        <v>240</v>
      </c>
      <c r="BG6" t="s">
        <v>91</v>
      </c>
      <c r="BH6" t="s">
        <v>50</v>
      </c>
    </row>
    <row r="7" spans="1:64" x14ac:dyDescent="0.3">
      <c r="I7" t="s">
        <v>65</v>
      </c>
      <c r="K7" t="s">
        <v>66</v>
      </c>
      <c r="M7" t="s">
        <v>66</v>
      </c>
      <c r="O7" t="s">
        <v>71</v>
      </c>
      <c r="R7" t="s">
        <v>144</v>
      </c>
      <c r="S7" t="s">
        <v>82</v>
      </c>
      <c r="T7" s="2">
        <v>4</v>
      </c>
      <c r="U7">
        <v>6</v>
      </c>
      <c r="V7">
        <v>1</v>
      </c>
      <c r="W7">
        <v>1</v>
      </c>
      <c r="X7">
        <f t="shared" si="0"/>
        <v>4</v>
      </c>
      <c r="Y7">
        <v>4</v>
      </c>
      <c r="Z7">
        <v>7</v>
      </c>
      <c r="AA7">
        <f t="shared" si="1"/>
        <v>-3</v>
      </c>
      <c r="AC7" t="s">
        <v>180</v>
      </c>
      <c r="AG7" t="s">
        <v>87</v>
      </c>
      <c r="AQ7" t="s">
        <v>144</v>
      </c>
      <c r="AR7" t="s">
        <v>294</v>
      </c>
      <c r="AS7" s="2">
        <v>6</v>
      </c>
      <c r="AT7">
        <v>6</v>
      </c>
      <c r="AU7">
        <v>2</v>
      </c>
      <c r="AV7">
        <v>0</v>
      </c>
      <c r="AW7">
        <f t="shared" si="2"/>
        <v>4</v>
      </c>
      <c r="AX7">
        <v>5</v>
      </c>
      <c r="AY7">
        <v>7</v>
      </c>
      <c r="AZ7">
        <f t="shared" si="3"/>
        <v>-2</v>
      </c>
      <c r="BB7" t="s">
        <v>311</v>
      </c>
      <c r="BD7" t="s">
        <v>272</v>
      </c>
      <c r="BF7" t="s">
        <v>313</v>
      </c>
    </row>
    <row r="8" spans="1:64" x14ac:dyDescent="0.3">
      <c r="K8" t="s">
        <v>67</v>
      </c>
      <c r="M8" t="s">
        <v>69</v>
      </c>
      <c r="AL8" t="s">
        <v>236</v>
      </c>
      <c r="AM8" t="s">
        <v>43</v>
      </c>
      <c r="AN8" t="s">
        <v>237</v>
      </c>
      <c r="BB8" t="s">
        <v>312</v>
      </c>
      <c r="BF8" t="s">
        <v>314</v>
      </c>
    </row>
    <row r="9" spans="1:64" x14ac:dyDescent="0.3">
      <c r="M9" t="s">
        <v>70</v>
      </c>
      <c r="R9" t="s">
        <v>145</v>
      </c>
      <c r="AC9" t="s">
        <v>163</v>
      </c>
      <c r="AD9" t="s">
        <v>181</v>
      </c>
      <c r="AE9" t="s">
        <v>176</v>
      </c>
      <c r="AG9" t="s">
        <v>176</v>
      </c>
      <c r="AH9" t="s">
        <v>23</v>
      </c>
      <c r="AI9" t="s">
        <v>163</v>
      </c>
      <c r="AL9" t="s">
        <v>268</v>
      </c>
      <c r="AQ9" t="s">
        <v>145</v>
      </c>
      <c r="BF9" t="s">
        <v>272</v>
      </c>
    </row>
    <row r="10" spans="1:64" x14ac:dyDescent="0.3">
      <c r="R10" t="s">
        <v>130</v>
      </c>
      <c r="S10" t="s">
        <v>131</v>
      </c>
      <c r="T10" t="s">
        <v>132</v>
      </c>
      <c r="U10" t="s">
        <v>133</v>
      </c>
      <c r="V10" t="s">
        <v>134</v>
      </c>
      <c r="W10" t="s">
        <v>135</v>
      </c>
      <c r="X10" t="s">
        <v>136</v>
      </c>
      <c r="Y10" t="s">
        <v>137</v>
      </c>
      <c r="Z10" t="s">
        <v>138</v>
      </c>
      <c r="AA10" t="s">
        <v>139</v>
      </c>
      <c r="AC10" t="s">
        <v>182</v>
      </c>
      <c r="AE10" t="s">
        <v>184</v>
      </c>
      <c r="AG10" t="s">
        <v>195</v>
      </c>
      <c r="AI10" t="s">
        <v>196</v>
      </c>
      <c r="AL10" t="s">
        <v>269</v>
      </c>
      <c r="AQ10" t="s">
        <v>130</v>
      </c>
      <c r="AR10" t="s">
        <v>131</v>
      </c>
      <c r="AS10" t="s">
        <v>132</v>
      </c>
      <c r="AT10" t="s">
        <v>133</v>
      </c>
      <c r="AU10" t="s">
        <v>134</v>
      </c>
      <c r="AV10" t="s">
        <v>135</v>
      </c>
      <c r="AW10" t="s">
        <v>136</v>
      </c>
      <c r="AX10" t="s">
        <v>137</v>
      </c>
      <c r="AY10" t="s">
        <v>138</v>
      </c>
      <c r="AZ10" t="s">
        <v>139</v>
      </c>
    </row>
    <row r="11" spans="1:64" x14ac:dyDescent="0.3">
      <c r="I11" t="s">
        <v>57</v>
      </c>
      <c r="J11" t="s">
        <v>26</v>
      </c>
      <c r="K11" t="s">
        <v>60</v>
      </c>
      <c r="M11" t="s">
        <v>60</v>
      </c>
      <c r="N11" t="s">
        <v>27</v>
      </c>
      <c r="O11" t="s">
        <v>57</v>
      </c>
      <c r="R11" s="1" t="s">
        <v>140</v>
      </c>
      <c r="S11" t="s">
        <v>155</v>
      </c>
      <c r="T11" s="2">
        <v>13</v>
      </c>
      <c r="U11">
        <v>6</v>
      </c>
      <c r="V11">
        <v>4</v>
      </c>
      <c r="W11">
        <v>1</v>
      </c>
      <c r="X11">
        <f t="shared" ref="X11:X14" si="4">U11-V11-W11</f>
        <v>1</v>
      </c>
      <c r="Y11">
        <v>7</v>
      </c>
      <c r="Z11">
        <v>5</v>
      </c>
      <c r="AA11">
        <f t="shared" ref="AA11:AA14" si="5">Y11-Z11</f>
        <v>2</v>
      </c>
      <c r="AE11" t="s">
        <v>183</v>
      </c>
      <c r="AL11" t="s">
        <v>270</v>
      </c>
      <c r="AQ11" s="1" t="s">
        <v>140</v>
      </c>
      <c r="AR11" t="s">
        <v>295</v>
      </c>
      <c r="AS11" s="2">
        <v>10</v>
      </c>
      <c r="AT11">
        <v>6</v>
      </c>
      <c r="AU11">
        <v>3</v>
      </c>
      <c r="AV11">
        <v>1</v>
      </c>
      <c r="AW11">
        <f t="shared" ref="AW11:AW14" si="6">AT11-AU11-AV11</f>
        <v>2</v>
      </c>
      <c r="AX11">
        <v>8</v>
      </c>
      <c r="AY11">
        <v>4</v>
      </c>
      <c r="AZ11">
        <f t="shared" ref="AZ11:AZ14" si="7">AX11-AY11</f>
        <v>4</v>
      </c>
      <c r="BB11" t="s">
        <v>165</v>
      </c>
      <c r="BC11" t="s">
        <v>31</v>
      </c>
      <c r="BD11" t="s">
        <v>258</v>
      </c>
      <c r="BF11" t="s">
        <v>258</v>
      </c>
      <c r="BG11" t="s">
        <v>28</v>
      </c>
      <c r="BH11" t="s">
        <v>165</v>
      </c>
    </row>
    <row r="12" spans="1:64" x14ac:dyDescent="0.3">
      <c r="K12" t="s">
        <v>72</v>
      </c>
      <c r="M12" t="s">
        <v>72</v>
      </c>
      <c r="O12" t="s">
        <v>73</v>
      </c>
      <c r="R12" s="3" t="s">
        <v>141</v>
      </c>
      <c r="S12" t="s">
        <v>156</v>
      </c>
      <c r="T12" s="2">
        <v>11</v>
      </c>
      <c r="U12">
        <v>6</v>
      </c>
      <c r="V12">
        <v>3</v>
      </c>
      <c r="W12">
        <v>2</v>
      </c>
      <c r="X12">
        <f t="shared" si="4"/>
        <v>1</v>
      </c>
      <c r="Y12">
        <v>7</v>
      </c>
      <c r="Z12">
        <v>5</v>
      </c>
      <c r="AA12">
        <f t="shared" si="5"/>
        <v>2</v>
      </c>
      <c r="AE12" t="s">
        <v>185</v>
      </c>
      <c r="AQ12" s="4" t="s">
        <v>141</v>
      </c>
      <c r="AR12" t="s">
        <v>256</v>
      </c>
      <c r="AS12" s="2">
        <v>9</v>
      </c>
      <c r="AT12">
        <v>6</v>
      </c>
      <c r="AU12">
        <v>3</v>
      </c>
      <c r="AV12">
        <v>0</v>
      </c>
      <c r="AW12">
        <f t="shared" si="6"/>
        <v>3</v>
      </c>
      <c r="AX12">
        <v>5</v>
      </c>
      <c r="AY12">
        <v>7</v>
      </c>
      <c r="AZ12">
        <f t="shared" si="7"/>
        <v>-2</v>
      </c>
      <c r="BB12" t="s">
        <v>315</v>
      </c>
      <c r="BF12" t="s">
        <v>316</v>
      </c>
    </row>
    <row r="13" spans="1:64" x14ac:dyDescent="0.3">
      <c r="R13" s="5" t="s">
        <v>142</v>
      </c>
      <c r="S13" t="s">
        <v>81</v>
      </c>
      <c r="T13" s="2">
        <v>9</v>
      </c>
      <c r="U13">
        <v>6</v>
      </c>
      <c r="V13">
        <v>3</v>
      </c>
      <c r="W13">
        <v>0</v>
      </c>
      <c r="X13">
        <f t="shared" si="4"/>
        <v>3</v>
      </c>
      <c r="Y13">
        <v>7</v>
      </c>
      <c r="Z13">
        <v>5</v>
      </c>
      <c r="AA13">
        <f t="shared" si="5"/>
        <v>2</v>
      </c>
      <c r="AL13" t="s">
        <v>238</v>
      </c>
      <c r="AM13" t="s">
        <v>263</v>
      </c>
      <c r="AN13" t="s">
        <v>239</v>
      </c>
      <c r="AQ13" s="8" t="s">
        <v>142</v>
      </c>
      <c r="AR13" t="s">
        <v>84</v>
      </c>
      <c r="AS13" s="2">
        <v>8</v>
      </c>
      <c r="AT13">
        <v>6</v>
      </c>
      <c r="AU13">
        <v>2</v>
      </c>
      <c r="AV13">
        <v>2</v>
      </c>
      <c r="AW13">
        <f t="shared" si="6"/>
        <v>2</v>
      </c>
      <c r="AX13">
        <v>10</v>
      </c>
      <c r="AY13">
        <v>10</v>
      </c>
      <c r="AZ13">
        <f t="shared" si="7"/>
        <v>0</v>
      </c>
      <c r="BF13" t="s">
        <v>317</v>
      </c>
    </row>
    <row r="14" spans="1:64" x14ac:dyDescent="0.3">
      <c r="I14" t="s">
        <v>61</v>
      </c>
      <c r="R14" t="s">
        <v>144</v>
      </c>
      <c r="S14" t="s">
        <v>157</v>
      </c>
      <c r="T14" s="2">
        <v>1</v>
      </c>
      <c r="U14">
        <v>6</v>
      </c>
      <c r="V14">
        <v>0</v>
      </c>
      <c r="W14">
        <v>1</v>
      </c>
      <c r="X14">
        <f t="shared" si="4"/>
        <v>5</v>
      </c>
      <c r="Y14">
        <v>1</v>
      </c>
      <c r="Z14">
        <v>7</v>
      </c>
      <c r="AA14">
        <f t="shared" si="5"/>
        <v>-6</v>
      </c>
      <c r="AC14" t="s">
        <v>159</v>
      </c>
      <c r="AD14" t="s">
        <v>26</v>
      </c>
      <c r="AE14" t="s">
        <v>155</v>
      </c>
      <c r="AG14" t="s">
        <v>155</v>
      </c>
      <c r="AH14" t="s">
        <v>205</v>
      </c>
      <c r="AI14" t="s">
        <v>159</v>
      </c>
      <c r="AQ14" t="s">
        <v>144</v>
      </c>
      <c r="AR14" t="s">
        <v>296</v>
      </c>
      <c r="AS14" s="2">
        <v>7</v>
      </c>
      <c r="AT14">
        <v>6</v>
      </c>
      <c r="AU14">
        <v>2</v>
      </c>
      <c r="AV14">
        <v>1</v>
      </c>
      <c r="AW14">
        <f t="shared" si="6"/>
        <v>3</v>
      </c>
      <c r="AX14">
        <v>8</v>
      </c>
      <c r="AY14">
        <v>10</v>
      </c>
      <c r="AZ14">
        <f t="shared" si="7"/>
        <v>-2</v>
      </c>
    </row>
    <row r="15" spans="1:64" x14ac:dyDescent="0.3">
      <c r="I15" t="s">
        <v>59</v>
      </c>
      <c r="J15" t="s">
        <v>27</v>
      </c>
      <c r="K15" t="s">
        <v>79</v>
      </c>
      <c r="M15" t="s">
        <v>79</v>
      </c>
      <c r="N15" t="s">
        <v>46</v>
      </c>
      <c r="O15" t="s">
        <v>59</v>
      </c>
      <c r="AE15" t="s">
        <v>186</v>
      </c>
      <c r="AI15" t="s">
        <v>197</v>
      </c>
      <c r="AL15" t="s">
        <v>240</v>
      </c>
      <c r="AM15" t="s">
        <v>23</v>
      </c>
      <c r="AN15" t="s">
        <v>241</v>
      </c>
      <c r="BB15" t="s">
        <v>174</v>
      </c>
      <c r="BC15" t="s">
        <v>26</v>
      </c>
      <c r="BD15" t="s">
        <v>256</v>
      </c>
      <c r="BF15" t="s">
        <v>256</v>
      </c>
      <c r="BG15" t="s">
        <v>320</v>
      </c>
      <c r="BH15" t="s">
        <v>174</v>
      </c>
    </row>
    <row r="16" spans="1:64" x14ac:dyDescent="0.3">
      <c r="I16" t="s">
        <v>87</v>
      </c>
      <c r="K16" t="s">
        <v>88</v>
      </c>
      <c r="O16" t="s">
        <v>89</v>
      </c>
      <c r="R16" t="s">
        <v>146</v>
      </c>
      <c r="AL16" t="s">
        <v>271</v>
      </c>
      <c r="AN16" t="s">
        <v>273</v>
      </c>
      <c r="AQ16" t="s">
        <v>146</v>
      </c>
      <c r="BD16" t="s">
        <v>318</v>
      </c>
      <c r="BH16" t="s">
        <v>319</v>
      </c>
    </row>
    <row r="17" spans="9:60" x14ac:dyDescent="0.3">
      <c r="O17" t="s">
        <v>87</v>
      </c>
      <c r="R17" t="s">
        <v>130</v>
      </c>
      <c r="S17" t="s">
        <v>131</v>
      </c>
      <c r="T17" t="s">
        <v>132</v>
      </c>
      <c r="U17" t="s">
        <v>133</v>
      </c>
      <c r="V17" t="s">
        <v>134</v>
      </c>
      <c r="W17" t="s">
        <v>135</v>
      </c>
      <c r="X17" t="s">
        <v>136</v>
      </c>
      <c r="Y17" t="s">
        <v>137</v>
      </c>
      <c r="Z17" t="s">
        <v>138</v>
      </c>
      <c r="AA17" t="s">
        <v>139</v>
      </c>
      <c r="AC17" t="s">
        <v>170</v>
      </c>
      <c r="AD17" t="s">
        <v>30</v>
      </c>
      <c r="AE17" t="s">
        <v>172</v>
      </c>
      <c r="AG17" t="s">
        <v>172</v>
      </c>
      <c r="AH17" t="s">
        <v>47</v>
      </c>
      <c r="AI17" t="s">
        <v>170</v>
      </c>
      <c r="AL17" t="s">
        <v>272</v>
      </c>
      <c r="AQ17" t="s">
        <v>130</v>
      </c>
      <c r="AR17" t="s">
        <v>131</v>
      </c>
      <c r="AS17" t="s">
        <v>132</v>
      </c>
      <c r="AT17" t="s">
        <v>133</v>
      </c>
      <c r="AU17" t="s">
        <v>134</v>
      </c>
      <c r="AV17" t="s">
        <v>135</v>
      </c>
      <c r="AW17" t="s">
        <v>136</v>
      </c>
      <c r="AX17" t="s">
        <v>137</v>
      </c>
      <c r="AY17" t="s">
        <v>138</v>
      </c>
      <c r="AZ17" t="s">
        <v>139</v>
      </c>
    </row>
    <row r="18" spans="9:60" x14ac:dyDescent="0.3">
      <c r="O18" t="s">
        <v>70</v>
      </c>
      <c r="R18" s="1" t="s">
        <v>140</v>
      </c>
      <c r="S18" t="s">
        <v>158</v>
      </c>
      <c r="T18" s="2">
        <v>10</v>
      </c>
      <c r="U18">
        <v>6</v>
      </c>
      <c r="V18">
        <v>3</v>
      </c>
      <c r="W18">
        <v>1</v>
      </c>
      <c r="X18">
        <f t="shared" ref="X18:X21" si="8">U18-V18-W18</f>
        <v>2</v>
      </c>
      <c r="Y18">
        <v>10</v>
      </c>
      <c r="Z18">
        <v>6</v>
      </c>
      <c r="AA18">
        <f t="shared" ref="AA18:AA21" si="9">Y18-Z18</f>
        <v>4</v>
      </c>
      <c r="AC18" t="s">
        <v>187</v>
      </c>
      <c r="AE18" t="s">
        <v>188</v>
      </c>
      <c r="AG18" t="s">
        <v>189</v>
      </c>
      <c r="AI18" t="s">
        <v>198</v>
      </c>
      <c r="AQ18" s="1" t="s">
        <v>140</v>
      </c>
      <c r="AR18" t="s">
        <v>239</v>
      </c>
      <c r="AS18" s="2">
        <v>11</v>
      </c>
      <c r="AT18">
        <v>6</v>
      </c>
      <c r="AU18">
        <v>3</v>
      </c>
      <c r="AV18">
        <v>2</v>
      </c>
      <c r="AW18">
        <f t="shared" ref="AW18:AW21" si="10">AT18-AU18-AV18</f>
        <v>1</v>
      </c>
      <c r="AX18">
        <v>5</v>
      </c>
      <c r="AY18">
        <v>3</v>
      </c>
      <c r="AZ18">
        <f t="shared" ref="AZ18:AZ21" si="11">AX18-AY18</f>
        <v>2</v>
      </c>
      <c r="BB18" t="s">
        <v>154</v>
      </c>
      <c r="BC18" t="s">
        <v>30</v>
      </c>
      <c r="BD18" t="s">
        <v>233</v>
      </c>
      <c r="BF18" t="s">
        <v>233</v>
      </c>
      <c r="BG18" t="s">
        <v>91</v>
      </c>
      <c r="BH18" t="s">
        <v>154</v>
      </c>
    </row>
    <row r="19" spans="9:60" x14ac:dyDescent="0.3">
      <c r="R19" s="3" t="s">
        <v>141</v>
      </c>
      <c r="S19" t="s">
        <v>159</v>
      </c>
      <c r="T19" s="2">
        <v>10</v>
      </c>
      <c r="U19">
        <v>6</v>
      </c>
      <c r="V19">
        <v>3</v>
      </c>
      <c r="W19">
        <v>1</v>
      </c>
      <c r="X19">
        <f t="shared" si="8"/>
        <v>2</v>
      </c>
      <c r="Y19">
        <v>6</v>
      </c>
      <c r="Z19">
        <v>4</v>
      </c>
      <c r="AA19">
        <f t="shared" si="9"/>
        <v>2</v>
      </c>
      <c r="AE19" t="s">
        <v>189</v>
      </c>
      <c r="AI19" t="s">
        <v>199</v>
      </c>
      <c r="AL19" t="s">
        <v>242</v>
      </c>
      <c r="AM19" t="s">
        <v>274</v>
      </c>
      <c r="AN19" t="s">
        <v>143</v>
      </c>
      <c r="AQ19" s="4" t="s">
        <v>141</v>
      </c>
      <c r="AR19" t="s">
        <v>233</v>
      </c>
      <c r="AS19" s="2">
        <v>8</v>
      </c>
      <c r="AT19">
        <v>6</v>
      </c>
      <c r="AU19">
        <v>2</v>
      </c>
      <c r="AV19">
        <v>2</v>
      </c>
      <c r="AW19">
        <f t="shared" si="10"/>
        <v>2</v>
      </c>
      <c r="AX19">
        <v>9</v>
      </c>
      <c r="AY19">
        <v>7</v>
      </c>
      <c r="AZ19">
        <f t="shared" si="11"/>
        <v>2</v>
      </c>
      <c r="BB19" t="s">
        <v>321</v>
      </c>
      <c r="BD19" t="s">
        <v>322</v>
      </c>
      <c r="BF19" t="s">
        <v>323</v>
      </c>
    </row>
    <row r="20" spans="9:60" x14ac:dyDescent="0.3">
      <c r="I20" t="s">
        <v>55</v>
      </c>
      <c r="J20" t="s">
        <v>31</v>
      </c>
      <c r="K20" t="s">
        <v>80</v>
      </c>
      <c r="M20" t="s">
        <v>80</v>
      </c>
      <c r="N20" t="s">
        <v>91</v>
      </c>
      <c r="O20" t="s">
        <v>55</v>
      </c>
      <c r="R20" s="5" t="s">
        <v>142</v>
      </c>
      <c r="S20" t="s">
        <v>160</v>
      </c>
      <c r="T20" s="2">
        <v>9</v>
      </c>
      <c r="U20">
        <v>6</v>
      </c>
      <c r="V20">
        <v>3</v>
      </c>
      <c r="W20">
        <v>0</v>
      </c>
      <c r="X20">
        <f t="shared" si="8"/>
        <v>3</v>
      </c>
      <c r="Y20">
        <v>8</v>
      </c>
      <c r="Z20">
        <v>8</v>
      </c>
      <c r="AA20">
        <f t="shared" si="9"/>
        <v>0</v>
      </c>
      <c r="AI20" t="s">
        <v>187</v>
      </c>
      <c r="AL20" t="s">
        <v>275</v>
      </c>
      <c r="AN20" t="s">
        <v>276</v>
      </c>
      <c r="AQ20" s="8" t="s">
        <v>142</v>
      </c>
      <c r="AR20" t="s">
        <v>80</v>
      </c>
      <c r="AS20" s="2">
        <v>7</v>
      </c>
      <c r="AT20">
        <v>6</v>
      </c>
      <c r="AU20">
        <v>2</v>
      </c>
      <c r="AV20">
        <v>1</v>
      </c>
      <c r="AW20">
        <f t="shared" si="10"/>
        <v>3</v>
      </c>
      <c r="AX20">
        <v>5</v>
      </c>
      <c r="AY20">
        <v>8</v>
      </c>
      <c r="AZ20">
        <f t="shared" si="11"/>
        <v>-3</v>
      </c>
      <c r="BF20" t="s">
        <v>324</v>
      </c>
    </row>
    <row r="21" spans="9:60" x14ac:dyDescent="0.3">
      <c r="I21" t="s">
        <v>90</v>
      </c>
      <c r="M21" t="s">
        <v>92</v>
      </c>
      <c r="R21" t="s">
        <v>144</v>
      </c>
      <c r="S21" t="s">
        <v>161</v>
      </c>
      <c r="T21" s="2">
        <v>6</v>
      </c>
      <c r="U21">
        <v>6</v>
      </c>
      <c r="V21">
        <v>2</v>
      </c>
      <c r="W21">
        <v>0</v>
      </c>
      <c r="X21">
        <f t="shared" si="8"/>
        <v>4</v>
      </c>
      <c r="Y21">
        <v>4</v>
      </c>
      <c r="Z21">
        <v>10</v>
      </c>
      <c r="AA21">
        <f t="shared" si="9"/>
        <v>-6</v>
      </c>
      <c r="AQ21" t="s">
        <v>144</v>
      </c>
      <c r="AR21" t="s">
        <v>297</v>
      </c>
      <c r="AS21" s="2">
        <v>6</v>
      </c>
      <c r="AT21">
        <v>6</v>
      </c>
      <c r="AU21">
        <v>1</v>
      </c>
      <c r="AV21">
        <v>3</v>
      </c>
      <c r="AW21">
        <f t="shared" si="10"/>
        <v>2</v>
      </c>
      <c r="AX21">
        <v>4</v>
      </c>
      <c r="AY21">
        <v>5</v>
      </c>
      <c r="AZ21">
        <f t="shared" si="11"/>
        <v>-1</v>
      </c>
    </row>
    <row r="22" spans="9:60" x14ac:dyDescent="0.3">
      <c r="M22" t="s">
        <v>93</v>
      </c>
      <c r="AC22" t="s">
        <v>153</v>
      </c>
      <c r="AD22" t="s">
        <v>30</v>
      </c>
      <c r="AE22" t="s">
        <v>158</v>
      </c>
      <c r="AG22" t="s">
        <v>158</v>
      </c>
      <c r="AH22" t="s">
        <v>46</v>
      </c>
      <c r="AI22" t="s">
        <v>153</v>
      </c>
      <c r="AL22" t="s">
        <v>243</v>
      </c>
      <c r="AM22" t="s">
        <v>277</v>
      </c>
      <c r="AN22" t="s">
        <v>244</v>
      </c>
      <c r="BB22" t="s">
        <v>167</v>
      </c>
      <c r="BC22" t="s">
        <v>39</v>
      </c>
      <c r="BD22" t="s">
        <v>253</v>
      </c>
      <c r="BF22" t="s">
        <v>253</v>
      </c>
      <c r="BG22" t="s">
        <v>27</v>
      </c>
      <c r="BH22" t="s">
        <v>167</v>
      </c>
    </row>
    <row r="23" spans="9:60" x14ac:dyDescent="0.3">
      <c r="M23" t="s">
        <v>94</v>
      </c>
      <c r="R23" t="s">
        <v>147</v>
      </c>
      <c r="AC23" t="s">
        <v>190</v>
      </c>
      <c r="AE23" t="s">
        <v>191</v>
      </c>
      <c r="AI23" t="s">
        <v>200</v>
      </c>
      <c r="AL23" t="s">
        <v>278</v>
      </c>
      <c r="AN23" t="s">
        <v>279</v>
      </c>
      <c r="AQ23" t="s">
        <v>147</v>
      </c>
      <c r="BD23" t="s">
        <v>325</v>
      </c>
      <c r="BF23" t="s">
        <v>326</v>
      </c>
      <c r="BH23" t="s">
        <v>327</v>
      </c>
    </row>
    <row r="24" spans="9:60" x14ac:dyDescent="0.3">
      <c r="R24" t="s">
        <v>130</v>
      </c>
      <c r="S24" t="s">
        <v>131</v>
      </c>
      <c r="T24" t="s">
        <v>132</v>
      </c>
      <c r="U24" t="s">
        <v>133</v>
      </c>
      <c r="V24" t="s">
        <v>134</v>
      </c>
      <c r="W24" t="s">
        <v>135</v>
      </c>
      <c r="X24" t="s">
        <v>136</v>
      </c>
      <c r="Y24" t="s">
        <v>137</v>
      </c>
      <c r="Z24" t="s">
        <v>138</v>
      </c>
      <c r="AA24" t="s">
        <v>139</v>
      </c>
      <c r="AI24" t="s">
        <v>190</v>
      </c>
      <c r="AN24" t="s">
        <v>280</v>
      </c>
      <c r="AQ24" t="s">
        <v>130</v>
      </c>
      <c r="AR24" t="s">
        <v>131</v>
      </c>
      <c r="AS24" t="s">
        <v>132</v>
      </c>
      <c r="AT24" t="s">
        <v>133</v>
      </c>
      <c r="AU24" t="s">
        <v>134</v>
      </c>
      <c r="AV24" t="s">
        <v>135</v>
      </c>
      <c r="AW24" t="s">
        <v>136</v>
      </c>
      <c r="AX24" t="s">
        <v>137</v>
      </c>
      <c r="AY24" t="s">
        <v>138</v>
      </c>
      <c r="AZ24" t="s">
        <v>139</v>
      </c>
    </row>
    <row r="25" spans="9:60" x14ac:dyDescent="0.3">
      <c r="I25" t="s">
        <v>60</v>
      </c>
      <c r="J25" t="s">
        <v>26</v>
      </c>
      <c r="K25" t="s">
        <v>81</v>
      </c>
      <c r="M25" t="s">
        <v>81</v>
      </c>
      <c r="N25" t="s">
        <v>41</v>
      </c>
      <c r="O25" t="s">
        <v>60</v>
      </c>
      <c r="R25" s="1" t="s">
        <v>140</v>
      </c>
      <c r="S25" t="s">
        <v>162</v>
      </c>
      <c r="T25" s="2">
        <v>13</v>
      </c>
      <c r="U25">
        <v>6</v>
      </c>
      <c r="V25">
        <v>4</v>
      </c>
      <c r="W25">
        <v>1</v>
      </c>
      <c r="X25">
        <f t="shared" ref="X25:X28" si="12">U25-V25-W25</f>
        <v>1</v>
      </c>
      <c r="Y25">
        <v>10</v>
      </c>
      <c r="Z25">
        <v>5</v>
      </c>
      <c r="AA25">
        <f t="shared" ref="AA25:AA28" si="13">Y25-Z25</f>
        <v>5</v>
      </c>
      <c r="AI25" t="s">
        <v>201</v>
      </c>
      <c r="AQ25" s="1" t="s">
        <v>140</v>
      </c>
      <c r="AR25" t="s">
        <v>254</v>
      </c>
      <c r="AS25" s="2">
        <v>16</v>
      </c>
      <c r="AT25">
        <v>6</v>
      </c>
      <c r="AU25">
        <v>5</v>
      </c>
      <c r="AV25">
        <v>1</v>
      </c>
      <c r="AW25">
        <f t="shared" ref="AW25:AW28" si="14">AT25-AU25-AV25</f>
        <v>0</v>
      </c>
      <c r="AX25">
        <v>11</v>
      </c>
      <c r="AY25">
        <v>5</v>
      </c>
      <c r="AZ25">
        <f t="shared" ref="AZ25:AZ28" si="15">AX25-AY25</f>
        <v>6</v>
      </c>
      <c r="BB25" t="s">
        <v>160</v>
      </c>
      <c r="BC25" t="s">
        <v>328</v>
      </c>
      <c r="BD25" t="s">
        <v>250</v>
      </c>
      <c r="BF25" t="s">
        <v>250</v>
      </c>
      <c r="BG25" t="s">
        <v>28</v>
      </c>
      <c r="BH25" t="s">
        <v>160</v>
      </c>
    </row>
    <row r="26" spans="9:60" x14ac:dyDescent="0.3">
      <c r="K26" t="s">
        <v>95</v>
      </c>
      <c r="R26" s="3" t="s">
        <v>141</v>
      </c>
      <c r="S26" t="s">
        <v>163</v>
      </c>
      <c r="T26" s="2">
        <v>12</v>
      </c>
      <c r="U26">
        <v>6</v>
      </c>
      <c r="V26">
        <v>3</v>
      </c>
      <c r="W26">
        <v>3</v>
      </c>
      <c r="X26">
        <f t="shared" si="12"/>
        <v>0</v>
      </c>
      <c r="Y26">
        <v>12</v>
      </c>
      <c r="Z26">
        <v>8</v>
      </c>
      <c r="AA26">
        <f t="shared" si="13"/>
        <v>4</v>
      </c>
      <c r="AL26" t="s">
        <v>245</v>
      </c>
      <c r="AM26" t="s">
        <v>91</v>
      </c>
      <c r="AN26" t="s">
        <v>246</v>
      </c>
      <c r="AQ26" s="4" t="s">
        <v>141</v>
      </c>
      <c r="AR26" t="s">
        <v>253</v>
      </c>
      <c r="AS26" s="2">
        <v>8</v>
      </c>
      <c r="AT26">
        <v>6</v>
      </c>
      <c r="AU26">
        <v>2</v>
      </c>
      <c r="AV26">
        <v>2</v>
      </c>
      <c r="AW26">
        <f t="shared" si="14"/>
        <v>2</v>
      </c>
      <c r="AX26">
        <v>7</v>
      </c>
      <c r="AY26">
        <v>7</v>
      </c>
      <c r="AZ26">
        <f t="shared" si="15"/>
        <v>0</v>
      </c>
      <c r="BB26" t="s">
        <v>329</v>
      </c>
      <c r="BF26" t="s">
        <v>331</v>
      </c>
    </row>
    <row r="27" spans="9:60" x14ac:dyDescent="0.3">
      <c r="R27" s="5" t="s">
        <v>142</v>
      </c>
      <c r="S27" t="s">
        <v>165</v>
      </c>
      <c r="T27" s="2">
        <v>7</v>
      </c>
      <c r="U27">
        <v>6</v>
      </c>
      <c r="V27">
        <v>2</v>
      </c>
      <c r="W27">
        <v>1</v>
      </c>
      <c r="X27">
        <f t="shared" si="12"/>
        <v>3</v>
      </c>
      <c r="Y27">
        <v>7</v>
      </c>
      <c r="Z27">
        <v>8</v>
      </c>
      <c r="AA27">
        <f t="shared" si="13"/>
        <v>-1</v>
      </c>
      <c r="AC27" t="s">
        <v>166</v>
      </c>
      <c r="AD27" t="s">
        <v>41</v>
      </c>
      <c r="AE27" t="s">
        <v>169</v>
      </c>
      <c r="AG27" t="s">
        <v>169</v>
      </c>
      <c r="AH27" t="s">
        <v>202</v>
      </c>
      <c r="AI27" t="s">
        <v>166</v>
      </c>
      <c r="AL27" t="s">
        <v>281</v>
      </c>
      <c r="AQ27" s="8" t="s">
        <v>142</v>
      </c>
      <c r="AR27" t="s">
        <v>298</v>
      </c>
      <c r="AS27" s="2">
        <v>5</v>
      </c>
      <c r="AT27">
        <v>6</v>
      </c>
      <c r="AU27">
        <v>1</v>
      </c>
      <c r="AV27">
        <v>2</v>
      </c>
      <c r="AW27">
        <f t="shared" si="14"/>
        <v>3</v>
      </c>
      <c r="AX27">
        <v>5</v>
      </c>
      <c r="AY27">
        <v>7</v>
      </c>
      <c r="AZ27">
        <f t="shared" si="15"/>
        <v>-2</v>
      </c>
      <c r="BB27" t="s">
        <v>330</v>
      </c>
    </row>
    <row r="28" spans="9:60" x14ac:dyDescent="0.3">
      <c r="I28" t="s">
        <v>74</v>
      </c>
      <c r="J28" t="s">
        <v>26</v>
      </c>
      <c r="K28" t="s">
        <v>82</v>
      </c>
      <c r="M28" t="s">
        <v>82</v>
      </c>
      <c r="N28" t="s">
        <v>91</v>
      </c>
      <c r="O28" t="s">
        <v>74</v>
      </c>
      <c r="R28" t="s">
        <v>144</v>
      </c>
      <c r="S28" t="s">
        <v>164</v>
      </c>
      <c r="T28" s="2">
        <v>1</v>
      </c>
      <c r="U28">
        <v>6</v>
      </c>
      <c r="V28">
        <v>0</v>
      </c>
      <c r="W28">
        <v>1</v>
      </c>
      <c r="X28">
        <f t="shared" si="12"/>
        <v>5</v>
      </c>
      <c r="Y28">
        <v>1</v>
      </c>
      <c r="Z28">
        <v>9</v>
      </c>
      <c r="AA28">
        <f t="shared" si="13"/>
        <v>-8</v>
      </c>
      <c r="AL28" t="s">
        <v>282</v>
      </c>
      <c r="AQ28" t="s">
        <v>144</v>
      </c>
      <c r="AR28" t="s">
        <v>299</v>
      </c>
      <c r="AS28" s="2">
        <v>4</v>
      </c>
      <c r="AT28">
        <v>6</v>
      </c>
      <c r="AU28">
        <v>1</v>
      </c>
      <c r="AV28">
        <v>1</v>
      </c>
      <c r="AW28">
        <f t="shared" si="14"/>
        <v>4</v>
      </c>
      <c r="AX28">
        <v>7</v>
      </c>
      <c r="AY28">
        <v>11</v>
      </c>
      <c r="AZ28">
        <f t="shared" si="15"/>
        <v>-4</v>
      </c>
    </row>
    <row r="29" spans="9:60" x14ac:dyDescent="0.3">
      <c r="K29" t="s">
        <v>96</v>
      </c>
      <c r="M29" t="s">
        <v>97</v>
      </c>
      <c r="AC29" t="s">
        <v>177</v>
      </c>
      <c r="AD29" t="s">
        <v>26</v>
      </c>
      <c r="AE29" t="s">
        <v>162</v>
      </c>
      <c r="AG29" t="s">
        <v>162</v>
      </c>
      <c r="AH29" t="s">
        <v>28</v>
      </c>
      <c r="AI29" t="s">
        <v>177</v>
      </c>
      <c r="AL29" t="s">
        <v>283</v>
      </c>
      <c r="BB29" t="s">
        <v>81</v>
      </c>
      <c r="BC29" t="s">
        <v>91</v>
      </c>
      <c r="BD29" t="s">
        <v>235</v>
      </c>
      <c r="BF29" t="s">
        <v>235</v>
      </c>
      <c r="BG29" t="s">
        <v>27</v>
      </c>
      <c r="BH29" t="s">
        <v>81</v>
      </c>
    </row>
    <row r="30" spans="9:60" x14ac:dyDescent="0.3">
      <c r="M30" t="s">
        <v>98</v>
      </c>
      <c r="R30" t="s">
        <v>148</v>
      </c>
      <c r="AE30" t="s">
        <v>192</v>
      </c>
      <c r="AG30" t="s">
        <v>203</v>
      </c>
      <c r="AQ30" t="s">
        <v>148</v>
      </c>
      <c r="BB30" t="s">
        <v>332</v>
      </c>
      <c r="BF30" t="s">
        <v>334</v>
      </c>
      <c r="BH30" t="s">
        <v>335</v>
      </c>
    </row>
    <row r="31" spans="9:60" x14ac:dyDescent="0.3">
      <c r="R31" t="s">
        <v>130</v>
      </c>
      <c r="S31" t="s">
        <v>131</v>
      </c>
      <c r="T31" t="s">
        <v>132</v>
      </c>
      <c r="U31" t="s">
        <v>133</v>
      </c>
      <c r="V31" t="s">
        <v>134</v>
      </c>
      <c r="W31" t="s">
        <v>135</v>
      </c>
      <c r="X31" t="s">
        <v>136</v>
      </c>
      <c r="Y31" t="s">
        <v>137</v>
      </c>
      <c r="Z31" t="s">
        <v>138</v>
      </c>
      <c r="AA31" t="s">
        <v>139</v>
      </c>
      <c r="AL31" t="s">
        <v>247</v>
      </c>
      <c r="AM31" t="s">
        <v>121</v>
      </c>
      <c r="AN31" t="s">
        <v>248</v>
      </c>
      <c r="AQ31" t="s">
        <v>130</v>
      </c>
      <c r="AR31" t="s">
        <v>131</v>
      </c>
      <c r="AS31" t="s">
        <v>132</v>
      </c>
      <c r="AT31" t="s">
        <v>133</v>
      </c>
      <c r="AU31" t="s">
        <v>134</v>
      </c>
      <c r="AV31" t="s">
        <v>135</v>
      </c>
      <c r="AW31" t="s">
        <v>136</v>
      </c>
      <c r="AX31" t="s">
        <v>137</v>
      </c>
      <c r="AY31" t="s">
        <v>138</v>
      </c>
      <c r="AZ31" t="s">
        <v>139</v>
      </c>
      <c r="BB31" t="s">
        <v>333</v>
      </c>
    </row>
    <row r="32" spans="9:60" x14ac:dyDescent="0.3">
      <c r="I32" t="s">
        <v>75</v>
      </c>
      <c r="J32" t="s">
        <v>31</v>
      </c>
      <c r="K32" t="s">
        <v>83</v>
      </c>
      <c r="M32" t="s">
        <v>83</v>
      </c>
      <c r="N32" t="s">
        <v>103</v>
      </c>
      <c r="O32" t="s">
        <v>75</v>
      </c>
      <c r="R32" s="1" t="s">
        <v>140</v>
      </c>
      <c r="S32" t="s">
        <v>59</v>
      </c>
      <c r="T32" s="2">
        <v>10</v>
      </c>
      <c r="U32">
        <v>6</v>
      </c>
      <c r="V32">
        <v>3</v>
      </c>
      <c r="W32">
        <v>1</v>
      </c>
      <c r="X32">
        <f t="shared" ref="X32:X35" si="16">U32-V32-W32</f>
        <v>2</v>
      </c>
      <c r="Y32">
        <v>8</v>
      </c>
      <c r="Z32">
        <v>5</v>
      </c>
      <c r="AA32">
        <f t="shared" ref="AA32:AA35" si="17">Y32-Z32</f>
        <v>3</v>
      </c>
      <c r="AC32" t="s">
        <v>38</v>
      </c>
      <c r="AQ32" s="1" t="s">
        <v>140</v>
      </c>
      <c r="AR32" t="s">
        <v>243</v>
      </c>
      <c r="AS32" s="2">
        <v>12</v>
      </c>
      <c r="AT32">
        <v>6</v>
      </c>
      <c r="AU32">
        <v>4</v>
      </c>
      <c r="AV32">
        <v>0</v>
      </c>
      <c r="AW32">
        <f t="shared" ref="AW32:AW35" si="18">AT32-AU32-AV32</f>
        <v>2</v>
      </c>
      <c r="AX32">
        <v>8</v>
      </c>
      <c r="AY32">
        <v>4</v>
      </c>
      <c r="AZ32">
        <f t="shared" ref="AZ32:AZ35" si="19">AX32-AY32</f>
        <v>4</v>
      </c>
      <c r="BB32" t="s">
        <v>95</v>
      </c>
    </row>
    <row r="33" spans="9:60" x14ac:dyDescent="0.3">
      <c r="I33" t="s">
        <v>99</v>
      </c>
      <c r="M33" t="s">
        <v>100</v>
      </c>
      <c r="O33" t="s">
        <v>102</v>
      </c>
      <c r="R33" s="3" t="s">
        <v>141</v>
      </c>
      <c r="S33" t="s">
        <v>166</v>
      </c>
      <c r="T33" s="2">
        <v>9</v>
      </c>
      <c r="U33">
        <v>6</v>
      </c>
      <c r="V33">
        <v>2</v>
      </c>
      <c r="W33">
        <v>3</v>
      </c>
      <c r="X33">
        <f t="shared" si="16"/>
        <v>1</v>
      </c>
      <c r="Y33">
        <v>8</v>
      </c>
      <c r="Z33">
        <v>8</v>
      </c>
      <c r="AA33">
        <f t="shared" si="17"/>
        <v>0</v>
      </c>
      <c r="AC33" t="s">
        <v>173</v>
      </c>
      <c r="AD33" t="s">
        <v>31</v>
      </c>
      <c r="AE33" t="s">
        <v>156</v>
      </c>
      <c r="AG33" t="s">
        <v>156</v>
      </c>
      <c r="AH33" t="s">
        <v>26</v>
      </c>
      <c r="AI33" t="s">
        <v>173</v>
      </c>
      <c r="AL33" t="s">
        <v>249</v>
      </c>
      <c r="AM33" t="s">
        <v>28</v>
      </c>
      <c r="AN33" t="s">
        <v>13</v>
      </c>
      <c r="AQ33" s="4" t="s">
        <v>141</v>
      </c>
      <c r="AR33" t="s">
        <v>240</v>
      </c>
      <c r="AS33" s="2">
        <v>10</v>
      </c>
      <c r="AT33">
        <v>6</v>
      </c>
      <c r="AU33">
        <v>3</v>
      </c>
      <c r="AV33">
        <v>1</v>
      </c>
      <c r="AW33">
        <f t="shared" si="18"/>
        <v>2</v>
      </c>
      <c r="AX33">
        <v>9</v>
      </c>
      <c r="AY33">
        <v>9</v>
      </c>
      <c r="AZ33">
        <f t="shared" si="19"/>
        <v>0</v>
      </c>
    </row>
    <row r="34" spans="9:60" x14ac:dyDescent="0.3">
      <c r="M34" t="s">
        <v>101</v>
      </c>
      <c r="R34" s="5" t="s">
        <v>142</v>
      </c>
      <c r="S34" t="s">
        <v>167</v>
      </c>
      <c r="T34" s="2">
        <v>9</v>
      </c>
      <c r="U34">
        <v>6</v>
      </c>
      <c r="V34">
        <v>2</v>
      </c>
      <c r="W34">
        <v>3</v>
      </c>
      <c r="X34">
        <f t="shared" si="16"/>
        <v>1</v>
      </c>
      <c r="Y34">
        <v>7</v>
      </c>
      <c r="Z34">
        <v>7</v>
      </c>
      <c r="AA34">
        <f t="shared" si="17"/>
        <v>0</v>
      </c>
      <c r="AC34" t="s">
        <v>206</v>
      </c>
      <c r="AI34" t="s">
        <v>207</v>
      </c>
      <c r="AL34" t="s">
        <v>284</v>
      </c>
      <c r="AQ34" s="8" t="s">
        <v>142</v>
      </c>
      <c r="AR34" t="s">
        <v>300</v>
      </c>
      <c r="AS34" s="2">
        <v>7</v>
      </c>
      <c r="AT34">
        <v>6</v>
      </c>
      <c r="AU34">
        <v>2</v>
      </c>
      <c r="AV34">
        <v>1</v>
      </c>
      <c r="AW34">
        <f t="shared" si="18"/>
        <v>3</v>
      </c>
      <c r="AX34">
        <v>8</v>
      </c>
      <c r="AY34">
        <v>9</v>
      </c>
      <c r="AZ34">
        <f t="shared" si="19"/>
        <v>-1</v>
      </c>
      <c r="BB34" t="s">
        <v>22</v>
      </c>
    </row>
    <row r="35" spans="9:60" x14ac:dyDescent="0.3">
      <c r="R35" t="s">
        <v>144</v>
      </c>
      <c r="S35" t="s">
        <v>168</v>
      </c>
      <c r="T35" s="2">
        <v>4</v>
      </c>
      <c r="U35">
        <v>6</v>
      </c>
      <c r="V35">
        <v>1</v>
      </c>
      <c r="W35">
        <v>1</v>
      </c>
      <c r="X35">
        <f t="shared" si="16"/>
        <v>4</v>
      </c>
      <c r="Y35">
        <v>4</v>
      </c>
      <c r="Z35">
        <v>7</v>
      </c>
      <c r="AA35">
        <f t="shared" si="17"/>
        <v>-3</v>
      </c>
      <c r="AL35" t="s">
        <v>285</v>
      </c>
      <c r="AQ35" t="s">
        <v>144</v>
      </c>
      <c r="AR35" t="s">
        <v>301</v>
      </c>
      <c r="AS35" s="2">
        <v>5</v>
      </c>
      <c r="AT35">
        <v>6</v>
      </c>
      <c r="AU35">
        <v>1</v>
      </c>
      <c r="AV35">
        <v>2</v>
      </c>
      <c r="AW35">
        <f t="shared" si="18"/>
        <v>3</v>
      </c>
      <c r="AX35">
        <v>7</v>
      </c>
      <c r="AY35">
        <v>10</v>
      </c>
      <c r="AZ35">
        <f t="shared" si="19"/>
        <v>-3</v>
      </c>
      <c r="BB35" t="s">
        <v>81</v>
      </c>
      <c r="BC35" t="s">
        <v>30</v>
      </c>
      <c r="BD35" t="s">
        <v>236</v>
      </c>
      <c r="BF35" t="s">
        <v>236</v>
      </c>
      <c r="BG35" t="s">
        <v>340</v>
      </c>
      <c r="BH35" t="s">
        <v>81</v>
      </c>
    </row>
    <row r="36" spans="9:60" x14ac:dyDescent="0.3">
      <c r="I36" t="s">
        <v>76</v>
      </c>
      <c r="J36" t="s">
        <v>39</v>
      </c>
      <c r="K36" t="s">
        <v>84</v>
      </c>
      <c r="M36" t="s">
        <v>84</v>
      </c>
      <c r="N36" t="s">
        <v>31</v>
      </c>
      <c r="O36" t="s">
        <v>76</v>
      </c>
      <c r="AC36" t="s">
        <v>155</v>
      </c>
      <c r="AD36" t="s">
        <v>31</v>
      </c>
      <c r="AE36" t="s">
        <v>176</v>
      </c>
      <c r="AG36" t="s">
        <v>176</v>
      </c>
      <c r="AH36" t="s">
        <v>28</v>
      </c>
      <c r="AI36" t="s">
        <v>155</v>
      </c>
      <c r="BB36" t="s">
        <v>95</v>
      </c>
      <c r="BD36" t="s">
        <v>336</v>
      </c>
      <c r="BF36" t="s">
        <v>338</v>
      </c>
      <c r="BH36" t="s">
        <v>339</v>
      </c>
    </row>
    <row r="37" spans="9:60" x14ac:dyDescent="0.3">
      <c r="K37" t="s">
        <v>104</v>
      </c>
      <c r="M37" t="s">
        <v>105</v>
      </c>
      <c r="R37" t="s">
        <v>149</v>
      </c>
      <c r="AC37" t="s">
        <v>208</v>
      </c>
      <c r="AG37" t="s">
        <v>195</v>
      </c>
      <c r="AL37" t="s">
        <v>250</v>
      </c>
      <c r="AM37" t="s">
        <v>262</v>
      </c>
      <c r="AN37" t="s">
        <v>251</v>
      </c>
      <c r="AQ37" t="s">
        <v>149</v>
      </c>
      <c r="BD37" t="s">
        <v>337</v>
      </c>
      <c r="BH37" t="s">
        <v>335</v>
      </c>
    </row>
    <row r="38" spans="9:60" x14ac:dyDescent="0.3">
      <c r="K38" t="s">
        <v>105</v>
      </c>
      <c r="R38" t="s">
        <v>130</v>
      </c>
      <c r="S38" t="s">
        <v>131</v>
      </c>
      <c r="T38" t="s">
        <v>132</v>
      </c>
      <c r="U38" t="s">
        <v>133</v>
      </c>
      <c r="V38" t="s">
        <v>134</v>
      </c>
      <c r="W38" t="s">
        <v>135</v>
      </c>
      <c r="X38" t="s">
        <v>136</v>
      </c>
      <c r="Y38" t="s">
        <v>137</v>
      </c>
      <c r="Z38" t="s">
        <v>138</v>
      </c>
      <c r="AA38" t="s">
        <v>139</v>
      </c>
      <c r="AQ38" t="s">
        <v>130</v>
      </c>
      <c r="AR38" t="s">
        <v>131</v>
      </c>
      <c r="AS38" t="s">
        <v>132</v>
      </c>
      <c r="AT38" t="s">
        <v>133</v>
      </c>
      <c r="AU38" t="s">
        <v>134</v>
      </c>
      <c r="AV38" t="s">
        <v>135</v>
      </c>
      <c r="AW38" t="s">
        <v>136</v>
      </c>
      <c r="AX38" t="s">
        <v>137</v>
      </c>
      <c r="AY38" t="s">
        <v>138</v>
      </c>
      <c r="AZ38" t="s">
        <v>139</v>
      </c>
    </row>
    <row r="39" spans="9:60" x14ac:dyDescent="0.3">
      <c r="R39" s="1" t="s">
        <v>140</v>
      </c>
      <c r="S39" t="s">
        <v>169</v>
      </c>
      <c r="T39" s="2">
        <v>14</v>
      </c>
      <c r="U39">
        <v>6</v>
      </c>
      <c r="V39">
        <v>4</v>
      </c>
      <c r="W39">
        <v>2</v>
      </c>
      <c r="X39">
        <f t="shared" ref="X39:X42" si="20">U39-V39-W39</f>
        <v>0</v>
      </c>
      <c r="Y39">
        <v>7</v>
      </c>
      <c r="Z39">
        <v>1</v>
      </c>
      <c r="AA39">
        <f t="shared" ref="AA39:AA42" si="21">Y39-Z39</f>
        <v>6</v>
      </c>
      <c r="AC39" t="s">
        <v>170</v>
      </c>
      <c r="AD39" t="s">
        <v>28</v>
      </c>
      <c r="AE39" t="s">
        <v>153</v>
      </c>
      <c r="AG39" t="s">
        <v>153</v>
      </c>
      <c r="AH39" t="s">
        <v>23</v>
      </c>
      <c r="AI39" t="s">
        <v>170</v>
      </c>
      <c r="AL39" t="s">
        <v>252</v>
      </c>
      <c r="AM39" t="s">
        <v>263</v>
      </c>
      <c r="AN39" t="s">
        <v>253</v>
      </c>
      <c r="AQ39" s="1" t="s">
        <v>140</v>
      </c>
      <c r="AR39" t="s">
        <v>302</v>
      </c>
      <c r="AS39" s="2">
        <v>14</v>
      </c>
      <c r="AT39">
        <v>6</v>
      </c>
      <c r="AU39">
        <v>4</v>
      </c>
      <c r="AV39">
        <v>2</v>
      </c>
      <c r="AW39">
        <f t="shared" ref="AW39:AW42" si="22">AT39-AU39-AV39</f>
        <v>0</v>
      </c>
      <c r="AX39">
        <v>8</v>
      </c>
      <c r="AY39">
        <v>4</v>
      </c>
      <c r="AZ39">
        <f t="shared" ref="AZ39:AZ42" si="23">AX39-AY39</f>
        <v>4</v>
      </c>
      <c r="BB39" t="s">
        <v>240</v>
      </c>
      <c r="BC39" t="s">
        <v>28</v>
      </c>
      <c r="BD39" t="s">
        <v>239</v>
      </c>
      <c r="BF39" t="s">
        <v>239</v>
      </c>
      <c r="BG39" t="s">
        <v>91</v>
      </c>
      <c r="BH39" t="s">
        <v>240</v>
      </c>
    </row>
    <row r="40" spans="9:60" x14ac:dyDescent="0.3">
      <c r="I40" t="s">
        <v>77</v>
      </c>
      <c r="J40" t="s">
        <v>91</v>
      </c>
      <c r="K40" t="s">
        <v>85</v>
      </c>
      <c r="M40" t="s">
        <v>85</v>
      </c>
      <c r="N40" t="s">
        <v>30</v>
      </c>
      <c r="O40" t="s">
        <v>77</v>
      </c>
      <c r="R40" s="3" t="s">
        <v>141</v>
      </c>
      <c r="S40" t="s">
        <v>170</v>
      </c>
      <c r="T40" s="2">
        <v>8</v>
      </c>
      <c r="U40">
        <v>6</v>
      </c>
      <c r="V40">
        <v>2</v>
      </c>
      <c r="W40">
        <v>2</v>
      </c>
      <c r="X40">
        <f t="shared" si="20"/>
        <v>2</v>
      </c>
      <c r="Y40">
        <v>4</v>
      </c>
      <c r="Z40">
        <v>5</v>
      </c>
      <c r="AA40">
        <f t="shared" si="21"/>
        <v>-1</v>
      </c>
      <c r="AC40" t="s">
        <v>209</v>
      </c>
      <c r="AG40" t="s">
        <v>211</v>
      </c>
      <c r="AI40" t="s">
        <v>212</v>
      </c>
      <c r="AQ40" s="4" t="s">
        <v>141</v>
      </c>
      <c r="AR40" t="s">
        <v>258</v>
      </c>
      <c r="AS40" s="2">
        <v>9</v>
      </c>
      <c r="AT40">
        <v>6</v>
      </c>
      <c r="AU40">
        <v>3</v>
      </c>
      <c r="AV40">
        <v>0</v>
      </c>
      <c r="AW40">
        <f t="shared" si="22"/>
        <v>3</v>
      </c>
      <c r="AX40">
        <v>7</v>
      </c>
      <c r="AY40">
        <v>7</v>
      </c>
      <c r="AZ40">
        <f t="shared" si="23"/>
        <v>0</v>
      </c>
      <c r="BB40" t="s">
        <v>341</v>
      </c>
      <c r="BF40" t="s">
        <v>343</v>
      </c>
    </row>
    <row r="41" spans="9:60" x14ac:dyDescent="0.3">
      <c r="I41" t="s">
        <v>106</v>
      </c>
      <c r="M41" t="s">
        <v>108</v>
      </c>
      <c r="O41" t="s">
        <v>110</v>
      </c>
      <c r="R41" s="5" t="s">
        <v>142</v>
      </c>
      <c r="S41" t="s">
        <v>49</v>
      </c>
      <c r="T41" s="2">
        <v>6</v>
      </c>
      <c r="U41">
        <v>6</v>
      </c>
      <c r="V41">
        <v>2</v>
      </c>
      <c r="W41">
        <v>0</v>
      </c>
      <c r="X41">
        <f t="shared" si="20"/>
        <v>4</v>
      </c>
      <c r="Y41">
        <v>2</v>
      </c>
      <c r="Z41">
        <v>6</v>
      </c>
      <c r="AA41">
        <f t="shared" si="21"/>
        <v>-4</v>
      </c>
      <c r="AC41" t="s">
        <v>210</v>
      </c>
      <c r="AL41" t="s">
        <v>254</v>
      </c>
      <c r="AM41" t="s">
        <v>28</v>
      </c>
      <c r="AN41" t="s">
        <v>255</v>
      </c>
      <c r="AQ41" s="8" t="s">
        <v>142</v>
      </c>
      <c r="AR41" t="s">
        <v>248</v>
      </c>
      <c r="AS41" s="2">
        <v>8</v>
      </c>
      <c r="AT41">
        <v>6</v>
      </c>
      <c r="AU41">
        <v>2</v>
      </c>
      <c r="AV41">
        <v>2</v>
      </c>
      <c r="AW41">
        <f t="shared" si="22"/>
        <v>2</v>
      </c>
      <c r="AX41">
        <v>7</v>
      </c>
      <c r="AY41">
        <v>7</v>
      </c>
      <c r="AZ41">
        <f t="shared" si="23"/>
        <v>0</v>
      </c>
      <c r="BB41" t="s">
        <v>342</v>
      </c>
      <c r="BF41" t="s">
        <v>344</v>
      </c>
    </row>
    <row r="42" spans="9:60" x14ac:dyDescent="0.3">
      <c r="I42" t="s">
        <v>107</v>
      </c>
      <c r="O42" t="s">
        <v>109</v>
      </c>
      <c r="R42" t="s">
        <v>144</v>
      </c>
      <c r="S42" t="s">
        <v>171</v>
      </c>
      <c r="T42" s="2">
        <v>5</v>
      </c>
      <c r="U42">
        <v>6</v>
      </c>
      <c r="V42">
        <v>1</v>
      </c>
      <c r="W42">
        <v>2</v>
      </c>
      <c r="X42">
        <f t="shared" si="20"/>
        <v>3</v>
      </c>
      <c r="Y42">
        <v>4</v>
      </c>
      <c r="Z42">
        <v>5</v>
      </c>
      <c r="AA42">
        <f t="shared" si="21"/>
        <v>-1</v>
      </c>
      <c r="AL42" t="s">
        <v>286</v>
      </c>
      <c r="AQ42" t="s">
        <v>144</v>
      </c>
      <c r="AR42" t="s">
        <v>143</v>
      </c>
      <c r="AS42" s="2">
        <v>2</v>
      </c>
      <c r="AT42">
        <v>6</v>
      </c>
      <c r="AU42">
        <v>0</v>
      </c>
      <c r="AV42">
        <v>2</v>
      </c>
      <c r="AW42">
        <f t="shared" si="22"/>
        <v>4</v>
      </c>
      <c r="AX42">
        <v>5</v>
      </c>
      <c r="AY42">
        <v>9</v>
      </c>
      <c r="AZ42">
        <f t="shared" si="23"/>
        <v>-4</v>
      </c>
      <c r="BF42" t="s">
        <v>345</v>
      </c>
    </row>
    <row r="43" spans="9:60" x14ac:dyDescent="0.3">
      <c r="AC43" t="s">
        <v>166</v>
      </c>
      <c r="AD43" t="s">
        <v>26</v>
      </c>
      <c r="AE43" t="s">
        <v>162</v>
      </c>
      <c r="AG43" t="s">
        <v>162</v>
      </c>
      <c r="AH43" t="s">
        <v>39</v>
      </c>
      <c r="AI43" t="s">
        <v>166</v>
      </c>
    </row>
    <row r="44" spans="9:60" x14ac:dyDescent="0.3">
      <c r="I44" t="s">
        <v>78</v>
      </c>
      <c r="J44" t="s">
        <v>28</v>
      </c>
      <c r="K44" t="s">
        <v>86</v>
      </c>
      <c r="M44" t="s">
        <v>86</v>
      </c>
      <c r="N44" t="s">
        <v>117</v>
      </c>
      <c r="O44" t="s">
        <v>78</v>
      </c>
      <c r="R44" t="s">
        <v>150</v>
      </c>
      <c r="AE44" t="s">
        <v>213</v>
      </c>
      <c r="AI44" t="s">
        <v>214</v>
      </c>
      <c r="AL44" t="s">
        <v>256</v>
      </c>
      <c r="AM44" t="s">
        <v>31</v>
      </c>
      <c r="AN44" t="s">
        <v>257</v>
      </c>
      <c r="AQ44" t="s">
        <v>150</v>
      </c>
      <c r="BB44" t="s">
        <v>174</v>
      </c>
      <c r="BC44" t="s">
        <v>27</v>
      </c>
      <c r="BD44" t="s">
        <v>254</v>
      </c>
      <c r="BF44" t="s">
        <v>254</v>
      </c>
      <c r="BG44" t="s">
        <v>30</v>
      </c>
      <c r="BH44" t="s">
        <v>174</v>
      </c>
    </row>
    <row r="45" spans="9:60" x14ac:dyDescent="0.3">
      <c r="I45" t="s">
        <v>111</v>
      </c>
      <c r="M45" t="s">
        <v>113</v>
      </c>
      <c r="O45" t="s">
        <v>116</v>
      </c>
      <c r="R45" t="s">
        <v>130</v>
      </c>
      <c r="S45" t="s">
        <v>131</v>
      </c>
      <c r="T45" t="s">
        <v>132</v>
      </c>
      <c r="U45" t="s">
        <v>133</v>
      </c>
      <c r="V45" t="s">
        <v>134</v>
      </c>
      <c r="W45" t="s">
        <v>135</v>
      </c>
      <c r="X45" t="s">
        <v>136</v>
      </c>
      <c r="Y45" t="s">
        <v>137</v>
      </c>
      <c r="Z45" t="s">
        <v>138</v>
      </c>
      <c r="AA45" t="s">
        <v>139</v>
      </c>
      <c r="AI45" t="s">
        <v>215</v>
      </c>
      <c r="AL45" t="s">
        <v>287</v>
      </c>
      <c r="AQ45" t="s">
        <v>130</v>
      </c>
      <c r="AR45" t="s">
        <v>131</v>
      </c>
      <c r="AS45" t="s">
        <v>132</v>
      </c>
      <c r="AT45" t="s">
        <v>133</v>
      </c>
      <c r="AU45" t="s">
        <v>134</v>
      </c>
      <c r="AV45" t="s">
        <v>135</v>
      </c>
      <c r="AW45" t="s">
        <v>136</v>
      </c>
      <c r="AX45" t="s">
        <v>137</v>
      </c>
      <c r="AY45" t="s">
        <v>138</v>
      </c>
      <c r="AZ45" t="s">
        <v>139</v>
      </c>
      <c r="BB45" t="s">
        <v>346</v>
      </c>
      <c r="BD45" t="s">
        <v>347</v>
      </c>
      <c r="BF45" t="s">
        <v>348</v>
      </c>
      <c r="BH45" t="s">
        <v>319</v>
      </c>
    </row>
    <row r="46" spans="9:60" x14ac:dyDescent="0.3">
      <c r="I46" t="s">
        <v>112</v>
      </c>
      <c r="M46" t="s">
        <v>114</v>
      </c>
      <c r="R46" s="1" t="s">
        <v>140</v>
      </c>
      <c r="S46" t="s">
        <v>172</v>
      </c>
      <c r="T46" s="2">
        <v>11</v>
      </c>
      <c r="U46">
        <v>6</v>
      </c>
      <c r="V46">
        <v>3</v>
      </c>
      <c r="W46">
        <v>2</v>
      </c>
      <c r="X46">
        <f t="shared" ref="X46:X49" si="24">U46-V46-W46</f>
        <v>1</v>
      </c>
      <c r="Y46">
        <v>10</v>
      </c>
      <c r="Z46">
        <v>6</v>
      </c>
      <c r="AA46">
        <f t="shared" ref="AA46:AA49" si="25">Y46-Z46</f>
        <v>4</v>
      </c>
      <c r="AQ46" s="1" t="s">
        <v>140</v>
      </c>
      <c r="AR46" t="s">
        <v>236</v>
      </c>
      <c r="AS46" s="2">
        <v>12</v>
      </c>
      <c r="AT46">
        <v>6</v>
      </c>
      <c r="AU46">
        <v>4</v>
      </c>
      <c r="AV46">
        <v>0</v>
      </c>
      <c r="AW46">
        <f t="shared" ref="AW46:AW49" si="26">AT46-AU46-AV46</f>
        <v>2</v>
      </c>
      <c r="AX46">
        <v>6</v>
      </c>
      <c r="AY46">
        <v>6</v>
      </c>
      <c r="AZ46">
        <f t="shared" ref="AZ46:AZ49" si="27">AX46-AY46</f>
        <v>0</v>
      </c>
      <c r="BH46" t="s">
        <v>349</v>
      </c>
    </row>
    <row r="47" spans="9:60" x14ac:dyDescent="0.3">
      <c r="M47" t="s">
        <v>115</v>
      </c>
      <c r="R47" s="3" t="s">
        <v>141</v>
      </c>
      <c r="S47" t="s">
        <v>173</v>
      </c>
      <c r="T47" s="2">
        <v>8</v>
      </c>
      <c r="U47">
        <v>6</v>
      </c>
      <c r="V47">
        <v>2</v>
      </c>
      <c r="W47">
        <v>2</v>
      </c>
      <c r="X47">
        <f t="shared" si="24"/>
        <v>2</v>
      </c>
      <c r="Y47">
        <v>4</v>
      </c>
      <c r="Z47">
        <v>5</v>
      </c>
      <c r="AA47">
        <f t="shared" si="25"/>
        <v>-1</v>
      </c>
      <c r="AC47" t="s">
        <v>42</v>
      </c>
      <c r="AL47" t="s">
        <v>258</v>
      </c>
      <c r="AM47" t="s">
        <v>288</v>
      </c>
      <c r="AN47" t="s">
        <v>259</v>
      </c>
      <c r="AQ47" s="4" t="s">
        <v>141</v>
      </c>
      <c r="AR47" t="s">
        <v>303</v>
      </c>
      <c r="AS47" s="2">
        <v>10</v>
      </c>
      <c r="AT47">
        <v>6</v>
      </c>
      <c r="AU47">
        <v>3</v>
      </c>
      <c r="AV47">
        <v>1</v>
      </c>
      <c r="AW47">
        <f t="shared" si="26"/>
        <v>2</v>
      </c>
      <c r="AX47">
        <v>7</v>
      </c>
      <c r="AY47">
        <v>5</v>
      </c>
      <c r="AZ47">
        <f t="shared" si="27"/>
        <v>2</v>
      </c>
    </row>
    <row r="48" spans="9:60" x14ac:dyDescent="0.3">
      <c r="R48" s="5" t="s">
        <v>142</v>
      </c>
      <c r="S48" t="s">
        <v>174</v>
      </c>
      <c r="T48" s="2">
        <v>8</v>
      </c>
      <c r="U48">
        <v>6</v>
      </c>
      <c r="V48">
        <v>2</v>
      </c>
      <c r="W48">
        <v>2</v>
      </c>
      <c r="X48">
        <f t="shared" si="24"/>
        <v>2</v>
      </c>
      <c r="Y48">
        <v>5</v>
      </c>
      <c r="Z48">
        <v>7</v>
      </c>
      <c r="AA48">
        <f t="shared" si="25"/>
        <v>-2</v>
      </c>
      <c r="AC48" t="s">
        <v>173</v>
      </c>
      <c r="AD48" t="s">
        <v>39</v>
      </c>
      <c r="AE48" t="s">
        <v>176</v>
      </c>
      <c r="AG48" t="s">
        <v>176</v>
      </c>
      <c r="AH48" t="s">
        <v>46</v>
      </c>
      <c r="AI48" t="s">
        <v>173</v>
      </c>
      <c r="AL48" t="s">
        <v>289</v>
      </c>
      <c r="AN48" t="s">
        <v>290</v>
      </c>
      <c r="AQ48" s="8" t="s">
        <v>142</v>
      </c>
      <c r="AR48" t="s">
        <v>75</v>
      </c>
      <c r="AS48" s="2">
        <v>8</v>
      </c>
      <c r="AT48">
        <v>6</v>
      </c>
      <c r="AU48">
        <v>2</v>
      </c>
      <c r="AV48">
        <v>2</v>
      </c>
      <c r="AW48">
        <f t="shared" si="26"/>
        <v>2</v>
      </c>
      <c r="AX48">
        <v>5</v>
      </c>
      <c r="AY48">
        <v>5</v>
      </c>
      <c r="AZ48">
        <f t="shared" si="27"/>
        <v>0</v>
      </c>
      <c r="BB48" t="s">
        <v>160</v>
      </c>
      <c r="BC48" t="s">
        <v>39</v>
      </c>
      <c r="BD48" t="s">
        <v>295</v>
      </c>
      <c r="BF48" t="s">
        <v>295</v>
      </c>
      <c r="BG48" t="s">
        <v>31</v>
      </c>
      <c r="BH48" t="s">
        <v>160</v>
      </c>
    </row>
    <row r="49" spans="9:60" x14ac:dyDescent="0.3">
      <c r="I49" t="s">
        <v>118</v>
      </c>
      <c r="R49" t="s">
        <v>144</v>
      </c>
      <c r="S49" t="s">
        <v>175</v>
      </c>
      <c r="T49" s="2">
        <v>6</v>
      </c>
      <c r="U49">
        <v>6</v>
      </c>
      <c r="V49">
        <v>2</v>
      </c>
      <c r="W49">
        <v>0</v>
      </c>
      <c r="X49">
        <f t="shared" si="24"/>
        <v>4</v>
      </c>
      <c r="Y49">
        <v>7</v>
      </c>
      <c r="Z49">
        <v>8</v>
      </c>
      <c r="AA49">
        <f t="shared" si="25"/>
        <v>-1</v>
      </c>
      <c r="AE49" t="s">
        <v>216</v>
      </c>
      <c r="AI49" t="s">
        <v>219</v>
      </c>
      <c r="AQ49" t="s">
        <v>144</v>
      </c>
      <c r="AR49" t="s">
        <v>245</v>
      </c>
      <c r="AS49" s="2">
        <v>4</v>
      </c>
      <c r="AT49">
        <v>6</v>
      </c>
      <c r="AU49">
        <v>1</v>
      </c>
      <c r="AV49">
        <v>1</v>
      </c>
      <c r="AW49">
        <f t="shared" si="26"/>
        <v>4</v>
      </c>
      <c r="AX49">
        <v>7</v>
      </c>
      <c r="AY49">
        <v>9</v>
      </c>
      <c r="AZ49">
        <f t="shared" si="27"/>
        <v>-2</v>
      </c>
      <c r="BD49" t="s">
        <v>350</v>
      </c>
      <c r="BF49" t="s">
        <v>352</v>
      </c>
    </row>
    <row r="50" spans="9:60" x14ac:dyDescent="0.3">
      <c r="I50" t="s">
        <v>78</v>
      </c>
      <c r="J50" t="s">
        <v>26</v>
      </c>
      <c r="K50" t="s">
        <v>59</v>
      </c>
      <c r="M50" t="s">
        <v>59</v>
      </c>
      <c r="N50" t="s">
        <v>91</v>
      </c>
      <c r="O50" t="s">
        <v>78</v>
      </c>
      <c r="AE50" t="s">
        <v>217</v>
      </c>
      <c r="AI50" t="s">
        <v>218</v>
      </c>
      <c r="AL50" t="s">
        <v>260</v>
      </c>
      <c r="AM50" t="s">
        <v>28</v>
      </c>
      <c r="AN50" t="s">
        <v>261</v>
      </c>
      <c r="BD50" t="s">
        <v>351</v>
      </c>
    </row>
    <row r="51" spans="9:60" x14ac:dyDescent="0.3">
      <c r="K51" t="s">
        <v>87</v>
      </c>
      <c r="M51" t="s">
        <v>69</v>
      </c>
      <c r="R51" t="s">
        <v>151</v>
      </c>
      <c r="AL51" t="s">
        <v>291</v>
      </c>
      <c r="AQ51" t="s">
        <v>151</v>
      </c>
    </row>
    <row r="52" spans="9:60" x14ac:dyDescent="0.3">
      <c r="M52" t="s">
        <v>119</v>
      </c>
      <c r="R52" t="s">
        <v>130</v>
      </c>
      <c r="S52" t="s">
        <v>131</v>
      </c>
      <c r="T52" t="s">
        <v>132</v>
      </c>
      <c r="U52" t="s">
        <v>133</v>
      </c>
      <c r="V52" t="s">
        <v>134</v>
      </c>
      <c r="W52" t="s">
        <v>135</v>
      </c>
      <c r="X52" t="s">
        <v>136</v>
      </c>
      <c r="Y52" t="s">
        <v>137</v>
      </c>
      <c r="Z52" t="s">
        <v>138</v>
      </c>
      <c r="AA52" t="s">
        <v>139</v>
      </c>
      <c r="AC52" t="s">
        <v>166</v>
      </c>
      <c r="AD52" t="s">
        <v>27</v>
      </c>
      <c r="AE52" t="s">
        <v>170</v>
      </c>
      <c r="AG52" t="s">
        <v>170</v>
      </c>
      <c r="AH52" t="s">
        <v>222</v>
      </c>
      <c r="AI52" t="s">
        <v>166</v>
      </c>
      <c r="AL52" t="s">
        <v>292</v>
      </c>
      <c r="AQ52" t="s">
        <v>130</v>
      </c>
      <c r="AR52" t="s">
        <v>131</v>
      </c>
      <c r="AS52" t="s">
        <v>132</v>
      </c>
      <c r="AT52" t="s">
        <v>133</v>
      </c>
      <c r="AU52" t="s">
        <v>134</v>
      </c>
      <c r="AV52" t="s">
        <v>135</v>
      </c>
      <c r="AW52" t="s">
        <v>136</v>
      </c>
      <c r="AX52" t="s">
        <v>137</v>
      </c>
      <c r="AY52" t="s">
        <v>138</v>
      </c>
      <c r="AZ52" t="s">
        <v>139</v>
      </c>
      <c r="BB52" t="s">
        <v>233</v>
      </c>
      <c r="BC52" t="s">
        <v>28</v>
      </c>
      <c r="BD52" t="s">
        <v>243</v>
      </c>
      <c r="BF52" t="s">
        <v>243</v>
      </c>
      <c r="BG52" t="s">
        <v>31</v>
      </c>
      <c r="BH52" t="s">
        <v>233</v>
      </c>
    </row>
    <row r="53" spans="9:60" x14ac:dyDescent="0.3">
      <c r="R53" s="1" t="s">
        <v>140</v>
      </c>
      <c r="S53" t="s">
        <v>176</v>
      </c>
      <c r="T53" s="2">
        <v>13</v>
      </c>
      <c r="U53">
        <v>6</v>
      </c>
      <c r="V53">
        <v>4</v>
      </c>
      <c r="W53">
        <v>1</v>
      </c>
      <c r="X53">
        <f t="shared" ref="X53:X56" si="28">U53-V53-W53</f>
        <v>1</v>
      </c>
      <c r="Y53">
        <v>9</v>
      </c>
      <c r="Z53">
        <v>6</v>
      </c>
      <c r="AA53">
        <f t="shared" ref="AA53:AA56" si="29">Y53-Z53</f>
        <v>3</v>
      </c>
      <c r="AC53" t="s">
        <v>220</v>
      </c>
      <c r="AE53" t="s">
        <v>221</v>
      </c>
      <c r="AG53" t="s">
        <v>223</v>
      </c>
      <c r="AI53" t="s">
        <v>225</v>
      </c>
      <c r="AQ53" s="1" t="s">
        <v>140</v>
      </c>
      <c r="AR53" t="s">
        <v>260</v>
      </c>
      <c r="AS53" s="2">
        <v>12</v>
      </c>
      <c r="AT53">
        <v>6</v>
      </c>
      <c r="AU53">
        <v>4</v>
      </c>
      <c r="AV53">
        <v>0</v>
      </c>
      <c r="AW53">
        <f t="shared" ref="AW53:AW56" si="30">AT53-AU53-AV53</f>
        <v>2</v>
      </c>
      <c r="AX53">
        <v>10</v>
      </c>
      <c r="AY53">
        <v>5</v>
      </c>
      <c r="AZ53">
        <f t="shared" ref="AZ53:AZ56" si="31">AX53-AY53</f>
        <v>5</v>
      </c>
      <c r="BB53" t="s">
        <v>353</v>
      </c>
      <c r="BF53" t="s">
        <v>355</v>
      </c>
    </row>
    <row r="54" spans="9:60" x14ac:dyDescent="0.3">
      <c r="I54" t="s">
        <v>77</v>
      </c>
      <c r="J54" t="s">
        <v>27</v>
      </c>
      <c r="K54" t="s">
        <v>80</v>
      </c>
      <c r="M54" t="s">
        <v>80</v>
      </c>
      <c r="N54" t="s">
        <v>121</v>
      </c>
      <c r="O54" t="s">
        <v>77</v>
      </c>
      <c r="R54" s="3" t="s">
        <v>141</v>
      </c>
      <c r="S54" t="s">
        <v>177</v>
      </c>
      <c r="T54" s="2">
        <v>8</v>
      </c>
      <c r="U54">
        <v>6</v>
      </c>
      <c r="V54">
        <v>2</v>
      </c>
      <c r="W54">
        <v>2</v>
      </c>
      <c r="X54">
        <f t="shared" si="28"/>
        <v>2</v>
      </c>
      <c r="Y54">
        <v>6</v>
      </c>
      <c r="Z54">
        <v>5</v>
      </c>
      <c r="AA54">
        <f t="shared" si="29"/>
        <v>1</v>
      </c>
      <c r="AG54" t="s">
        <v>224</v>
      </c>
      <c r="AI54" t="s">
        <v>226</v>
      </c>
      <c r="AQ54" s="4" t="s">
        <v>141</v>
      </c>
      <c r="AR54" t="s">
        <v>235</v>
      </c>
      <c r="AS54" s="2">
        <v>8</v>
      </c>
      <c r="AT54">
        <v>6</v>
      </c>
      <c r="AU54">
        <v>2</v>
      </c>
      <c r="AV54">
        <v>2</v>
      </c>
      <c r="AW54">
        <f t="shared" si="30"/>
        <v>2</v>
      </c>
      <c r="AX54">
        <v>7</v>
      </c>
      <c r="AY54">
        <v>9</v>
      </c>
      <c r="AZ54">
        <f t="shared" si="31"/>
        <v>-2</v>
      </c>
      <c r="BB54" t="s">
        <v>354</v>
      </c>
    </row>
    <row r="55" spans="9:60" x14ac:dyDescent="0.3">
      <c r="I55" t="s">
        <v>120</v>
      </c>
      <c r="K55" t="s">
        <v>93</v>
      </c>
      <c r="R55" s="5" t="s">
        <v>142</v>
      </c>
      <c r="S55" t="s">
        <v>50</v>
      </c>
      <c r="T55" s="2">
        <v>7</v>
      </c>
      <c r="U55">
        <v>6</v>
      </c>
      <c r="V55">
        <v>2</v>
      </c>
      <c r="W55">
        <v>1</v>
      </c>
      <c r="X55">
        <f t="shared" si="28"/>
        <v>3</v>
      </c>
      <c r="Y55">
        <v>6</v>
      </c>
      <c r="Z55">
        <v>7</v>
      </c>
      <c r="AA55">
        <f t="shared" si="29"/>
        <v>-1</v>
      </c>
      <c r="AG55" s="3" t="s">
        <v>187</v>
      </c>
      <c r="AI55" s="3" t="s">
        <v>215</v>
      </c>
      <c r="AQ55" s="8" t="s">
        <v>142</v>
      </c>
      <c r="AR55" t="s">
        <v>78</v>
      </c>
      <c r="AS55" s="2">
        <v>7</v>
      </c>
      <c r="AT55">
        <v>6</v>
      </c>
      <c r="AU55">
        <v>2</v>
      </c>
      <c r="AV55">
        <v>1</v>
      </c>
      <c r="AW55">
        <f t="shared" si="30"/>
        <v>3</v>
      </c>
      <c r="AX55">
        <v>6</v>
      </c>
      <c r="AY55">
        <v>6</v>
      </c>
      <c r="AZ55">
        <f t="shared" si="31"/>
        <v>0</v>
      </c>
    </row>
    <row r="56" spans="9:60" x14ac:dyDescent="0.3">
      <c r="R56" t="s">
        <v>144</v>
      </c>
      <c r="S56" t="s">
        <v>77</v>
      </c>
      <c r="T56" s="2">
        <v>5</v>
      </c>
      <c r="U56">
        <v>6</v>
      </c>
      <c r="V56">
        <v>1</v>
      </c>
      <c r="W56">
        <v>2</v>
      </c>
      <c r="X56">
        <f t="shared" si="28"/>
        <v>3</v>
      </c>
      <c r="Y56">
        <v>2</v>
      </c>
      <c r="Z56">
        <v>5</v>
      </c>
      <c r="AA56">
        <f t="shared" si="29"/>
        <v>-3</v>
      </c>
      <c r="AG56" s="3" t="s">
        <v>209</v>
      </c>
      <c r="AI56" s="3" t="s">
        <v>227</v>
      </c>
      <c r="AQ56" t="s">
        <v>144</v>
      </c>
      <c r="AR56" t="s">
        <v>304</v>
      </c>
      <c r="AS56" s="2">
        <v>7</v>
      </c>
      <c r="AT56">
        <v>6</v>
      </c>
      <c r="AU56">
        <v>2</v>
      </c>
      <c r="AV56">
        <v>1</v>
      </c>
      <c r="AW56">
        <f t="shared" si="30"/>
        <v>3</v>
      </c>
      <c r="AX56">
        <v>7</v>
      </c>
      <c r="AY56">
        <v>10</v>
      </c>
      <c r="AZ56">
        <f t="shared" si="31"/>
        <v>-3</v>
      </c>
      <c r="BB56" t="s">
        <v>253</v>
      </c>
      <c r="BC56" t="s">
        <v>46</v>
      </c>
      <c r="BD56" t="s">
        <v>293</v>
      </c>
      <c r="BF56" t="s">
        <v>293</v>
      </c>
      <c r="BG56" t="s">
        <v>23</v>
      </c>
      <c r="BH56" t="s">
        <v>253</v>
      </c>
    </row>
    <row r="57" spans="9:60" x14ac:dyDescent="0.3">
      <c r="I57" t="s">
        <v>84</v>
      </c>
      <c r="J57" t="s">
        <v>39</v>
      </c>
      <c r="K57" t="s">
        <v>81</v>
      </c>
      <c r="M57" t="s">
        <v>81</v>
      </c>
      <c r="N57" t="s">
        <v>31</v>
      </c>
      <c r="O57" t="s">
        <v>84</v>
      </c>
      <c r="AG57" s="3" t="s">
        <v>199</v>
      </c>
      <c r="AI57" s="6" t="s">
        <v>228</v>
      </c>
      <c r="BD57" t="s">
        <v>356</v>
      </c>
      <c r="BF57" t="s">
        <v>359</v>
      </c>
      <c r="BH57" t="s">
        <v>360</v>
      </c>
    </row>
    <row r="58" spans="9:60" x14ac:dyDescent="0.3">
      <c r="K58" t="s">
        <v>122</v>
      </c>
      <c r="M58" t="s">
        <v>123</v>
      </c>
      <c r="AG58" s="3" t="s">
        <v>212</v>
      </c>
      <c r="AI58" s="6" t="s">
        <v>214</v>
      </c>
      <c r="BD58" t="s">
        <v>357</v>
      </c>
    </row>
    <row r="59" spans="9:60" x14ac:dyDescent="0.3">
      <c r="K59" t="s">
        <v>95</v>
      </c>
      <c r="BD59" t="s">
        <v>358</v>
      </c>
    </row>
    <row r="60" spans="9:60" x14ac:dyDescent="0.3">
      <c r="AC60" t="s">
        <v>45</v>
      </c>
    </row>
    <row r="61" spans="9:60" x14ac:dyDescent="0.3">
      <c r="I61" t="s">
        <v>75</v>
      </c>
      <c r="J61" t="s">
        <v>39</v>
      </c>
      <c r="K61" t="s">
        <v>82</v>
      </c>
      <c r="M61" t="s">
        <v>82</v>
      </c>
      <c r="N61" t="s">
        <v>91</v>
      </c>
      <c r="O61" t="s">
        <v>75</v>
      </c>
      <c r="AC61" t="s">
        <v>173</v>
      </c>
      <c r="AD61" t="s">
        <v>39</v>
      </c>
      <c r="AE61" t="s">
        <v>170</v>
      </c>
      <c r="BB61" t="s">
        <v>258</v>
      </c>
      <c r="BC61" t="s">
        <v>31</v>
      </c>
      <c r="BD61" t="s">
        <v>260</v>
      </c>
      <c r="BF61" t="s">
        <v>260</v>
      </c>
      <c r="BG61" t="s">
        <v>29</v>
      </c>
      <c r="BH61" t="s">
        <v>258</v>
      </c>
    </row>
    <row r="62" spans="9:60" x14ac:dyDescent="0.3">
      <c r="K62" t="s">
        <v>124</v>
      </c>
      <c r="M62" t="s">
        <v>126</v>
      </c>
      <c r="AE62" t="s">
        <v>229</v>
      </c>
      <c r="BB62" t="s">
        <v>289</v>
      </c>
      <c r="BF62" t="s">
        <v>361</v>
      </c>
      <c r="BH62" t="s">
        <v>289</v>
      </c>
    </row>
    <row r="63" spans="9:60" x14ac:dyDescent="0.3">
      <c r="K63" t="s">
        <v>125</v>
      </c>
      <c r="M63" t="s">
        <v>127</v>
      </c>
      <c r="AE63" t="s">
        <v>230</v>
      </c>
      <c r="BF63" t="s">
        <v>362</v>
      </c>
    </row>
    <row r="64" spans="9:60" x14ac:dyDescent="0.3">
      <c r="BF64" t="s">
        <v>291</v>
      </c>
    </row>
    <row r="66" spans="54:60" x14ac:dyDescent="0.3">
      <c r="BB66" t="s">
        <v>49</v>
      </c>
      <c r="BC66" t="s">
        <v>39</v>
      </c>
      <c r="BD66" t="s">
        <v>302</v>
      </c>
      <c r="BF66" t="s">
        <v>302</v>
      </c>
      <c r="BG66" t="s">
        <v>31</v>
      </c>
      <c r="BH66" t="s">
        <v>49</v>
      </c>
    </row>
    <row r="67" spans="54:60" x14ac:dyDescent="0.3">
      <c r="BD67" t="s">
        <v>363</v>
      </c>
      <c r="BF67" t="s">
        <v>365</v>
      </c>
    </row>
    <row r="68" spans="54:60" x14ac:dyDescent="0.3">
      <c r="BD68" t="s">
        <v>364</v>
      </c>
    </row>
    <row r="70" spans="54:60" x14ac:dyDescent="0.3">
      <c r="BB70" t="s">
        <v>38</v>
      </c>
    </row>
    <row r="71" spans="54:60" x14ac:dyDescent="0.3">
      <c r="BB71" t="s">
        <v>239</v>
      </c>
      <c r="BC71" t="s">
        <v>26</v>
      </c>
      <c r="BD71" t="s">
        <v>236</v>
      </c>
      <c r="BF71" t="s">
        <v>236</v>
      </c>
      <c r="BG71" t="s">
        <v>367</v>
      </c>
      <c r="BH71" t="s">
        <v>239</v>
      </c>
    </row>
    <row r="72" spans="54:60" x14ac:dyDescent="0.3">
      <c r="BD72" t="s">
        <v>366</v>
      </c>
      <c r="BH72" t="s">
        <v>344</v>
      </c>
    </row>
    <row r="74" spans="54:60" x14ac:dyDescent="0.3">
      <c r="BB74" t="s">
        <v>174</v>
      </c>
      <c r="BC74" t="s">
        <v>31</v>
      </c>
      <c r="BD74" t="s">
        <v>295</v>
      </c>
      <c r="BF74" t="s">
        <v>295</v>
      </c>
      <c r="BG74" t="s">
        <v>41</v>
      </c>
      <c r="BH74" t="s">
        <v>174</v>
      </c>
    </row>
    <row r="75" spans="54:60" x14ac:dyDescent="0.3">
      <c r="BB75" t="s">
        <v>368</v>
      </c>
    </row>
    <row r="77" spans="54:60" x14ac:dyDescent="0.3">
      <c r="BB77" t="s">
        <v>233</v>
      </c>
      <c r="BC77" t="s">
        <v>31</v>
      </c>
      <c r="BD77" t="s">
        <v>293</v>
      </c>
      <c r="BF77" t="s">
        <v>293</v>
      </c>
      <c r="BG77" t="s">
        <v>374</v>
      </c>
      <c r="BH77" t="s">
        <v>233</v>
      </c>
    </row>
    <row r="78" spans="54:60" x14ac:dyDescent="0.3">
      <c r="BB78" t="s">
        <v>369</v>
      </c>
      <c r="BF78" t="s">
        <v>370</v>
      </c>
      <c r="BH78" t="s">
        <v>372</v>
      </c>
    </row>
    <row r="79" spans="54:60" x14ac:dyDescent="0.3">
      <c r="BF79" t="s">
        <v>371</v>
      </c>
      <c r="BH79" t="s">
        <v>373</v>
      </c>
    </row>
    <row r="81" spans="54:60" x14ac:dyDescent="0.3">
      <c r="BB81" t="s">
        <v>260</v>
      </c>
      <c r="BC81" t="s">
        <v>26</v>
      </c>
      <c r="BD81" t="s">
        <v>302</v>
      </c>
      <c r="BF81" t="s">
        <v>302</v>
      </c>
      <c r="BG81" t="s">
        <v>375</v>
      </c>
      <c r="BH81" t="s">
        <v>260</v>
      </c>
    </row>
    <row r="82" spans="54:60" x14ac:dyDescent="0.3">
      <c r="BD82" t="s">
        <v>365</v>
      </c>
      <c r="BH82" t="s">
        <v>291</v>
      </c>
    </row>
    <row r="84" spans="54:60" x14ac:dyDescent="0.3">
      <c r="BB84" t="s">
        <v>42</v>
      </c>
    </row>
    <row r="85" spans="54:60" x14ac:dyDescent="0.3">
      <c r="BB85" t="s">
        <v>174</v>
      </c>
      <c r="BC85" t="s">
        <v>39</v>
      </c>
      <c r="BD85" t="s">
        <v>239</v>
      </c>
      <c r="BF85" t="s">
        <v>239</v>
      </c>
      <c r="BG85" t="s">
        <v>26</v>
      </c>
      <c r="BH85" t="s">
        <v>174</v>
      </c>
    </row>
    <row r="86" spans="54:60" x14ac:dyDescent="0.3">
      <c r="BD86" t="s">
        <v>376</v>
      </c>
      <c r="BH86" t="s">
        <v>377</v>
      </c>
    </row>
    <row r="88" spans="54:60" x14ac:dyDescent="0.3">
      <c r="BB88" t="s">
        <v>233</v>
      </c>
      <c r="BC88" t="s">
        <v>31</v>
      </c>
      <c r="BD88" t="s">
        <v>260</v>
      </c>
      <c r="BF88" t="s">
        <v>260</v>
      </c>
      <c r="BG88" t="s">
        <v>383</v>
      </c>
      <c r="BH88" t="s">
        <v>233</v>
      </c>
    </row>
    <row r="89" spans="54:60" x14ac:dyDescent="0.3">
      <c r="BB89" t="s">
        <v>380</v>
      </c>
      <c r="BF89" t="s">
        <v>381</v>
      </c>
      <c r="BH89" t="s">
        <v>379</v>
      </c>
    </row>
    <row r="90" spans="54:60" x14ac:dyDescent="0.3">
      <c r="BF90" t="s">
        <v>382</v>
      </c>
    </row>
    <row r="91" spans="54:60" x14ac:dyDescent="0.3">
      <c r="BF91" s="3" t="s">
        <v>291</v>
      </c>
      <c r="BH91" s="3" t="s">
        <v>354</v>
      </c>
    </row>
    <row r="92" spans="54:60" x14ac:dyDescent="0.3">
      <c r="BF92" s="3" t="s">
        <v>292</v>
      </c>
      <c r="BH92" s="6" t="s">
        <v>324</v>
      </c>
    </row>
    <row r="93" spans="54:60" x14ac:dyDescent="0.3">
      <c r="BF93" s="3" t="s">
        <v>361</v>
      </c>
      <c r="BH93" s="3" t="s">
        <v>385</v>
      </c>
    </row>
    <row r="94" spans="54:60" x14ac:dyDescent="0.3">
      <c r="BF94" s="3" t="s">
        <v>384</v>
      </c>
      <c r="BH94" s="6" t="s">
        <v>386</v>
      </c>
    </row>
    <row r="96" spans="54:60" x14ac:dyDescent="0.3">
      <c r="BB96" t="s">
        <v>45</v>
      </c>
    </row>
    <row r="97" spans="54:56" x14ac:dyDescent="0.3">
      <c r="BB97" t="s">
        <v>260</v>
      </c>
      <c r="BC97" t="s">
        <v>387</v>
      </c>
      <c r="BD97" t="s">
        <v>239</v>
      </c>
    </row>
    <row r="98" spans="54:56" x14ac:dyDescent="0.3">
      <c r="BB98" t="s">
        <v>388</v>
      </c>
      <c r="BD98" t="s">
        <v>389</v>
      </c>
    </row>
    <row r="99" spans="54:56" x14ac:dyDescent="0.3">
      <c r="BB99" s="3" t="s">
        <v>291</v>
      </c>
      <c r="BD99" s="6" t="s">
        <v>345</v>
      </c>
    </row>
    <row r="100" spans="54:56" x14ac:dyDescent="0.3">
      <c r="BB100" s="3" t="s">
        <v>292</v>
      </c>
      <c r="BD100" s="3" t="s">
        <v>391</v>
      </c>
    </row>
    <row r="101" spans="54:56" x14ac:dyDescent="0.3">
      <c r="BB101" s="3" t="s">
        <v>361</v>
      </c>
      <c r="BD101" s="6" t="s">
        <v>392</v>
      </c>
    </row>
    <row r="102" spans="54:56" x14ac:dyDescent="0.3">
      <c r="BB102" s="3" t="s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5F96-12C1-4BC9-ADE2-FD4B81629346}">
  <dimension ref="A1:M34"/>
  <sheetViews>
    <sheetView workbookViewId="0">
      <selection activeCell="M3" sqref="M3"/>
    </sheetView>
  </sheetViews>
  <sheetFormatPr defaultRowHeight="14.4" x14ac:dyDescent="0.3"/>
  <sheetData>
    <row r="1" spans="1:13" x14ac:dyDescent="0.3">
      <c r="A1" t="s">
        <v>394</v>
      </c>
      <c r="L1" t="s">
        <v>411</v>
      </c>
    </row>
    <row r="2" spans="1:13" x14ac:dyDescent="0.3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L2" t="s">
        <v>401</v>
      </c>
      <c r="M2">
        <v>1</v>
      </c>
    </row>
    <row r="3" spans="1:13" x14ac:dyDescent="0.3">
      <c r="A3" s="1" t="s">
        <v>140</v>
      </c>
      <c r="B3" t="s">
        <v>399</v>
      </c>
      <c r="C3" s="2">
        <f>E3*3+F3</f>
        <v>24</v>
      </c>
      <c r="D3">
        <v>14</v>
      </c>
      <c r="E3">
        <v>7</v>
      </c>
      <c r="F3">
        <v>3</v>
      </c>
      <c r="G3">
        <f t="shared" ref="G3" si="0">D3-E3-F3</f>
        <v>4</v>
      </c>
      <c r="H3">
        <v>23</v>
      </c>
      <c r="I3">
        <v>14</v>
      </c>
      <c r="J3">
        <f t="shared" ref="J3:J10" si="1">H3-I3</f>
        <v>9</v>
      </c>
    </row>
    <row r="4" spans="1:13" x14ac:dyDescent="0.3">
      <c r="A4" s="3" t="s">
        <v>141</v>
      </c>
      <c r="B4" t="s">
        <v>400</v>
      </c>
      <c r="C4" s="2">
        <f t="shared" ref="C4:C10" si="2">E4*3+F4</f>
        <v>21</v>
      </c>
      <c r="D4">
        <v>14</v>
      </c>
      <c r="E4">
        <v>6</v>
      </c>
      <c r="F4">
        <v>3</v>
      </c>
      <c r="G4">
        <f>D4-E4-F4</f>
        <v>5</v>
      </c>
      <c r="H4">
        <v>20</v>
      </c>
      <c r="I4">
        <v>17</v>
      </c>
      <c r="J4">
        <f t="shared" si="1"/>
        <v>3</v>
      </c>
    </row>
    <row r="5" spans="1:13" x14ac:dyDescent="0.3">
      <c r="A5" s="3" t="s">
        <v>142</v>
      </c>
      <c r="B5" t="s">
        <v>401</v>
      </c>
      <c r="C5" s="2">
        <f t="shared" si="2"/>
        <v>21</v>
      </c>
      <c r="D5">
        <v>14</v>
      </c>
      <c r="E5">
        <v>6</v>
      </c>
      <c r="F5">
        <v>3</v>
      </c>
      <c r="G5">
        <f t="shared" ref="G5:G10" si="3">D5-E5-F5</f>
        <v>5</v>
      </c>
      <c r="H5">
        <v>16</v>
      </c>
      <c r="I5">
        <v>18</v>
      </c>
      <c r="J5">
        <f t="shared" si="1"/>
        <v>-2</v>
      </c>
    </row>
    <row r="6" spans="1:13" x14ac:dyDescent="0.3">
      <c r="A6" s="3" t="s">
        <v>144</v>
      </c>
      <c r="B6" t="s">
        <v>402</v>
      </c>
      <c r="C6" s="2">
        <f t="shared" si="2"/>
        <v>20</v>
      </c>
      <c r="D6">
        <v>14</v>
      </c>
      <c r="E6">
        <v>6</v>
      </c>
      <c r="F6">
        <v>2</v>
      </c>
      <c r="G6">
        <f t="shared" si="3"/>
        <v>6</v>
      </c>
      <c r="H6">
        <v>22</v>
      </c>
      <c r="I6">
        <v>19</v>
      </c>
      <c r="J6">
        <f t="shared" si="1"/>
        <v>3</v>
      </c>
    </row>
    <row r="7" spans="1:13" x14ac:dyDescent="0.3">
      <c r="A7" s="9" t="s">
        <v>395</v>
      </c>
      <c r="B7" t="s">
        <v>403</v>
      </c>
      <c r="C7" s="2">
        <f t="shared" si="2"/>
        <v>20</v>
      </c>
      <c r="D7">
        <v>14</v>
      </c>
      <c r="E7">
        <v>6</v>
      </c>
      <c r="F7">
        <v>2</v>
      </c>
      <c r="G7">
        <f t="shared" si="3"/>
        <v>6</v>
      </c>
      <c r="H7">
        <v>22</v>
      </c>
      <c r="I7">
        <v>24</v>
      </c>
      <c r="J7">
        <f t="shared" si="1"/>
        <v>-2</v>
      </c>
    </row>
    <row r="8" spans="1:13" x14ac:dyDescent="0.3">
      <c r="A8" s="9" t="s">
        <v>396</v>
      </c>
      <c r="B8" t="s">
        <v>404</v>
      </c>
      <c r="C8" s="2">
        <f t="shared" si="2"/>
        <v>19</v>
      </c>
      <c r="D8">
        <v>14</v>
      </c>
      <c r="E8">
        <v>5</v>
      </c>
      <c r="F8">
        <v>4</v>
      </c>
      <c r="G8">
        <f t="shared" si="3"/>
        <v>5</v>
      </c>
      <c r="H8">
        <v>20</v>
      </c>
      <c r="I8">
        <v>21</v>
      </c>
      <c r="J8">
        <f t="shared" si="1"/>
        <v>-1</v>
      </c>
    </row>
    <row r="9" spans="1:13" x14ac:dyDescent="0.3">
      <c r="A9" s="9" t="s">
        <v>397</v>
      </c>
      <c r="B9" t="s">
        <v>405</v>
      </c>
      <c r="C9" s="2">
        <f>E9*3+F9</f>
        <v>16</v>
      </c>
      <c r="D9">
        <v>14</v>
      </c>
      <c r="E9">
        <v>4</v>
      </c>
      <c r="F9">
        <v>4</v>
      </c>
      <c r="G9">
        <f t="shared" si="3"/>
        <v>6</v>
      </c>
      <c r="H9">
        <v>18</v>
      </c>
      <c r="I9">
        <v>22</v>
      </c>
      <c r="J9">
        <f t="shared" si="1"/>
        <v>-4</v>
      </c>
    </row>
    <row r="10" spans="1:13" x14ac:dyDescent="0.3">
      <c r="A10" s="9" t="s">
        <v>398</v>
      </c>
      <c r="B10" t="s">
        <v>406</v>
      </c>
      <c r="C10" s="2">
        <f t="shared" si="2"/>
        <v>15</v>
      </c>
      <c r="D10">
        <v>14</v>
      </c>
      <c r="E10">
        <v>4</v>
      </c>
      <c r="F10">
        <v>3</v>
      </c>
      <c r="G10">
        <f t="shared" si="3"/>
        <v>7</v>
      </c>
      <c r="H10">
        <v>19</v>
      </c>
      <c r="I10">
        <v>25</v>
      </c>
      <c r="J10">
        <f t="shared" si="1"/>
        <v>-6</v>
      </c>
    </row>
    <row r="12" spans="1:13" x14ac:dyDescent="0.3">
      <c r="A12" t="s">
        <v>407</v>
      </c>
    </row>
    <row r="13" spans="1:13" x14ac:dyDescent="0.3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</row>
    <row r="14" spans="1:13" x14ac:dyDescent="0.3">
      <c r="A14" s="1" t="s">
        <v>140</v>
      </c>
      <c r="B14" t="s">
        <v>399</v>
      </c>
      <c r="C14" s="2">
        <f>E14*3+F14</f>
        <v>6</v>
      </c>
      <c r="D14">
        <v>3</v>
      </c>
      <c r="E14">
        <v>2</v>
      </c>
      <c r="F14">
        <v>0</v>
      </c>
      <c r="G14">
        <f t="shared" ref="G14" si="4">D14-E14-F14</f>
        <v>1</v>
      </c>
      <c r="H14">
        <v>6</v>
      </c>
      <c r="I14">
        <v>4</v>
      </c>
      <c r="J14">
        <f t="shared" ref="J14:J17" si="5">H14-I14</f>
        <v>2</v>
      </c>
    </row>
    <row r="15" spans="1:13" x14ac:dyDescent="0.3">
      <c r="A15" s="3" t="s">
        <v>141</v>
      </c>
      <c r="B15" t="s">
        <v>400</v>
      </c>
      <c r="C15" s="2">
        <f t="shared" ref="C15:C17" si="6">E15*3+F15</f>
        <v>6</v>
      </c>
      <c r="D15">
        <v>3</v>
      </c>
      <c r="E15">
        <v>2</v>
      </c>
      <c r="F15">
        <v>0</v>
      </c>
      <c r="G15">
        <f>D15-E15-F15</f>
        <v>1</v>
      </c>
      <c r="H15">
        <v>4</v>
      </c>
      <c r="I15">
        <v>3</v>
      </c>
      <c r="J15">
        <f t="shared" si="5"/>
        <v>1</v>
      </c>
    </row>
    <row r="16" spans="1:13" x14ac:dyDescent="0.3">
      <c r="A16" s="3" t="s">
        <v>142</v>
      </c>
      <c r="B16" t="s">
        <v>401</v>
      </c>
      <c r="C16" s="2">
        <f t="shared" si="6"/>
        <v>6</v>
      </c>
      <c r="D16">
        <v>3</v>
      </c>
      <c r="E16">
        <v>2</v>
      </c>
      <c r="F16">
        <v>0</v>
      </c>
      <c r="G16">
        <f t="shared" ref="G16:G17" si="7">D16-E16-F16</f>
        <v>1</v>
      </c>
      <c r="H16">
        <v>4</v>
      </c>
      <c r="I16">
        <v>4</v>
      </c>
      <c r="J16">
        <f t="shared" si="5"/>
        <v>0</v>
      </c>
    </row>
    <row r="17" spans="1:10" x14ac:dyDescent="0.3">
      <c r="A17" s="4" t="s">
        <v>144</v>
      </c>
      <c r="B17" t="s">
        <v>402</v>
      </c>
      <c r="C17" s="2">
        <f t="shared" si="6"/>
        <v>0</v>
      </c>
      <c r="D17">
        <v>3</v>
      </c>
      <c r="E17">
        <v>0</v>
      </c>
      <c r="F17">
        <v>0</v>
      </c>
      <c r="G17">
        <f t="shared" si="7"/>
        <v>3</v>
      </c>
      <c r="H17">
        <v>1</v>
      </c>
      <c r="I17">
        <v>4</v>
      </c>
      <c r="J17">
        <f t="shared" si="5"/>
        <v>-3</v>
      </c>
    </row>
    <row r="19" spans="1:10" x14ac:dyDescent="0.3">
      <c r="A19" t="s">
        <v>408</v>
      </c>
    </row>
    <row r="20" spans="1:10" x14ac:dyDescent="0.3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139</v>
      </c>
    </row>
    <row r="21" spans="1:10" x14ac:dyDescent="0.3">
      <c r="A21" s="7" t="s">
        <v>140</v>
      </c>
      <c r="B21" t="s">
        <v>406</v>
      </c>
      <c r="C21" s="2">
        <f>E21*3+F21</f>
        <v>7</v>
      </c>
      <c r="D21">
        <v>3</v>
      </c>
      <c r="E21">
        <v>2</v>
      </c>
      <c r="F21">
        <v>1</v>
      </c>
      <c r="G21">
        <f t="shared" ref="G21" si="8">D21-E21-F21</f>
        <v>0</v>
      </c>
      <c r="H21">
        <v>4</v>
      </c>
      <c r="I21">
        <v>1</v>
      </c>
      <c r="J21">
        <f t="shared" ref="J21:J24" si="9">H21-I21</f>
        <v>3</v>
      </c>
    </row>
    <row r="22" spans="1:10" x14ac:dyDescent="0.3">
      <c r="A22" t="s">
        <v>141</v>
      </c>
      <c r="B22" t="s">
        <v>404</v>
      </c>
      <c r="C22" s="2">
        <f t="shared" ref="C22:C24" si="10">E22*3+F22</f>
        <v>6</v>
      </c>
      <c r="D22">
        <v>3</v>
      </c>
      <c r="E22">
        <v>2</v>
      </c>
      <c r="F22">
        <v>0</v>
      </c>
      <c r="G22">
        <f>D22-E22-F22</f>
        <v>1</v>
      </c>
      <c r="H22">
        <v>6</v>
      </c>
      <c r="I22">
        <v>5</v>
      </c>
      <c r="J22">
        <f t="shared" si="9"/>
        <v>1</v>
      </c>
    </row>
    <row r="23" spans="1:10" x14ac:dyDescent="0.3">
      <c r="A23" t="s">
        <v>142</v>
      </c>
      <c r="B23" t="s">
        <v>405</v>
      </c>
      <c r="C23" s="2">
        <f t="shared" si="10"/>
        <v>4</v>
      </c>
      <c r="D23">
        <v>3</v>
      </c>
      <c r="E23">
        <v>1</v>
      </c>
      <c r="F23">
        <v>1</v>
      </c>
      <c r="G23">
        <f t="shared" ref="G23:G24" si="11">D23-E23-F23</f>
        <v>1</v>
      </c>
      <c r="H23">
        <v>6</v>
      </c>
      <c r="I23">
        <v>6</v>
      </c>
      <c r="J23">
        <f t="shared" si="9"/>
        <v>0</v>
      </c>
    </row>
    <row r="24" spans="1:10" x14ac:dyDescent="0.3">
      <c r="A24" t="s">
        <v>144</v>
      </c>
      <c r="B24" t="s">
        <v>403</v>
      </c>
      <c r="C24" s="2">
        <f t="shared" si="10"/>
        <v>0</v>
      </c>
      <c r="D24">
        <v>3</v>
      </c>
      <c r="E24">
        <v>0</v>
      </c>
      <c r="F24">
        <v>0</v>
      </c>
      <c r="G24">
        <f t="shared" si="11"/>
        <v>3</v>
      </c>
      <c r="H24">
        <v>0</v>
      </c>
      <c r="I24">
        <v>4</v>
      </c>
      <c r="J24">
        <f t="shared" si="9"/>
        <v>-4</v>
      </c>
    </row>
    <row r="26" spans="1:10" x14ac:dyDescent="0.3">
      <c r="A26" t="s">
        <v>409</v>
      </c>
    </row>
    <row r="27" spans="1:10" x14ac:dyDescent="0.3">
      <c r="A27" t="str">
        <f>B17</f>
        <v>Bula FC</v>
      </c>
      <c r="B27" t="s">
        <v>28</v>
      </c>
      <c r="C27" t="str">
        <f>B21</f>
        <v>Vanuatu United</v>
      </c>
    </row>
    <row r="29" spans="1:10" x14ac:dyDescent="0.3">
      <c r="A29" t="s">
        <v>42</v>
      </c>
    </row>
    <row r="30" spans="1:10" x14ac:dyDescent="0.3">
      <c r="A30" t="str">
        <f>B14</f>
        <v>PNG Hekari</v>
      </c>
      <c r="B30" t="s">
        <v>26</v>
      </c>
      <c r="C30" t="s">
        <v>402</v>
      </c>
    </row>
    <row r="31" spans="1:10" x14ac:dyDescent="0.3">
      <c r="A31" t="str">
        <f>B15</f>
        <v>Auckland FC</v>
      </c>
      <c r="B31" t="s">
        <v>39</v>
      </c>
      <c r="C31" t="str">
        <f>B16</f>
        <v>South Melbourne</v>
      </c>
    </row>
    <row r="33" spans="1:3" x14ac:dyDescent="0.3">
      <c r="A33" t="s">
        <v>45</v>
      </c>
    </row>
    <row r="34" spans="1:3" x14ac:dyDescent="0.3">
      <c r="A34" t="s">
        <v>401</v>
      </c>
      <c r="B34" t="s">
        <v>410</v>
      </c>
      <c r="C34" t="s">
        <v>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CA1E-FA5E-4B0A-B9B6-CB8160489E07}">
  <dimension ref="A1:AB13"/>
  <sheetViews>
    <sheetView workbookViewId="0">
      <selection activeCell="C1" sqref="C1"/>
    </sheetView>
  </sheetViews>
  <sheetFormatPr defaultRowHeight="14.4" x14ac:dyDescent="0.3"/>
  <sheetData>
    <row r="1" spans="1:28" x14ac:dyDescent="0.3">
      <c r="A1" t="s">
        <v>412</v>
      </c>
      <c r="J1" t="s">
        <v>419</v>
      </c>
      <c r="R1" t="s">
        <v>429</v>
      </c>
      <c r="AA1" t="s">
        <v>393</v>
      </c>
    </row>
    <row r="2" spans="1:28" x14ac:dyDescent="0.3">
      <c r="A2" t="s">
        <v>38</v>
      </c>
      <c r="J2" t="s">
        <v>38</v>
      </c>
      <c r="R2" t="s">
        <v>38</v>
      </c>
      <c r="AA2" t="s">
        <v>413</v>
      </c>
      <c r="AB2">
        <v>2</v>
      </c>
    </row>
    <row r="3" spans="1:28" x14ac:dyDescent="0.3">
      <c r="A3" t="s">
        <v>413</v>
      </c>
      <c r="B3" t="s">
        <v>28</v>
      </c>
      <c r="C3" t="s">
        <v>78</v>
      </c>
      <c r="E3" t="s">
        <v>78</v>
      </c>
      <c r="F3" t="s">
        <v>41</v>
      </c>
      <c r="G3" t="s">
        <v>413</v>
      </c>
      <c r="J3" t="s">
        <v>420</v>
      </c>
      <c r="K3" t="s">
        <v>27</v>
      </c>
      <c r="L3" t="s">
        <v>421</v>
      </c>
      <c r="N3" t="s">
        <v>421</v>
      </c>
      <c r="O3" t="s">
        <v>428</v>
      </c>
      <c r="P3" t="s">
        <v>420</v>
      </c>
      <c r="R3" t="s">
        <v>430</v>
      </c>
      <c r="S3" t="s">
        <v>91</v>
      </c>
      <c r="T3" t="s">
        <v>437</v>
      </c>
      <c r="V3" t="s">
        <v>437</v>
      </c>
      <c r="W3" t="s">
        <v>27</v>
      </c>
      <c r="X3" t="s">
        <v>430</v>
      </c>
      <c r="AA3" t="s">
        <v>421</v>
      </c>
      <c r="AB3">
        <v>1</v>
      </c>
    </row>
    <row r="4" spans="1:28" x14ac:dyDescent="0.3">
      <c r="A4" t="s">
        <v>414</v>
      </c>
      <c r="B4" t="s">
        <v>30</v>
      </c>
      <c r="C4" t="s">
        <v>415</v>
      </c>
      <c r="E4" t="s">
        <v>415</v>
      </c>
      <c r="F4" t="s">
        <v>31</v>
      </c>
      <c r="G4" t="s">
        <v>414</v>
      </c>
      <c r="J4" t="s">
        <v>422</v>
      </c>
      <c r="K4" t="s">
        <v>91</v>
      </c>
      <c r="L4" t="s">
        <v>425</v>
      </c>
      <c r="N4" t="s">
        <v>425</v>
      </c>
      <c r="O4" t="s">
        <v>39</v>
      </c>
      <c r="P4" t="s">
        <v>422</v>
      </c>
      <c r="R4" t="s">
        <v>431</v>
      </c>
      <c r="S4" t="s">
        <v>91</v>
      </c>
      <c r="T4" t="s">
        <v>436</v>
      </c>
      <c r="V4" t="s">
        <v>436</v>
      </c>
      <c r="W4" t="s">
        <v>438</v>
      </c>
      <c r="X4" t="s">
        <v>431</v>
      </c>
      <c r="AA4" t="s">
        <v>430</v>
      </c>
      <c r="AB4">
        <v>1</v>
      </c>
    </row>
    <row r="5" spans="1:28" x14ac:dyDescent="0.3">
      <c r="A5" t="s">
        <v>74</v>
      </c>
      <c r="B5" t="s">
        <v>39</v>
      </c>
      <c r="C5" t="s">
        <v>416</v>
      </c>
      <c r="E5" t="s">
        <v>416</v>
      </c>
      <c r="F5" t="s">
        <v>26</v>
      </c>
      <c r="G5" t="s">
        <v>74</v>
      </c>
      <c r="J5" t="s">
        <v>423</v>
      </c>
      <c r="K5" t="s">
        <v>27</v>
      </c>
      <c r="L5" t="s">
        <v>426</v>
      </c>
      <c r="N5" t="s">
        <v>426</v>
      </c>
      <c r="O5" t="s">
        <v>30</v>
      </c>
      <c r="P5" t="s">
        <v>423</v>
      </c>
      <c r="R5" t="s">
        <v>432</v>
      </c>
      <c r="S5" t="s">
        <v>91</v>
      </c>
      <c r="T5" t="s">
        <v>435</v>
      </c>
      <c r="V5" t="s">
        <v>435</v>
      </c>
      <c r="W5" t="s">
        <v>30</v>
      </c>
      <c r="X5" t="s">
        <v>432</v>
      </c>
    </row>
    <row r="6" spans="1:28" x14ac:dyDescent="0.3">
      <c r="A6" t="s">
        <v>417</v>
      </c>
      <c r="B6" t="s">
        <v>26</v>
      </c>
      <c r="C6" t="s">
        <v>418</v>
      </c>
      <c r="E6" t="s">
        <v>418</v>
      </c>
      <c r="F6" t="s">
        <v>31</v>
      </c>
      <c r="G6" t="s">
        <v>417</v>
      </c>
      <c r="J6" t="s">
        <v>424</v>
      </c>
      <c r="K6" t="s">
        <v>181</v>
      </c>
      <c r="L6" t="s">
        <v>427</v>
      </c>
      <c r="N6" t="s">
        <v>427</v>
      </c>
      <c r="O6" t="s">
        <v>27</v>
      </c>
      <c r="P6" t="s">
        <v>424</v>
      </c>
      <c r="R6" t="s">
        <v>433</v>
      </c>
      <c r="S6" t="s">
        <v>28</v>
      </c>
      <c r="T6" t="s">
        <v>434</v>
      </c>
      <c r="V6" t="s">
        <v>434</v>
      </c>
      <c r="W6" t="s">
        <v>181</v>
      </c>
      <c r="X6" t="s">
        <v>433</v>
      </c>
    </row>
    <row r="8" spans="1:28" x14ac:dyDescent="0.3">
      <c r="A8" t="s">
        <v>42</v>
      </c>
      <c r="J8" t="s">
        <v>42</v>
      </c>
      <c r="R8" t="s">
        <v>42</v>
      </c>
    </row>
    <row r="9" spans="1:28" x14ac:dyDescent="0.3">
      <c r="A9" t="s">
        <v>413</v>
      </c>
      <c r="B9" t="s">
        <v>28</v>
      </c>
      <c r="C9" t="s">
        <v>415</v>
      </c>
      <c r="E9" t="s">
        <v>415</v>
      </c>
      <c r="F9" t="s">
        <v>39</v>
      </c>
      <c r="G9" t="s">
        <v>413</v>
      </c>
      <c r="J9" t="s">
        <v>421</v>
      </c>
      <c r="K9" t="s">
        <v>91</v>
      </c>
      <c r="L9" t="s">
        <v>422</v>
      </c>
      <c r="N9" t="s">
        <v>422</v>
      </c>
      <c r="O9" t="s">
        <v>25</v>
      </c>
      <c r="P9" t="s">
        <v>421</v>
      </c>
      <c r="R9" t="s">
        <v>430</v>
      </c>
      <c r="S9" t="s">
        <v>28</v>
      </c>
      <c r="T9" t="s">
        <v>431</v>
      </c>
      <c r="V9" t="s">
        <v>431</v>
      </c>
      <c r="W9" t="s">
        <v>25</v>
      </c>
      <c r="X9" t="s">
        <v>430</v>
      </c>
    </row>
    <row r="10" spans="1:28" x14ac:dyDescent="0.3">
      <c r="A10" t="s">
        <v>416</v>
      </c>
      <c r="B10" t="s">
        <v>23</v>
      </c>
      <c r="C10" t="s">
        <v>418</v>
      </c>
      <c r="E10" t="s">
        <v>418</v>
      </c>
      <c r="F10" t="s">
        <v>29</v>
      </c>
      <c r="G10" t="s">
        <v>416</v>
      </c>
      <c r="J10" t="s">
        <v>423</v>
      </c>
      <c r="K10" t="s">
        <v>28</v>
      </c>
      <c r="L10" t="s">
        <v>427</v>
      </c>
      <c r="N10" t="s">
        <v>427</v>
      </c>
      <c r="O10" t="s">
        <v>41</v>
      </c>
      <c r="P10" t="s">
        <v>423</v>
      </c>
      <c r="R10" t="s">
        <v>432</v>
      </c>
      <c r="S10" t="s">
        <v>29</v>
      </c>
      <c r="T10" t="s">
        <v>433</v>
      </c>
      <c r="V10" t="s">
        <v>433</v>
      </c>
      <c r="W10" t="s">
        <v>41</v>
      </c>
      <c r="X10" t="s">
        <v>432</v>
      </c>
    </row>
    <row r="12" spans="1:28" x14ac:dyDescent="0.3">
      <c r="A12" t="s">
        <v>45</v>
      </c>
      <c r="J12" t="s">
        <v>45</v>
      </c>
      <c r="R12" t="s">
        <v>45</v>
      </c>
    </row>
    <row r="13" spans="1:28" x14ac:dyDescent="0.3">
      <c r="A13" t="s">
        <v>418</v>
      </c>
      <c r="B13" t="s">
        <v>26</v>
      </c>
      <c r="C13" t="s">
        <v>413</v>
      </c>
      <c r="J13" t="s">
        <v>423</v>
      </c>
      <c r="K13" t="s">
        <v>39</v>
      </c>
      <c r="L13" t="s">
        <v>421</v>
      </c>
      <c r="R13" t="s">
        <v>432</v>
      </c>
      <c r="S13" t="s">
        <v>181</v>
      </c>
      <c r="T13" t="s">
        <v>430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347C-E26B-43F9-ADAB-87737B7945A0}">
  <dimension ref="A1:G14"/>
  <sheetViews>
    <sheetView workbookViewId="0">
      <selection activeCell="G2" sqref="G2"/>
    </sheetView>
  </sheetViews>
  <sheetFormatPr defaultRowHeight="14.4" x14ac:dyDescent="0.3"/>
  <sheetData>
    <row r="1" spans="1:7" x14ac:dyDescent="0.3">
      <c r="A1" t="s">
        <v>478</v>
      </c>
      <c r="F1" t="s">
        <v>411</v>
      </c>
    </row>
    <row r="2" spans="1:7" x14ac:dyDescent="0.3">
      <c r="A2" t="s">
        <v>467</v>
      </c>
      <c r="B2" t="s">
        <v>30</v>
      </c>
      <c r="C2" t="s">
        <v>401</v>
      </c>
      <c r="F2" t="s">
        <v>413</v>
      </c>
      <c r="G2">
        <v>2</v>
      </c>
    </row>
    <row r="4" spans="1:7" x14ac:dyDescent="0.3">
      <c r="A4" t="s">
        <v>479</v>
      </c>
    </row>
    <row r="5" spans="1:7" x14ac:dyDescent="0.3">
      <c r="A5" t="s">
        <v>457</v>
      </c>
      <c r="B5" t="s">
        <v>26</v>
      </c>
      <c r="C5" t="s">
        <v>401</v>
      </c>
    </row>
    <row r="7" spans="1:7" x14ac:dyDescent="0.3">
      <c r="A7" t="s">
        <v>480</v>
      </c>
    </row>
    <row r="8" spans="1:7" x14ac:dyDescent="0.3">
      <c r="A8" t="s">
        <v>170</v>
      </c>
      <c r="B8" t="s">
        <v>28</v>
      </c>
      <c r="C8" t="s">
        <v>34</v>
      </c>
    </row>
    <row r="10" spans="1:7" x14ac:dyDescent="0.3">
      <c r="A10" t="s">
        <v>481</v>
      </c>
    </row>
    <row r="11" spans="1:7" x14ac:dyDescent="0.3">
      <c r="A11" t="s">
        <v>170</v>
      </c>
      <c r="B11" t="s">
        <v>39</v>
      </c>
      <c r="C11" t="s">
        <v>401</v>
      </c>
    </row>
    <row r="13" spans="1:7" x14ac:dyDescent="0.3">
      <c r="A13" t="s">
        <v>45</v>
      </c>
    </row>
    <row r="14" spans="1:7" x14ac:dyDescent="0.3">
      <c r="A14" t="s">
        <v>413</v>
      </c>
      <c r="B14" t="s">
        <v>91</v>
      </c>
      <c r="C1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AFC</vt:lpstr>
      <vt:lpstr>CAF</vt:lpstr>
      <vt:lpstr>Concacaf</vt:lpstr>
      <vt:lpstr>Conmebol</vt:lpstr>
      <vt:lpstr>OFC</vt:lpstr>
      <vt:lpstr>UEFA</vt:lpstr>
      <vt:lpstr>Intercontinental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2025-12-29T03:34:19Z</dcterms:created>
  <dcterms:modified xsi:type="dcterms:W3CDTF">2026-07-25T20:38:22Z</dcterms:modified>
</cp:coreProperties>
</file>