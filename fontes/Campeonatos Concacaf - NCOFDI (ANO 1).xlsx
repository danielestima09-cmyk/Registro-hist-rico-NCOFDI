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819527E9-7F79-4A38-B0C6-FA2EE6BBB817}" xr6:coauthVersionLast="47" xr6:coauthVersionMax="47" xr10:uidLastSave="{00000000-0000-0000-0000-000000000000}"/>
  <bookViews>
    <workbookView xWindow="-108" yWindow="-108" windowWidth="23256" windowHeight="13176" firstSheet="1" activeTab="8" xr2:uid="{F0479C75-25C7-47B9-8E10-D191C7A49476}"/>
  </bookViews>
  <sheets>
    <sheet name="Canadá" sheetId="1" r:id="rId1"/>
    <sheet name="Costa Rica" sheetId="5" r:id="rId2"/>
    <sheet name="Estados Unidos" sheetId="4" r:id="rId3"/>
    <sheet name="Guatemala" sheetId="6" r:id="rId4"/>
    <sheet name="Honduras" sheetId="7" r:id="rId5"/>
    <sheet name="Jamaica" sheetId="8" r:id="rId6"/>
    <sheet name="México" sheetId="9" r:id="rId7"/>
    <sheet name="Nicarágua" sheetId="10" r:id="rId8"/>
    <sheet name="Panamá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4" l="1"/>
  <c r="P27" i="4"/>
  <c r="N27" i="4"/>
  <c r="L27" i="4"/>
  <c r="L26" i="4"/>
  <c r="N26" i="4"/>
  <c r="P26" i="4"/>
  <c r="R26" i="4"/>
  <c r="R25" i="4"/>
  <c r="P25" i="4"/>
  <c r="N25" i="4"/>
  <c r="L25" i="4"/>
  <c r="L24" i="4"/>
  <c r="R24" i="4"/>
  <c r="P24" i="4"/>
  <c r="N24" i="4"/>
  <c r="N21" i="4"/>
  <c r="L21" i="4"/>
  <c r="N2" i="4"/>
  <c r="L2" i="4"/>
  <c r="N8" i="4"/>
  <c r="P8" i="4"/>
  <c r="R8" i="4"/>
  <c r="L8" i="4"/>
  <c r="R7" i="4"/>
  <c r="P7" i="4"/>
  <c r="N7" i="4"/>
  <c r="L7" i="4"/>
  <c r="R6" i="4"/>
  <c r="P6" i="4"/>
  <c r="N6" i="4"/>
  <c r="L6" i="4"/>
  <c r="R5" i="4"/>
  <c r="L5" i="4"/>
  <c r="E19" i="10" l="1"/>
  <c r="E20" i="10"/>
  <c r="C20" i="10"/>
  <c r="C19" i="10"/>
  <c r="C16" i="10"/>
  <c r="A16" i="10"/>
  <c r="C15" i="10"/>
  <c r="A15" i="10"/>
  <c r="J12" i="10"/>
  <c r="G12" i="10"/>
  <c r="J11" i="10"/>
  <c r="G11" i="10"/>
  <c r="J10" i="10"/>
  <c r="G10" i="10"/>
  <c r="J9" i="10"/>
  <c r="G9" i="10"/>
  <c r="J8" i="10"/>
  <c r="G8" i="10"/>
  <c r="J7" i="10"/>
  <c r="G7" i="10"/>
  <c r="J6" i="10"/>
  <c r="G6" i="10"/>
  <c r="J5" i="10"/>
  <c r="G5" i="10"/>
  <c r="J4" i="10"/>
  <c r="G4" i="10"/>
  <c r="J3" i="10"/>
  <c r="G3" i="10"/>
  <c r="G26" i="9"/>
  <c r="E26" i="9"/>
  <c r="C26" i="9"/>
  <c r="A26" i="9"/>
  <c r="G25" i="9"/>
  <c r="E25" i="9"/>
  <c r="C25" i="9"/>
  <c r="A25" i="9"/>
  <c r="G24" i="9"/>
  <c r="E24" i="9"/>
  <c r="C24" i="9"/>
  <c r="A24" i="9"/>
  <c r="G23" i="9"/>
  <c r="E23" i="9"/>
  <c r="C23" i="9"/>
  <c r="A23" i="9"/>
  <c r="C13" i="9"/>
  <c r="C18" i="9"/>
  <c r="C5" i="9"/>
  <c r="C10" i="9"/>
  <c r="C7" i="9"/>
  <c r="C16" i="9"/>
  <c r="C19" i="9"/>
  <c r="C17" i="9"/>
  <c r="C6" i="9"/>
  <c r="C11" i="9"/>
  <c r="C3" i="9"/>
  <c r="C9" i="9"/>
  <c r="C15" i="9"/>
  <c r="C4" i="9"/>
  <c r="C20" i="9"/>
  <c r="C8" i="9"/>
  <c r="C12" i="9"/>
  <c r="C14" i="9"/>
  <c r="J20" i="9"/>
  <c r="J8" i="9"/>
  <c r="J12" i="9"/>
  <c r="G20" i="9"/>
  <c r="G8" i="9"/>
  <c r="G12" i="9"/>
  <c r="J4" i="9"/>
  <c r="G4" i="9"/>
  <c r="J15" i="9"/>
  <c r="G15" i="9"/>
  <c r="J9" i="9"/>
  <c r="G9" i="9"/>
  <c r="J3" i="9"/>
  <c r="G3" i="9"/>
  <c r="J11" i="9"/>
  <c r="G11" i="9"/>
  <c r="J6" i="9"/>
  <c r="G6" i="9"/>
  <c r="J17" i="9"/>
  <c r="G17" i="9"/>
  <c r="J19" i="9"/>
  <c r="G19" i="9"/>
  <c r="J16" i="9"/>
  <c r="G16" i="9"/>
  <c r="J7" i="9"/>
  <c r="G7" i="9"/>
  <c r="J10" i="9"/>
  <c r="G10" i="9"/>
  <c r="J5" i="9"/>
  <c r="G5" i="9"/>
  <c r="J18" i="9"/>
  <c r="G18" i="9"/>
  <c r="J14" i="9"/>
  <c r="G14" i="9"/>
  <c r="J13" i="9"/>
  <c r="G13" i="9"/>
  <c r="G19" i="8"/>
  <c r="A19" i="8"/>
  <c r="A20" i="8"/>
  <c r="G20" i="8"/>
  <c r="E20" i="8"/>
  <c r="C20" i="8"/>
  <c r="E24" i="8"/>
  <c r="E23" i="8"/>
  <c r="C24" i="8"/>
  <c r="C23" i="8"/>
  <c r="E19" i="8"/>
  <c r="C19" i="8"/>
  <c r="J10" i="8"/>
  <c r="G10" i="8"/>
  <c r="J4" i="8"/>
  <c r="G4" i="8"/>
  <c r="J8" i="8"/>
  <c r="G8" i="8"/>
  <c r="J11" i="8"/>
  <c r="G11" i="8"/>
  <c r="J14" i="8"/>
  <c r="G14" i="8"/>
  <c r="J15" i="8"/>
  <c r="G15" i="8"/>
  <c r="J16" i="8"/>
  <c r="G16" i="8"/>
  <c r="J5" i="8"/>
  <c r="G5" i="8"/>
  <c r="J13" i="8"/>
  <c r="G13" i="8"/>
  <c r="J9" i="8"/>
  <c r="G9" i="8"/>
  <c r="J12" i="8"/>
  <c r="G12" i="8"/>
  <c r="J3" i="8"/>
  <c r="G3" i="8"/>
  <c r="J6" i="8"/>
  <c r="G6" i="8"/>
  <c r="J7" i="8"/>
  <c r="G7" i="8"/>
  <c r="J25" i="7"/>
  <c r="G25" i="7"/>
  <c r="J24" i="7"/>
  <c r="G24" i="7"/>
  <c r="J23" i="7"/>
  <c r="G23" i="7"/>
  <c r="J19" i="7"/>
  <c r="G19" i="7"/>
  <c r="J18" i="7"/>
  <c r="G18" i="7"/>
  <c r="J17" i="7"/>
  <c r="G17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3" i="7"/>
  <c r="G3" i="7"/>
  <c r="G20" i="6"/>
  <c r="E20" i="6"/>
  <c r="C20" i="6"/>
  <c r="A20" i="6"/>
  <c r="G19" i="6"/>
  <c r="E19" i="6"/>
  <c r="C19" i="6"/>
  <c r="A19" i="6"/>
  <c r="G18" i="6"/>
  <c r="E18" i="6"/>
  <c r="C18" i="6"/>
  <c r="A18" i="6"/>
  <c r="G17" i="6"/>
  <c r="E17" i="6"/>
  <c r="C17" i="6"/>
  <c r="A17" i="6"/>
  <c r="J13" i="6"/>
  <c r="J14" i="6"/>
  <c r="G13" i="6"/>
  <c r="G14" i="6"/>
  <c r="J12" i="6"/>
  <c r="G12" i="6"/>
  <c r="J11" i="6"/>
  <c r="G11" i="6"/>
  <c r="J10" i="6"/>
  <c r="G10" i="6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G16" i="5"/>
  <c r="E16" i="5"/>
  <c r="C16" i="5"/>
  <c r="A16" i="5"/>
  <c r="G15" i="5"/>
  <c r="E15" i="5"/>
  <c r="C15" i="5"/>
  <c r="A15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J36" i="4"/>
  <c r="G36" i="4"/>
  <c r="J35" i="4"/>
  <c r="G35" i="4"/>
  <c r="J34" i="4"/>
  <c r="G34" i="4"/>
  <c r="J33" i="4"/>
  <c r="G33" i="4"/>
  <c r="J32" i="4"/>
  <c r="G32" i="4"/>
  <c r="J31" i="4"/>
  <c r="G31" i="4"/>
  <c r="J30" i="4"/>
  <c r="G30" i="4"/>
  <c r="J29" i="4"/>
  <c r="G29" i="4"/>
  <c r="J28" i="4"/>
  <c r="G28" i="4"/>
  <c r="J27" i="4"/>
  <c r="G27" i="4"/>
  <c r="J26" i="4"/>
  <c r="G26" i="4"/>
  <c r="J25" i="4"/>
  <c r="G25" i="4"/>
  <c r="J24" i="4"/>
  <c r="G24" i="4"/>
  <c r="J23" i="4"/>
  <c r="G23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22" i="4"/>
  <c r="G22" i="4"/>
  <c r="J5" i="4"/>
  <c r="J4" i="4"/>
  <c r="G5" i="4"/>
  <c r="G4" i="4"/>
  <c r="U17" i="3"/>
  <c r="R17" i="3"/>
  <c r="U16" i="3"/>
  <c r="R16" i="3"/>
  <c r="U15" i="3"/>
  <c r="R15" i="3"/>
  <c r="U14" i="3"/>
  <c r="R14" i="3"/>
  <c r="U13" i="3"/>
  <c r="R13" i="3"/>
  <c r="U7" i="3"/>
  <c r="R7" i="3"/>
  <c r="U6" i="3"/>
  <c r="R6" i="3"/>
  <c r="U5" i="3"/>
  <c r="R5" i="3"/>
  <c r="U18" i="3"/>
  <c r="R18" i="3"/>
  <c r="U8" i="3"/>
  <c r="U9" i="3"/>
  <c r="U4" i="3"/>
  <c r="R8" i="3"/>
  <c r="R9" i="3"/>
  <c r="R4" i="3"/>
  <c r="J18" i="3"/>
  <c r="G18" i="3"/>
  <c r="J17" i="3"/>
  <c r="G17" i="3"/>
  <c r="J16" i="3"/>
  <c r="G16" i="3"/>
  <c r="J15" i="3"/>
  <c r="G15" i="3"/>
  <c r="J14" i="3"/>
  <c r="G14" i="3"/>
  <c r="J9" i="3"/>
  <c r="G9" i="3"/>
  <c r="J8" i="3"/>
  <c r="G8" i="3"/>
  <c r="J7" i="3"/>
  <c r="G7" i="3"/>
  <c r="J6" i="3"/>
  <c r="G6" i="3"/>
  <c r="J5" i="3"/>
  <c r="G5" i="3"/>
  <c r="J4" i="3"/>
  <c r="G4" i="3"/>
  <c r="J13" i="3"/>
  <c r="G13" i="3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</calcChain>
</file>

<file path=xl/sharedStrings.xml><?xml version="1.0" encoding="utf-8"?>
<sst xmlns="http://schemas.openxmlformats.org/spreadsheetml/2006/main" count="872" uniqueCount="213">
  <si>
    <t>Canadian Premier League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</si>
  <si>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</si>
  <si>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</si>
  <si>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</si>
  <si>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</si>
  <si>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</si>
  <si>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</si>
  <si>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</si>
  <si>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</si>
  <si>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</si>
  <si>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</si>
  <si>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</si>
  <si>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</si>
  <si>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</si>
  <si>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4.</t>
  </si>
  <si>
    <t>5.</t>
  </si>
  <si>
    <t>6.</t>
  </si>
  <si>
    <t>7.</t>
  </si>
  <si>
    <t>8.</t>
  </si>
  <si>
    <t>Forge FC</t>
  </si>
  <si>
    <t>FC Supra du Québec</t>
  </si>
  <si>
    <t>Vancouver FC</t>
  </si>
  <si>
    <t>Atlético Ottawa</t>
  </si>
  <si>
    <t>Pacific FC</t>
  </si>
  <si>
    <t>Cavalry FC</t>
  </si>
  <si>
    <t>HFX Wanderers</t>
  </si>
  <si>
    <t>Play-In</t>
  </si>
  <si>
    <t>1x2</t>
  </si>
  <si>
    <t>Playoffs</t>
  </si>
  <si>
    <t>2x0</t>
  </si>
  <si>
    <t>Semifinal</t>
  </si>
  <si>
    <t>0x0 (4x3)</t>
  </si>
  <si>
    <t>Final</t>
  </si>
  <si>
    <t>1x0</t>
  </si>
  <si>
    <t>Canadian Championship</t>
  </si>
  <si>
    <t>Fase preliminar</t>
  </si>
  <si>
    <t>CF Montréal</t>
  </si>
  <si>
    <t>0x3</t>
  </si>
  <si>
    <t>4x1</t>
  </si>
  <si>
    <t>Quartas de final</t>
  </si>
  <si>
    <t>Vancouver Whitecaps</t>
  </si>
  <si>
    <t>Toronto FC</t>
  </si>
  <si>
    <t>3x1</t>
  </si>
  <si>
    <t>1x3</t>
  </si>
  <si>
    <t>4x4 (5x4)</t>
  </si>
  <si>
    <t>4x2</t>
  </si>
  <si>
    <t>0x1</t>
  </si>
  <si>
    <t>Campeões</t>
  </si>
  <si>
    <t>Inter Toronto</t>
  </si>
  <si>
    <t>Apertura</t>
  </si>
  <si>
    <t>Conferência Oeste</t>
  </si>
  <si>
    <t>Conferência Leste</t>
  </si>
  <si>
    <t>Herrera</t>
  </si>
  <si>
    <t>Universitario</t>
  </si>
  <si>
    <t>Independiente</t>
  </si>
  <si>
    <t>San Francisco</t>
  </si>
  <si>
    <t>Unión Coclé</t>
  </si>
  <si>
    <t>Veraguas United</t>
  </si>
  <si>
    <t>Tauro</t>
  </si>
  <si>
    <t>Alianza</t>
  </si>
  <si>
    <t>Árabe Unido</t>
  </si>
  <si>
    <t>Plaza Amador</t>
  </si>
  <si>
    <t>Umecit</t>
  </si>
  <si>
    <t>San Miguelito</t>
  </si>
  <si>
    <t>0x2</t>
  </si>
  <si>
    <t>2x1</t>
  </si>
  <si>
    <t>1x1</t>
  </si>
  <si>
    <t>3x0</t>
  </si>
  <si>
    <t>1x1 (5x4)</t>
  </si>
  <si>
    <t>Clausura</t>
  </si>
  <si>
    <t>3x2</t>
  </si>
  <si>
    <t>4x0</t>
  </si>
  <si>
    <t>8A</t>
  </si>
  <si>
    <t>6C</t>
  </si>
  <si>
    <t>MLS</t>
  </si>
  <si>
    <t>9.</t>
  </si>
  <si>
    <t>10.</t>
  </si>
  <si>
    <t>11.</t>
  </si>
  <si>
    <t>12.</t>
  </si>
  <si>
    <t>13.</t>
  </si>
  <si>
    <t>14.</t>
  </si>
  <si>
    <t>15.</t>
  </si>
  <si>
    <t>St. Louis</t>
  </si>
  <si>
    <t>FC Dallas</t>
  </si>
  <si>
    <t>Portland Timbers</t>
  </si>
  <si>
    <t>Real Salt Lake</t>
  </si>
  <si>
    <t>San Jose Earthquakes</t>
  </si>
  <si>
    <t>Austin FC</t>
  </si>
  <si>
    <t>LA Galaxy</t>
  </si>
  <si>
    <t>San Diego</t>
  </si>
  <si>
    <t>Seattle Sounders</t>
  </si>
  <si>
    <t>Houston Dynamo</t>
  </si>
  <si>
    <t>Colorado Rapids</t>
  </si>
  <si>
    <t>Sporting Kansas City</t>
  </si>
  <si>
    <t>Minnesota United</t>
  </si>
  <si>
    <t>LAFC</t>
  </si>
  <si>
    <t>DC United</t>
  </si>
  <si>
    <t>FC Cincinnati</t>
  </si>
  <si>
    <t>Atlanta United</t>
  </si>
  <si>
    <t>Charlotte FC</t>
  </si>
  <si>
    <t>New York City FC</t>
  </si>
  <si>
    <t>Orlando City</t>
  </si>
  <si>
    <t>New York Red Bulls</t>
  </si>
  <si>
    <t>Nashville SC</t>
  </si>
  <si>
    <t>New England Revolution</t>
  </si>
  <si>
    <t>Inter Miami</t>
  </si>
  <si>
    <t>Columbus Crew</t>
  </si>
  <si>
    <t>Philadelphia Union</t>
  </si>
  <si>
    <t>Chicago Fire</t>
  </si>
  <si>
    <t>2x3</t>
  </si>
  <si>
    <t>2x2 (3x4)</t>
  </si>
  <si>
    <t>1x1 (3x4)</t>
  </si>
  <si>
    <t>1x1 (1x4)</t>
  </si>
  <si>
    <t>0x0 (8x7)</t>
  </si>
  <si>
    <t>2x2 (5x3)</t>
  </si>
  <si>
    <t>0x0 (9x10)</t>
  </si>
  <si>
    <t>US Open Cup</t>
  </si>
  <si>
    <t>Oitavas de final</t>
  </si>
  <si>
    <t>0x0 (8x9)</t>
  </si>
  <si>
    <t>Puntarenas</t>
  </si>
  <si>
    <t>Alajuelense</t>
  </si>
  <si>
    <t>Liberia</t>
  </si>
  <si>
    <t>Pérez Zeledón</t>
  </si>
  <si>
    <t>Guadalupe</t>
  </si>
  <si>
    <t>Saprissa</t>
  </si>
  <si>
    <t>San Carlos</t>
  </si>
  <si>
    <t>Sporting</t>
  </si>
  <si>
    <t>Herediano</t>
  </si>
  <si>
    <t>Cartaginés</t>
  </si>
  <si>
    <t>Copa Costa Rica</t>
  </si>
  <si>
    <t>0x0 (1x3)</t>
  </si>
  <si>
    <t>1C</t>
  </si>
  <si>
    <t>Deportivo Achuapa</t>
  </si>
  <si>
    <t>Mixco</t>
  </si>
  <si>
    <t>Malacateco</t>
  </si>
  <si>
    <t>Antigua</t>
  </si>
  <si>
    <t>Guastatoya</t>
  </si>
  <si>
    <t>Cobán Imperial</t>
  </si>
  <si>
    <t>Xelajú</t>
  </si>
  <si>
    <t>Aurora</t>
  </si>
  <si>
    <t>Mictlan</t>
  </si>
  <si>
    <t>Marquense</t>
  </si>
  <si>
    <t>Comunicaciones</t>
  </si>
  <si>
    <t>Municipal</t>
  </si>
  <si>
    <t>0x0</t>
  </si>
  <si>
    <t>Grupo A</t>
  </si>
  <si>
    <t>Grupo B</t>
  </si>
  <si>
    <t>Génesis PN</t>
  </si>
  <si>
    <t>Marathón</t>
  </si>
  <si>
    <t>Juticalpa</t>
  </si>
  <si>
    <t>CD Choloma</t>
  </si>
  <si>
    <t>Olancho</t>
  </si>
  <si>
    <t>Platense</t>
  </si>
  <si>
    <t>Real España</t>
  </si>
  <si>
    <t>CD Victoria</t>
  </si>
  <si>
    <t>Motagua</t>
  </si>
  <si>
    <t>Lobos Unidos</t>
  </si>
  <si>
    <t>Olimpia</t>
  </si>
  <si>
    <t>Campeão</t>
  </si>
  <si>
    <t>2x2</t>
  </si>
  <si>
    <t>3C</t>
  </si>
  <si>
    <t>4C</t>
  </si>
  <si>
    <t>Jamaica Premier League</t>
  </si>
  <si>
    <t>Racing United</t>
  </si>
  <si>
    <t>Montego Bay United</t>
  </si>
  <si>
    <t>Portmore United</t>
  </si>
  <si>
    <t>Mount Pleasant</t>
  </si>
  <si>
    <t>Cavalier</t>
  </si>
  <si>
    <t>Waterhouse</t>
  </si>
  <si>
    <t>Tivoli Gardens</t>
  </si>
  <si>
    <t>Harbour View</t>
  </si>
  <si>
    <t>Dunbeholden</t>
  </si>
  <si>
    <t>Arnett Gardens</t>
  </si>
  <si>
    <t>Treasure Beach</t>
  </si>
  <si>
    <t>Molynes United</t>
  </si>
  <si>
    <t>Chapelton Maroons</t>
  </si>
  <si>
    <t>Spanish Town Police</t>
  </si>
  <si>
    <t>Disputa de 3o lugar</t>
  </si>
  <si>
    <t>16.</t>
  </si>
  <si>
    <t>17.</t>
  </si>
  <si>
    <t>18.</t>
  </si>
  <si>
    <t>Atlas</t>
  </si>
  <si>
    <t>San Luís</t>
  </si>
  <si>
    <t>Chivas</t>
  </si>
  <si>
    <t>América</t>
  </si>
  <si>
    <t>Cruz Azul</t>
  </si>
  <si>
    <t>Monterrey</t>
  </si>
  <si>
    <t>Pachuca</t>
  </si>
  <si>
    <t>León</t>
  </si>
  <si>
    <t>Necaxa</t>
  </si>
  <si>
    <t>Puebla</t>
  </si>
  <si>
    <t>Santos Laguna</t>
  </si>
  <si>
    <t>Tijuana</t>
  </si>
  <si>
    <t>Toluca</t>
  </si>
  <si>
    <t>Juárez</t>
  </si>
  <si>
    <t>Mazatlán</t>
  </si>
  <si>
    <t>Pumas</t>
  </si>
  <si>
    <t>Querétaro</t>
  </si>
  <si>
    <t>Tigres</t>
  </si>
  <si>
    <t>1x4</t>
  </si>
  <si>
    <t>2C</t>
  </si>
  <si>
    <t>Unan Managua</t>
  </si>
  <si>
    <t>Diriangén</t>
  </si>
  <si>
    <t>Municipal Jalapa</t>
  </si>
  <si>
    <t>Real Madriz</t>
  </si>
  <si>
    <t>Walter Ferretti</t>
  </si>
  <si>
    <t>Managua</t>
  </si>
  <si>
    <t>Rancho Santana</t>
  </si>
  <si>
    <t>Matagalpa</t>
  </si>
  <si>
    <t>Sébaco</t>
  </si>
  <si>
    <t>Real Estelí</t>
  </si>
  <si>
    <t>Supra du Québec</t>
  </si>
  <si>
    <t>Tabela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</si>
</sst>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22226"/>
      <name val="Aptos Narrow"/>
      <family val="2"/>
      <scheme val="minor"/>
    </font>
    <font>
      <b/>
      <sz val="11"/>
      <color rgb="FF22222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6F7DD"/>
        <bgColor indexed="64"/>
      </patternFill>
    </fill>
    <fill>
      <patternFill patternType="solid">
        <fgColor rgb="FFCC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vertical="center"/>
    </xf>
    <xf numFmtId="0" fontId="3" fillId="0" borderId="0" xfId="0" applyFont="1"/>
    <xf numFmtId="0" fontId="0" fillId="5" borderId="0" xfId="0" applyFill="1"/>
    <xf numFmtId="0" fontId="4" fillId="6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EF88-C93C-4BF9-93F2-5B2B8E31AB91}">
  <dimension ref="A1:Q23"/>
  <sheetViews>
    <sheetView workbookViewId="0">
      <selection activeCell="A3" sqref="A3"/>
    </sheetView>
  </sheetViews>
  <sheetFormatPr defaultRowHeight="14.4" x14ac:dyDescent="0.3"/>
  <sheetData>
    <row r="1" spans="1:17" x14ac:dyDescent="0.3">
      <c r="A1" t="s">
        <v>0</v>
      </c>
      <c r="L1" t="s">
        <v>34</v>
      </c>
      <c r="P1" t="s">
        <v>47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35</v>
      </c>
      <c r="P2" t="s">
        <v>19</v>
      </c>
      <c r="Q2">
        <v>5</v>
      </c>
    </row>
    <row r="3" spans="1:17" x14ac:dyDescent="0.3">
      <c r="A3" s="7" t="s">
        <v>11</v>
      </c>
      <c r="B3" s="2" t="s">
        <v>19</v>
      </c>
      <c r="C3" s="5">
        <v>59</v>
      </c>
      <c r="D3">
        <v>28</v>
      </c>
      <c r="E3">
        <v>19</v>
      </c>
      <c r="F3">
        <v>2</v>
      </c>
      <c r="G3">
        <f t="shared" ref="G3:G4" si="0">D3-E3-F3</f>
        <v>7</v>
      </c>
      <c r="H3">
        <v>37</v>
      </c>
      <c r="I3">
        <v>21</v>
      </c>
      <c r="J3">
        <f t="shared" ref="J3:J4" si="1">H3-I3</f>
        <v>16</v>
      </c>
      <c r="L3" t="s">
        <v>21</v>
      </c>
      <c r="M3" t="s">
        <v>33</v>
      </c>
      <c r="N3" t="s">
        <v>36</v>
      </c>
      <c r="P3" t="s">
        <v>48</v>
      </c>
      <c r="Q3">
        <v>1</v>
      </c>
    </row>
    <row r="4" spans="1:17" x14ac:dyDescent="0.3">
      <c r="A4" s="7" t="s">
        <v>12</v>
      </c>
      <c r="B4" s="2" t="s">
        <v>23</v>
      </c>
      <c r="C4" s="5">
        <v>43</v>
      </c>
      <c r="D4">
        <v>28</v>
      </c>
      <c r="E4">
        <v>12</v>
      </c>
      <c r="F4">
        <v>7</v>
      </c>
      <c r="G4">
        <f t="shared" si="0"/>
        <v>9</v>
      </c>
      <c r="H4">
        <v>41</v>
      </c>
      <c r="I4">
        <v>35</v>
      </c>
      <c r="J4">
        <f t="shared" si="1"/>
        <v>6</v>
      </c>
      <c r="L4" s="2" t="s">
        <v>25</v>
      </c>
      <c r="M4" t="s">
        <v>37</v>
      </c>
      <c r="N4" s="2" t="s">
        <v>211</v>
      </c>
    </row>
    <row r="5" spans="1:17" x14ac:dyDescent="0.3">
      <c r="A5" s="4" t="s">
        <v>13</v>
      </c>
      <c r="B5" s="2" t="s">
        <v>22</v>
      </c>
      <c r="C5" s="5">
        <v>41</v>
      </c>
      <c r="D5">
        <v>28</v>
      </c>
      <c r="E5">
        <v>10</v>
      </c>
      <c r="F5">
        <v>11</v>
      </c>
      <c r="G5">
        <f>D5-E5-F5</f>
        <v>7</v>
      </c>
      <c r="H5">
        <v>40</v>
      </c>
      <c r="I5">
        <v>32</v>
      </c>
      <c r="J5">
        <f>H5-I5</f>
        <v>8</v>
      </c>
      <c r="L5" t="s">
        <v>48</v>
      </c>
      <c r="M5" t="s">
        <v>38</v>
      </c>
      <c r="N5" t="s">
        <v>23</v>
      </c>
    </row>
    <row r="6" spans="1:17" x14ac:dyDescent="0.3">
      <c r="A6" s="7" t="s">
        <v>14</v>
      </c>
      <c r="B6" s="2" t="s">
        <v>48</v>
      </c>
      <c r="C6" s="5">
        <v>39</v>
      </c>
      <c r="D6">
        <v>28</v>
      </c>
      <c r="E6">
        <v>11</v>
      </c>
      <c r="F6">
        <v>6</v>
      </c>
      <c r="G6">
        <f t="shared" ref="G6:G10" si="2">D6-E6-F6</f>
        <v>11</v>
      </c>
      <c r="H6">
        <v>36</v>
      </c>
      <c r="I6">
        <v>45</v>
      </c>
      <c r="J6">
        <f t="shared" ref="J6:J10" si="3">H6-I6</f>
        <v>-9</v>
      </c>
    </row>
    <row r="7" spans="1:17" x14ac:dyDescent="0.3">
      <c r="A7" s="1" t="s">
        <v>15</v>
      </c>
      <c r="B7" s="2" t="s">
        <v>21</v>
      </c>
      <c r="C7" s="5">
        <v>38</v>
      </c>
      <c r="D7">
        <v>28</v>
      </c>
      <c r="E7">
        <v>11</v>
      </c>
      <c r="F7">
        <v>5</v>
      </c>
      <c r="G7">
        <f t="shared" si="2"/>
        <v>12</v>
      </c>
      <c r="H7">
        <v>37</v>
      </c>
      <c r="I7">
        <v>34</v>
      </c>
      <c r="J7">
        <f t="shared" si="3"/>
        <v>3</v>
      </c>
      <c r="L7" t="s">
        <v>39</v>
      </c>
    </row>
    <row r="8" spans="1:17" x14ac:dyDescent="0.3">
      <c r="A8" t="s">
        <v>16</v>
      </c>
      <c r="B8" s="2" t="s">
        <v>211</v>
      </c>
      <c r="C8" s="5">
        <v>35</v>
      </c>
      <c r="D8">
        <v>28</v>
      </c>
      <c r="E8">
        <v>10</v>
      </c>
      <c r="F8">
        <v>5</v>
      </c>
      <c r="G8">
        <f t="shared" si="2"/>
        <v>13</v>
      </c>
      <c r="H8">
        <v>33</v>
      </c>
      <c r="I8">
        <v>40</v>
      </c>
      <c r="J8">
        <f t="shared" si="3"/>
        <v>-7</v>
      </c>
      <c r="L8" t="s">
        <v>40</v>
      </c>
      <c r="M8" t="s">
        <v>42</v>
      </c>
      <c r="N8" t="s">
        <v>19</v>
      </c>
    </row>
    <row r="9" spans="1:17" x14ac:dyDescent="0.3">
      <c r="A9" t="s">
        <v>17</v>
      </c>
      <c r="B9" s="2" t="s">
        <v>25</v>
      </c>
      <c r="C9" s="5">
        <v>31</v>
      </c>
      <c r="D9">
        <v>28</v>
      </c>
      <c r="E9">
        <v>10</v>
      </c>
      <c r="F9">
        <v>1</v>
      </c>
      <c r="G9">
        <f t="shared" si="2"/>
        <v>17</v>
      </c>
      <c r="H9">
        <v>38</v>
      </c>
      <c r="I9">
        <v>46</v>
      </c>
      <c r="J9">
        <f t="shared" si="3"/>
        <v>-8</v>
      </c>
      <c r="L9" t="s">
        <v>41</v>
      </c>
      <c r="M9" t="s">
        <v>43</v>
      </c>
      <c r="N9" t="s">
        <v>48</v>
      </c>
    </row>
    <row r="10" spans="1:17" x14ac:dyDescent="0.3">
      <c r="A10" t="s">
        <v>18</v>
      </c>
      <c r="B10" s="2" t="s">
        <v>24</v>
      </c>
      <c r="C10" s="5">
        <v>28</v>
      </c>
      <c r="D10">
        <v>28</v>
      </c>
      <c r="E10">
        <v>7</v>
      </c>
      <c r="F10">
        <v>7</v>
      </c>
      <c r="G10">
        <f t="shared" si="2"/>
        <v>14</v>
      </c>
      <c r="H10">
        <v>31</v>
      </c>
      <c r="I10">
        <v>40</v>
      </c>
      <c r="J10">
        <f t="shared" si="3"/>
        <v>-9</v>
      </c>
      <c r="L10" t="s">
        <v>22</v>
      </c>
      <c r="M10" t="s">
        <v>44</v>
      </c>
      <c r="N10" s="2" t="s">
        <v>20</v>
      </c>
    </row>
    <row r="11" spans="1:17" x14ac:dyDescent="0.3">
      <c r="L11" t="s">
        <v>24</v>
      </c>
      <c r="M11" t="s">
        <v>43</v>
      </c>
      <c r="N11" t="s">
        <v>21</v>
      </c>
    </row>
    <row r="12" spans="1:17" x14ac:dyDescent="0.3">
      <c r="A12" t="s">
        <v>26</v>
      </c>
    </row>
    <row r="13" spans="1:17" x14ac:dyDescent="0.3">
      <c r="A13" t="s">
        <v>48</v>
      </c>
      <c r="B13" s="2" t="s">
        <v>27</v>
      </c>
      <c r="C13" t="s">
        <v>21</v>
      </c>
      <c r="L13" t="s">
        <v>30</v>
      </c>
    </row>
    <row r="14" spans="1:17" x14ac:dyDescent="0.3">
      <c r="L14" t="s">
        <v>40</v>
      </c>
      <c r="M14" t="s">
        <v>37</v>
      </c>
      <c r="N14" t="s">
        <v>48</v>
      </c>
    </row>
    <row r="15" spans="1:17" x14ac:dyDescent="0.3">
      <c r="A15" t="s">
        <v>28</v>
      </c>
      <c r="L15" t="s">
        <v>22</v>
      </c>
      <c r="M15" t="s">
        <v>45</v>
      </c>
      <c r="N15" t="s">
        <v>21</v>
      </c>
    </row>
    <row r="16" spans="1:17" x14ac:dyDescent="0.3">
      <c r="A16" t="s">
        <v>19</v>
      </c>
      <c r="B16" t="s">
        <v>29</v>
      </c>
      <c r="C16" t="s">
        <v>23</v>
      </c>
    </row>
    <row r="17" spans="1:14" x14ac:dyDescent="0.3">
      <c r="A17" t="s">
        <v>22</v>
      </c>
      <c r="B17" t="s">
        <v>29</v>
      </c>
      <c r="C17" t="s">
        <v>21</v>
      </c>
      <c r="L17" t="s">
        <v>32</v>
      </c>
    </row>
    <row r="18" spans="1:14" x14ac:dyDescent="0.3">
      <c r="L18" t="s">
        <v>22</v>
      </c>
      <c r="M18" t="s">
        <v>46</v>
      </c>
      <c r="N18" t="s">
        <v>48</v>
      </c>
    </row>
    <row r="19" spans="1:14" x14ac:dyDescent="0.3">
      <c r="A19" t="s">
        <v>30</v>
      </c>
    </row>
    <row r="20" spans="1:14" x14ac:dyDescent="0.3">
      <c r="A20" t="s">
        <v>23</v>
      </c>
      <c r="B20" t="s">
        <v>31</v>
      </c>
      <c r="C20" t="s">
        <v>22</v>
      </c>
    </row>
    <row r="22" spans="1:14" x14ac:dyDescent="0.3">
      <c r="A22" t="s">
        <v>32</v>
      </c>
    </row>
    <row r="23" spans="1:14" x14ac:dyDescent="0.3">
      <c r="A23" t="s">
        <v>19</v>
      </c>
      <c r="B23" t="s">
        <v>33</v>
      </c>
      <c r="C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E889-681F-4129-BFAB-EB0C1C10745F}">
  <dimension ref="A1:T19"/>
  <sheetViews>
    <sheetView workbookViewId="0">
      <selection activeCell="L1" sqref="L1:M11"/>
    </sheetView>
  </sheetViews>
  <sheetFormatPr defaultRowHeight="14.4" x14ac:dyDescent="0.3"/>
  <sheetData>
    <row r="1" spans="1:20" x14ac:dyDescent="0.3">
      <c r="A1" t="s">
        <v>69</v>
      </c>
      <c r="L1" t="s">
        <v>212</v>
      </c>
      <c r="O1" t="s">
        <v>129</v>
      </c>
      <c r="S1" t="s">
        <v>47</v>
      </c>
    </row>
    <row r="2" spans="1:2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s="8" t="s">
        <v>11</v>
      </c>
      <c r="M2" t="s">
        <v>120</v>
      </c>
      <c r="O2" t="s">
        <v>30</v>
      </c>
      <c r="S2" t="s">
        <v>119</v>
      </c>
      <c r="T2">
        <v>1</v>
      </c>
    </row>
    <row r="3" spans="1:20" x14ac:dyDescent="0.3">
      <c r="A3" s="3" t="s">
        <v>11</v>
      </c>
      <c r="B3" t="s">
        <v>119</v>
      </c>
      <c r="C3" s="6">
        <v>31</v>
      </c>
      <c r="D3">
        <v>18</v>
      </c>
      <c r="E3">
        <v>9</v>
      </c>
      <c r="F3">
        <v>4</v>
      </c>
      <c r="G3">
        <f t="shared" ref="G3" si="0">D3-E3-F3</f>
        <v>5</v>
      </c>
      <c r="H3">
        <v>28</v>
      </c>
      <c r="I3">
        <v>18</v>
      </c>
      <c r="J3">
        <f t="shared" ref="J3:J12" si="1">H3-I3</f>
        <v>10</v>
      </c>
      <c r="L3" s="8" t="s">
        <v>12</v>
      </c>
      <c r="M3" t="s">
        <v>124</v>
      </c>
      <c r="O3" t="s">
        <v>119</v>
      </c>
      <c r="P3" t="s">
        <v>29</v>
      </c>
      <c r="Q3" t="s">
        <v>126</v>
      </c>
      <c r="S3" t="s">
        <v>121</v>
      </c>
      <c r="T3">
        <v>1</v>
      </c>
    </row>
    <row r="4" spans="1:20" x14ac:dyDescent="0.3">
      <c r="A4" s="3" t="s">
        <v>12</v>
      </c>
      <c r="B4" t="s">
        <v>120</v>
      </c>
      <c r="C4" s="6">
        <v>30</v>
      </c>
      <c r="D4">
        <v>18</v>
      </c>
      <c r="E4">
        <v>8</v>
      </c>
      <c r="F4">
        <v>6</v>
      </c>
      <c r="G4">
        <f>D4-E4-F4</f>
        <v>4</v>
      </c>
      <c r="H4">
        <v>31</v>
      </c>
      <c r="I4">
        <v>24</v>
      </c>
      <c r="J4">
        <f t="shared" si="1"/>
        <v>7</v>
      </c>
      <c r="L4" s="8" t="s">
        <v>13</v>
      </c>
      <c r="M4" t="s">
        <v>121</v>
      </c>
    </row>
    <row r="5" spans="1:20" x14ac:dyDescent="0.3">
      <c r="A5" s="3" t="s">
        <v>13</v>
      </c>
      <c r="B5" t="s">
        <v>121</v>
      </c>
      <c r="C5" s="6">
        <v>30</v>
      </c>
      <c r="D5">
        <v>18</v>
      </c>
      <c r="E5">
        <v>9</v>
      </c>
      <c r="F5">
        <v>3</v>
      </c>
      <c r="G5">
        <f t="shared" ref="G5:G12" si="2">D5-E5-F5</f>
        <v>6</v>
      </c>
      <c r="H5">
        <v>27</v>
      </c>
      <c r="I5">
        <v>20</v>
      </c>
      <c r="J5">
        <f t="shared" si="1"/>
        <v>7</v>
      </c>
      <c r="L5" s="8" t="s">
        <v>14</v>
      </c>
      <c r="M5" t="s">
        <v>119</v>
      </c>
      <c r="O5" t="s">
        <v>32</v>
      </c>
    </row>
    <row r="6" spans="1:20" x14ac:dyDescent="0.3">
      <c r="A6" s="3" t="s">
        <v>14</v>
      </c>
      <c r="B6" t="s">
        <v>122</v>
      </c>
      <c r="C6" s="6">
        <v>29</v>
      </c>
      <c r="D6">
        <v>18</v>
      </c>
      <c r="E6">
        <v>9</v>
      </c>
      <c r="F6">
        <v>2</v>
      </c>
      <c r="G6">
        <f t="shared" si="2"/>
        <v>7</v>
      </c>
      <c r="H6">
        <v>33</v>
      </c>
      <c r="I6">
        <v>32</v>
      </c>
      <c r="J6">
        <f t="shared" si="1"/>
        <v>1</v>
      </c>
      <c r="L6" t="s">
        <v>15</v>
      </c>
      <c r="M6" t="s">
        <v>122</v>
      </c>
      <c r="O6" t="s">
        <v>119</v>
      </c>
      <c r="P6" t="s">
        <v>130</v>
      </c>
      <c r="Q6" t="s">
        <v>121</v>
      </c>
    </row>
    <row r="7" spans="1:20" x14ac:dyDescent="0.3">
      <c r="A7" t="s">
        <v>15</v>
      </c>
      <c r="B7" t="s">
        <v>123</v>
      </c>
      <c r="C7" s="6">
        <v>26</v>
      </c>
      <c r="D7">
        <v>18</v>
      </c>
      <c r="E7">
        <v>7</v>
      </c>
      <c r="F7">
        <v>5</v>
      </c>
      <c r="G7">
        <f t="shared" si="2"/>
        <v>6</v>
      </c>
      <c r="H7">
        <v>26</v>
      </c>
      <c r="I7">
        <v>26</v>
      </c>
      <c r="J7">
        <f t="shared" si="1"/>
        <v>0</v>
      </c>
      <c r="L7" t="s">
        <v>16</v>
      </c>
      <c r="M7" t="s">
        <v>128</v>
      </c>
    </row>
    <row r="8" spans="1:20" x14ac:dyDescent="0.3">
      <c r="A8" t="s">
        <v>16</v>
      </c>
      <c r="B8" t="s">
        <v>124</v>
      </c>
      <c r="C8" s="6">
        <v>23</v>
      </c>
      <c r="D8">
        <v>18</v>
      </c>
      <c r="E8">
        <v>6</v>
      </c>
      <c r="F8">
        <v>5</v>
      </c>
      <c r="G8">
        <f t="shared" si="2"/>
        <v>7</v>
      </c>
      <c r="H8">
        <v>27</v>
      </c>
      <c r="I8">
        <v>26</v>
      </c>
      <c r="J8">
        <f t="shared" si="1"/>
        <v>1</v>
      </c>
      <c r="L8" t="s">
        <v>17</v>
      </c>
      <c r="M8" t="s">
        <v>127</v>
      </c>
    </row>
    <row r="9" spans="1:20" x14ac:dyDescent="0.3">
      <c r="A9" t="s">
        <v>17</v>
      </c>
      <c r="B9" t="s">
        <v>125</v>
      </c>
      <c r="C9" s="6">
        <v>23</v>
      </c>
      <c r="D9">
        <v>18</v>
      </c>
      <c r="E9">
        <v>6</v>
      </c>
      <c r="F9">
        <v>5</v>
      </c>
      <c r="G9">
        <f t="shared" si="2"/>
        <v>7</v>
      </c>
      <c r="H9">
        <v>25</v>
      </c>
      <c r="I9">
        <v>26</v>
      </c>
      <c r="J9">
        <f t="shared" si="1"/>
        <v>-1</v>
      </c>
      <c r="L9" t="s">
        <v>18</v>
      </c>
      <c r="M9" t="s">
        <v>123</v>
      </c>
    </row>
    <row r="10" spans="1:20" x14ac:dyDescent="0.3">
      <c r="A10" t="s">
        <v>18</v>
      </c>
      <c r="B10" t="s">
        <v>126</v>
      </c>
      <c r="C10" s="6">
        <v>21</v>
      </c>
      <c r="D10">
        <v>18</v>
      </c>
      <c r="E10">
        <v>5</v>
      </c>
      <c r="F10">
        <v>6</v>
      </c>
      <c r="G10">
        <f t="shared" si="2"/>
        <v>7</v>
      </c>
      <c r="H10">
        <v>24</v>
      </c>
      <c r="I10">
        <v>27</v>
      </c>
      <c r="J10">
        <f t="shared" si="1"/>
        <v>-3</v>
      </c>
      <c r="L10" t="s">
        <v>75</v>
      </c>
      <c r="M10" t="s">
        <v>126</v>
      </c>
    </row>
    <row r="11" spans="1:20" x14ac:dyDescent="0.3">
      <c r="A11" t="s">
        <v>75</v>
      </c>
      <c r="B11" t="s">
        <v>127</v>
      </c>
      <c r="C11" s="6">
        <v>17</v>
      </c>
      <c r="D11">
        <v>18</v>
      </c>
      <c r="E11">
        <v>4</v>
      </c>
      <c r="F11">
        <v>5</v>
      </c>
      <c r="G11">
        <f t="shared" si="2"/>
        <v>9</v>
      </c>
      <c r="H11">
        <v>21</v>
      </c>
      <c r="I11">
        <v>29</v>
      </c>
      <c r="J11">
        <f t="shared" si="1"/>
        <v>-8</v>
      </c>
      <c r="L11" t="s">
        <v>76</v>
      </c>
      <c r="M11" t="s">
        <v>125</v>
      </c>
    </row>
    <row r="12" spans="1:20" x14ac:dyDescent="0.3">
      <c r="A12" t="s">
        <v>76</v>
      </c>
      <c r="B12" t="s">
        <v>128</v>
      </c>
      <c r="C12" s="6">
        <v>17</v>
      </c>
      <c r="D12">
        <v>18</v>
      </c>
      <c r="E12">
        <v>4</v>
      </c>
      <c r="F12">
        <v>5</v>
      </c>
      <c r="G12">
        <f t="shared" si="2"/>
        <v>9</v>
      </c>
      <c r="H12">
        <v>16</v>
      </c>
      <c r="I12">
        <v>30</v>
      </c>
      <c r="J12">
        <f t="shared" si="1"/>
        <v>-14</v>
      </c>
    </row>
    <row r="14" spans="1:20" x14ac:dyDescent="0.3">
      <c r="A14" t="s">
        <v>30</v>
      </c>
    </row>
    <row r="15" spans="1:20" x14ac:dyDescent="0.3">
      <c r="A15" t="str">
        <f>B6</f>
        <v>Pérez Zeledón</v>
      </c>
      <c r="B15" t="s">
        <v>33</v>
      </c>
      <c r="C15" t="str">
        <f>B3</f>
        <v>Puntarenas</v>
      </c>
      <c r="E15" t="str">
        <f>B3</f>
        <v>Puntarenas</v>
      </c>
      <c r="F15" t="s">
        <v>29</v>
      </c>
      <c r="G15" t="str">
        <f>B6</f>
        <v>Pérez Zeledón</v>
      </c>
    </row>
    <row r="16" spans="1:20" x14ac:dyDescent="0.3">
      <c r="A16" t="str">
        <f>B5</f>
        <v>Liberia</v>
      </c>
      <c r="B16" t="s">
        <v>66</v>
      </c>
      <c r="C16" t="str">
        <f>B4</f>
        <v>Alajuelense</v>
      </c>
      <c r="E16" t="str">
        <f>B4</f>
        <v>Alajuelense</v>
      </c>
      <c r="F16" t="s">
        <v>33</v>
      </c>
      <c r="G16" t="str">
        <f>B5</f>
        <v>Liberia</v>
      </c>
    </row>
    <row r="18" spans="1:7" x14ac:dyDescent="0.3">
      <c r="A18" t="s">
        <v>32</v>
      </c>
    </row>
    <row r="19" spans="1:7" x14ac:dyDescent="0.3">
      <c r="A19" t="s">
        <v>120</v>
      </c>
      <c r="B19" t="s">
        <v>46</v>
      </c>
      <c r="C19" t="s">
        <v>119</v>
      </c>
      <c r="E19" t="s">
        <v>119</v>
      </c>
      <c r="F19" t="s">
        <v>65</v>
      </c>
      <c r="G19" t="s">
        <v>120</v>
      </c>
    </row>
  </sheetData>
  <sortState xmlns:xlrd2="http://schemas.microsoft.com/office/spreadsheetml/2017/richdata2" ref="M2:N11">
    <sortCondition descending="1" ref="N2:N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17C4-766B-4EB8-9A1D-58D1C1E2F85A}">
  <dimension ref="A1:AD39"/>
  <sheetViews>
    <sheetView workbookViewId="0">
      <selection activeCell="F13" sqref="F13"/>
    </sheetView>
  </sheetViews>
  <sheetFormatPr defaultRowHeight="14.4" x14ac:dyDescent="0.3"/>
  <sheetData>
    <row r="1" spans="1:30" x14ac:dyDescent="0.3">
      <c r="A1" t="s">
        <v>74</v>
      </c>
      <c r="L1" t="s">
        <v>26</v>
      </c>
      <c r="Y1" t="s">
        <v>116</v>
      </c>
      <c r="AC1" t="s">
        <v>47</v>
      </c>
    </row>
    <row r="2" spans="1:30" x14ac:dyDescent="0.3">
      <c r="A2" t="s">
        <v>50</v>
      </c>
      <c r="L2" t="str">
        <f>B11</f>
        <v>San Jose Earthquakes</v>
      </c>
      <c r="M2" t="s">
        <v>33</v>
      </c>
      <c r="N2" t="str">
        <f>B12</f>
        <v>Seattle Sounders</v>
      </c>
      <c r="Y2" t="s">
        <v>117</v>
      </c>
      <c r="AC2" t="s">
        <v>101</v>
      </c>
      <c r="AD2">
        <v>1</v>
      </c>
    </row>
    <row r="3" spans="1:3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Y3" t="s">
        <v>92</v>
      </c>
      <c r="Z3" t="s">
        <v>110</v>
      </c>
      <c r="AA3" t="s">
        <v>101</v>
      </c>
      <c r="AC3" t="s">
        <v>86</v>
      </c>
      <c r="AD3">
        <v>1</v>
      </c>
    </row>
    <row r="4" spans="1:30" x14ac:dyDescent="0.3">
      <c r="A4" s="7" t="s">
        <v>11</v>
      </c>
      <c r="B4" t="s">
        <v>82</v>
      </c>
      <c r="C4" s="6">
        <v>57</v>
      </c>
      <c r="D4">
        <v>34</v>
      </c>
      <c r="E4">
        <v>16</v>
      </c>
      <c r="F4">
        <v>9</v>
      </c>
      <c r="G4">
        <f t="shared" ref="G4" si="0">D4-E4-F4</f>
        <v>9</v>
      </c>
      <c r="H4">
        <v>55</v>
      </c>
      <c r="I4">
        <v>40</v>
      </c>
      <c r="J4">
        <f t="shared" ref="J4:J18" si="1">H4-I4</f>
        <v>15</v>
      </c>
      <c r="L4" t="s">
        <v>39</v>
      </c>
      <c r="Y4" t="s">
        <v>99</v>
      </c>
      <c r="Z4" t="s">
        <v>33</v>
      </c>
      <c r="AA4" t="s">
        <v>87</v>
      </c>
    </row>
    <row r="5" spans="1:30" x14ac:dyDescent="0.3">
      <c r="A5" s="7" t="s">
        <v>12</v>
      </c>
      <c r="B5" t="s">
        <v>83</v>
      </c>
      <c r="C5" s="6">
        <v>56</v>
      </c>
      <c r="D5">
        <v>34</v>
      </c>
      <c r="E5">
        <v>18</v>
      </c>
      <c r="F5">
        <v>2</v>
      </c>
      <c r="G5">
        <f>D5-E5-F5</f>
        <v>14</v>
      </c>
      <c r="H5">
        <v>50</v>
      </c>
      <c r="I5">
        <v>39</v>
      </c>
      <c r="J5">
        <f t="shared" si="1"/>
        <v>11</v>
      </c>
      <c r="L5" t="str">
        <f>B4</f>
        <v>St. Louis</v>
      </c>
      <c r="M5" t="s">
        <v>68</v>
      </c>
      <c r="N5" t="s">
        <v>86</v>
      </c>
      <c r="P5" t="s">
        <v>86</v>
      </c>
      <c r="Q5" t="s">
        <v>65</v>
      </c>
      <c r="R5" t="str">
        <f>B4</f>
        <v>St. Louis</v>
      </c>
      <c r="T5" t="s">
        <v>82</v>
      </c>
      <c r="U5" t="s">
        <v>111</v>
      </c>
      <c r="V5" t="s">
        <v>86</v>
      </c>
      <c r="Y5" t="s">
        <v>100</v>
      </c>
      <c r="Z5" t="s">
        <v>29</v>
      </c>
      <c r="AA5" t="s">
        <v>108</v>
      </c>
    </row>
    <row r="6" spans="1:30" x14ac:dyDescent="0.3">
      <c r="A6" s="7" t="s">
        <v>13</v>
      </c>
      <c r="B6" t="s">
        <v>88</v>
      </c>
      <c r="C6" s="6">
        <v>56</v>
      </c>
      <c r="D6">
        <v>34</v>
      </c>
      <c r="E6">
        <v>16</v>
      </c>
      <c r="F6">
        <v>8</v>
      </c>
      <c r="G6">
        <f t="shared" ref="G6:G18" si="2">D6-E6-F6</f>
        <v>10</v>
      </c>
      <c r="H6">
        <v>55</v>
      </c>
      <c r="I6">
        <v>49</v>
      </c>
      <c r="J6">
        <f t="shared" si="1"/>
        <v>6</v>
      </c>
      <c r="L6" t="str">
        <f>B7</f>
        <v>Portland Timbers</v>
      </c>
      <c r="M6" t="s">
        <v>27</v>
      </c>
      <c r="N6" t="str">
        <f>B8</f>
        <v>San Diego</v>
      </c>
      <c r="P6" t="str">
        <f>B8</f>
        <v>San Diego</v>
      </c>
      <c r="Q6" t="s">
        <v>112</v>
      </c>
      <c r="R6" t="str">
        <f>B7</f>
        <v>Portland Timbers</v>
      </c>
      <c r="T6" t="s">
        <v>84</v>
      </c>
      <c r="U6" t="s">
        <v>33</v>
      </c>
      <c r="V6" t="s">
        <v>89</v>
      </c>
      <c r="Y6" t="s">
        <v>91</v>
      </c>
      <c r="Z6" t="s">
        <v>46</v>
      </c>
      <c r="AA6" t="s">
        <v>102</v>
      </c>
    </row>
    <row r="7" spans="1:30" x14ac:dyDescent="0.3">
      <c r="A7" s="3" t="s">
        <v>14</v>
      </c>
      <c r="B7" t="s">
        <v>84</v>
      </c>
      <c r="C7" s="6">
        <v>51</v>
      </c>
      <c r="D7">
        <v>34</v>
      </c>
      <c r="E7">
        <v>12</v>
      </c>
      <c r="F7">
        <v>15</v>
      </c>
      <c r="G7">
        <f t="shared" si="2"/>
        <v>7</v>
      </c>
      <c r="H7">
        <v>43</v>
      </c>
      <c r="I7">
        <v>35</v>
      </c>
      <c r="J7">
        <f t="shared" si="1"/>
        <v>8</v>
      </c>
      <c r="L7" t="str">
        <f>B5</f>
        <v>FC Dallas</v>
      </c>
      <c r="M7" t="s">
        <v>109</v>
      </c>
      <c r="N7" t="str">
        <f>B10</f>
        <v>Austin FC</v>
      </c>
      <c r="P7" t="str">
        <f>B10</f>
        <v>Austin FC</v>
      </c>
      <c r="Q7" t="s">
        <v>29</v>
      </c>
      <c r="R7" t="str">
        <f>B5</f>
        <v>FC Dallas</v>
      </c>
      <c r="Y7" t="s">
        <v>98</v>
      </c>
      <c r="Z7" t="s">
        <v>33</v>
      </c>
      <c r="AA7" t="s">
        <v>82</v>
      </c>
    </row>
    <row r="8" spans="1:30" x14ac:dyDescent="0.3">
      <c r="A8" s="3" t="s">
        <v>15</v>
      </c>
      <c r="B8" t="s">
        <v>89</v>
      </c>
      <c r="C8" s="6">
        <v>51</v>
      </c>
      <c r="D8">
        <v>34</v>
      </c>
      <c r="E8">
        <v>15</v>
      </c>
      <c r="F8">
        <v>6</v>
      </c>
      <c r="G8">
        <f t="shared" si="2"/>
        <v>13</v>
      </c>
      <c r="H8">
        <v>56</v>
      </c>
      <c r="I8">
        <v>51</v>
      </c>
      <c r="J8">
        <f t="shared" si="1"/>
        <v>5</v>
      </c>
      <c r="L8" t="str">
        <f>B6</f>
        <v>LA Galaxy</v>
      </c>
      <c r="M8" t="s">
        <v>46</v>
      </c>
      <c r="N8" t="str">
        <f>B9</f>
        <v>Real Salt Lake</v>
      </c>
      <c r="P8" t="str">
        <f>B9</f>
        <v>Real Salt Lake</v>
      </c>
      <c r="Q8" t="s">
        <v>70</v>
      </c>
      <c r="R8" t="str">
        <f>B6</f>
        <v>LA Galaxy</v>
      </c>
      <c r="Y8" t="s">
        <v>106</v>
      </c>
      <c r="Z8" t="s">
        <v>29</v>
      </c>
      <c r="AA8" t="s">
        <v>104</v>
      </c>
    </row>
    <row r="9" spans="1:30" x14ac:dyDescent="0.3">
      <c r="A9" s="3" t="s">
        <v>16</v>
      </c>
      <c r="B9" t="s">
        <v>85</v>
      </c>
      <c r="C9" s="6">
        <v>50</v>
      </c>
      <c r="D9">
        <v>34</v>
      </c>
      <c r="E9">
        <v>15</v>
      </c>
      <c r="F9">
        <v>5</v>
      </c>
      <c r="G9">
        <f t="shared" si="2"/>
        <v>14</v>
      </c>
      <c r="H9">
        <v>51</v>
      </c>
      <c r="I9">
        <v>50</v>
      </c>
      <c r="J9">
        <f t="shared" si="1"/>
        <v>1</v>
      </c>
      <c r="Y9" t="s">
        <v>86</v>
      </c>
      <c r="Z9" t="s">
        <v>65</v>
      </c>
      <c r="AA9" t="s">
        <v>94</v>
      </c>
    </row>
    <row r="10" spans="1:30" x14ac:dyDescent="0.3">
      <c r="A10" s="3" t="s">
        <v>17</v>
      </c>
      <c r="B10" t="s">
        <v>87</v>
      </c>
      <c r="C10" s="6">
        <v>50</v>
      </c>
      <c r="D10">
        <v>34</v>
      </c>
      <c r="E10">
        <v>14</v>
      </c>
      <c r="F10">
        <v>8</v>
      </c>
      <c r="G10">
        <f t="shared" si="2"/>
        <v>12</v>
      </c>
      <c r="H10">
        <v>39</v>
      </c>
      <c r="I10">
        <v>42</v>
      </c>
      <c r="J10">
        <f t="shared" si="1"/>
        <v>-3</v>
      </c>
      <c r="L10" t="s">
        <v>30</v>
      </c>
      <c r="Y10" t="s">
        <v>96</v>
      </c>
      <c r="Z10" t="s">
        <v>67</v>
      </c>
      <c r="AA10" t="s">
        <v>93</v>
      </c>
    </row>
    <row r="11" spans="1:30" x14ac:dyDescent="0.3">
      <c r="A11" s="7" t="s">
        <v>18</v>
      </c>
      <c r="B11" t="s">
        <v>86</v>
      </c>
      <c r="C11" s="6">
        <v>49</v>
      </c>
      <c r="D11">
        <v>34</v>
      </c>
      <c r="E11">
        <v>14</v>
      </c>
      <c r="F11">
        <v>7</v>
      </c>
      <c r="G11">
        <f t="shared" si="2"/>
        <v>13</v>
      </c>
      <c r="H11">
        <v>40</v>
      </c>
      <c r="I11">
        <v>42</v>
      </c>
      <c r="J11">
        <f t="shared" si="1"/>
        <v>-2</v>
      </c>
      <c r="L11" t="s">
        <v>84</v>
      </c>
      <c r="M11" t="s">
        <v>29</v>
      </c>
      <c r="N11" t="s">
        <v>86</v>
      </c>
    </row>
    <row r="12" spans="1:30" x14ac:dyDescent="0.3">
      <c r="A12" s="1" t="s">
        <v>75</v>
      </c>
      <c r="B12" t="s">
        <v>90</v>
      </c>
      <c r="C12" s="6">
        <v>47</v>
      </c>
      <c r="D12">
        <v>34</v>
      </c>
      <c r="E12">
        <v>14</v>
      </c>
      <c r="F12">
        <v>5</v>
      </c>
      <c r="G12">
        <f t="shared" si="2"/>
        <v>15</v>
      </c>
      <c r="H12">
        <v>52</v>
      </c>
      <c r="I12">
        <v>50</v>
      </c>
      <c r="J12">
        <f t="shared" si="1"/>
        <v>2</v>
      </c>
      <c r="L12" t="s">
        <v>85</v>
      </c>
      <c r="M12" t="s">
        <v>65</v>
      </c>
      <c r="N12" t="s">
        <v>87</v>
      </c>
      <c r="Y12" t="s">
        <v>39</v>
      </c>
    </row>
    <row r="13" spans="1:30" x14ac:dyDescent="0.3">
      <c r="A13" t="s">
        <v>76</v>
      </c>
      <c r="B13" t="s">
        <v>92</v>
      </c>
      <c r="C13" s="6">
        <v>46</v>
      </c>
      <c r="D13">
        <v>34</v>
      </c>
      <c r="E13">
        <v>14</v>
      </c>
      <c r="F13">
        <v>4</v>
      </c>
      <c r="G13">
        <f t="shared" si="2"/>
        <v>16</v>
      </c>
      <c r="H13">
        <v>39</v>
      </c>
      <c r="I13">
        <v>44</v>
      </c>
      <c r="J13">
        <f t="shared" si="1"/>
        <v>-5</v>
      </c>
      <c r="Y13" t="s">
        <v>99</v>
      </c>
      <c r="Z13" t="s">
        <v>33</v>
      </c>
      <c r="AA13" t="s">
        <v>101</v>
      </c>
    </row>
    <row r="14" spans="1:30" x14ac:dyDescent="0.3">
      <c r="A14" t="s">
        <v>77</v>
      </c>
      <c r="B14" t="s">
        <v>40</v>
      </c>
      <c r="C14" s="6">
        <v>45</v>
      </c>
      <c r="D14">
        <v>34</v>
      </c>
      <c r="E14">
        <v>13</v>
      </c>
      <c r="F14">
        <v>6</v>
      </c>
      <c r="G14">
        <f t="shared" si="2"/>
        <v>15</v>
      </c>
      <c r="H14">
        <v>47</v>
      </c>
      <c r="I14">
        <v>48</v>
      </c>
      <c r="J14">
        <f t="shared" si="1"/>
        <v>-1</v>
      </c>
      <c r="L14" t="s">
        <v>32</v>
      </c>
      <c r="Y14" t="s">
        <v>102</v>
      </c>
      <c r="Z14" t="s">
        <v>31</v>
      </c>
      <c r="AA14" t="s">
        <v>100</v>
      </c>
    </row>
    <row r="15" spans="1:30" x14ac:dyDescent="0.3">
      <c r="A15" t="s">
        <v>78</v>
      </c>
      <c r="B15" t="s">
        <v>91</v>
      </c>
      <c r="C15" s="6">
        <v>44</v>
      </c>
      <c r="D15">
        <v>34</v>
      </c>
      <c r="E15">
        <v>13</v>
      </c>
      <c r="F15">
        <v>5</v>
      </c>
      <c r="G15">
        <f t="shared" si="2"/>
        <v>16</v>
      </c>
      <c r="H15">
        <v>39</v>
      </c>
      <c r="I15">
        <v>41</v>
      </c>
      <c r="J15">
        <f t="shared" si="1"/>
        <v>-2</v>
      </c>
      <c r="L15" t="s">
        <v>84</v>
      </c>
      <c r="M15" t="s">
        <v>65</v>
      </c>
      <c r="N15" t="s">
        <v>85</v>
      </c>
      <c r="Y15" t="s">
        <v>106</v>
      </c>
      <c r="Z15" t="s">
        <v>67</v>
      </c>
      <c r="AA15" t="s">
        <v>98</v>
      </c>
    </row>
    <row r="16" spans="1:30" x14ac:dyDescent="0.3">
      <c r="A16" t="s">
        <v>79</v>
      </c>
      <c r="B16" t="s">
        <v>95</v>
      </c>
      <c r="C16" s="6">
        <v>44</v>
      </c>
      <c r="D16">
        <v>34</v>
      </c>
      <c r="E16">
        <v>13</v>
      </c>
      <c r="F16">
        <v>5</v>
      </c>
      <c r="G16">
        <f t="shared" si="2"/>
        <v>16</v>
      </c>
      <c r="H16">
        <v>34</v>
      </c>
      <c r="I16">
        <v>44</v>
      </c>
      <c r="J16">
        <f t="shared" si="1"/>
        <v>-10</v>
      </c>
      <c r="Y16" t="s">
        <v>86</v>
      </c>
      <c r="Z16" t="s">
        <v>33</v>
      </c>
      <c r="AA16" t="s">
        <v>96</v>
      </c>
    </row>
    <row r="17" spans="1:27" x14ac:dyDescent="0.3">
      <c r="A17" t="s">
        <v>80</v>
      </c>
      <c r="B17" t="s">
        <v>93</v>
      </c>
      <c r="C17" s="6">
        <v>40</v>
      </c>
      <c r="D17">
        <v>34</v>
      </c>
      <c r="E17">
        <v>10</v>
      </c>
      <c r="F17">
        <v>10</v>
      </c>
      <c r="G17">
        <f t="shared" si="2"/>
        <v>14</v>
      </c>
      <c r="H17">
        <v>39</v>
      </c>
      <c r="I17">
        <v>54</v>
      </c>
      <c r="J17">
        <f t="shared" si="1"/>
        <v>-15</v>
      </c>
    </row>
    <row r="18" spans="1:27" x14ac:dyDescent="0.3">
      <c r="A18" t="s">
        <v>81</v>
      </c>
      <c r="B18" t="s">
        <v>94</v>
      </c>
      <c r="C18" s="6">
        <v>39</v>
      </c>
      <c r="D18">
        <v>34</v>
      </c>
      <c r="E18">
        <v>11</v>
      </c>
      <c r="F18">
        <v>8</v>
      </c>
      <c r="G18">
        <f t="shared" si="2"/>
        <v>15</v>
      </c>
      <c r="H18">
        <v>48</v>
      </c>
      <c r="I18">
        <v>48</v>
      </c>
      <c r="J18">
        <f t="shared" si="1"/>
        <v>0</v>
      </c>
      <c r="Y18" t="s">
        <v>30</v>
      </c>
    </row>
    <row r="19" spans="1:27" x14ac:dyDescent="0.3">
      <c r="Y19" t="s">
        <v>99</v>
      </c>
      <c r="Z19" t="s">
        <v>118</v>
      </c>
      <c r="AA19" t="s">
        <v>102</v>
      </c>
    </row>
    <row r="20" spans="1:27" x14ac:dyDescent="0.3">
      <c r="A20" t="s">
        <v>51</v>
      </c>
      <c r="L20" t="s">
        <v>26</v>
      </c>
      <c r="Y20" t="s">
        <v>86</v>
      </c>
      <c r="Z20" t="s">
        <v>68</v>
      </c>
      <c r="AA20" t="s">
        <v>106</v>
      </c>
    </row>
    <row r="21" spans="1:27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L21" t="str">
        <f>B29</f>
        <v>Charlotte FC</v>
      </c>
      <c r="M21" t="s">
        <v>110</v>
      </c>
      <c r="N21" t="str">
        <f>B30</f>
        <v>CF Montréal</v>
      </c>
    </row>
    <row r="22" spans="1:27" x14ac:dyDescent="0.3">
      <c r="A22" s="7" t="s">
        <v>11</v>
      </c>
      <c r="B22" t="s">
        <v>96</v>
      </c>
      <c r="C22" s="6">
        <v>61</v>
      </c>
      <c r="D22">
        <v>34</v>
      </c>
      <c r="E22">
        <v>19</v>
      </c>
      <c r="F22">
        <v>4</v>
      </c>
      <c r="G22">
        <f t="shared" ref="G22:G25" si="3">D22-E22-F22</f>
        <v>11</v>
      </c>
      <c r="H22">
        <v>50</v>
      </c>
      <c r="I22">
        <v>42</v>
      </c>
      <c r="J22">
        <f t="shared" ref="J22:J36" si="4">H22-I22</f>
        <v>8</v>
      </c>
      <c r="Y22" t="s">
        <v>32</v>
      </c>
    </row>
    <row r="23" spans="1:27" x14ac:dyDescent="0.3">
      <c r="A23" s="3" t="s">
        <v>12</v>
      </c>
      <c r="B23" t="s">
        <v>98</v>
      </c>
      <c r="C23" s="6">
        <v>54</v>
      </c>
      <c r="D23">
        <v>34</v>
      </c>
      <c r="E23">
        <v>15</v>
      </c>
      <c r="F23">
        <v>9</v>
      </c>
      <c r="G23">
        <f t="shared" si="3"/>
        <v>10</v>
      </c>
      <c r="H23">
        <v>51</v>
      </c>
      <c r="I23">
        <v>39</v>
      </c>
      <c r="J23">
        <f t="shared" si="4"/>
        <v>12</v>
      </c>
      <c r="L23" t="s">
        <v>39</v>
      </c>
      <c r="Y23" t="s">
        <v>86</v>
      </c>
      <c r="Z23" t="s">
        <v>33</v>
      </c>
      <c r="AA23" t="s">
        <v>102</v>
      </c>
    </row>
    <row r="24" spans="1:27" x14ac:dyDescent="0.3">
      <c r="A24" s="7" t="s">
        <v>13</v>
      </c>
      <c r="B24" t="s">
        <v>101</v>
      </c>
      <c r="C24" s="6">
        <v>51</v>
      </c>
      <c r="D24">
        <v>34</v>
      </c>
      <c r="E24">
        <v>15</v>
      </c>
      <c r="F24">
        <v>6</v>
      </c>
      <c r="G24">
        <f t="shared" si="3"/>
        <v>13</v>
      </c>
      <c r="H24">
        <v>57</v>
      </c>
      <c r="I24">
        <v>52</v>
      </c>
      <c r="J24">
        <f t="shared" si="4"/>
        <v>5</v>
      </c>
      <c r="L24" t="str">
        <f>B22</f>
        <v>DC United</v>
      </c>
      <c r="M24" t="s">
        <v>33</v>
      </c>
      <c r="N24" t="str">
        <f>B30</f>
        <v>CF Montréal</v>
      </c>
      <c r="P24" t="str">
        <f>B30</f>
        <v>CF Montréal</v>
      </c>
      <c r="Q24" t="s">
        <v>113</v>
      </c>
      <c r="R24" t="str">
        <f>B22</f>
        <v>DC United</v>
      </c>
      <c r="T24" t="s">
        <v>96</v>
      </c>
      <c r="U24" t="s">
        <v>33</v>
      </c>
      <c r="V24" t="s">
        <v>36</v>
      </c>
    </row>
    <row r="25" spans="1:27" x14ac:dyDescent="0.3">
      <c r="A25" s="3" t="s">
        <v>14</v>
      </c>
      <c r="B25" t="s">
        <v>100</v>
      </c>
      <c r="C25" s="6">
        <v>50</v>
      </c>
      <c r="D25">
        <v>34</v>
      </c>
      <c r="E25">
        <v>14</v>
      </c>
      <c r="F25">
        <v>8</v>
      </c>
      <c r="G25">
        <f t="shared" si="3"/>
        <v>12</v>
      </c>
      <c r="H25">
        <v>49</v>
      </c>
      <c r="I25">
        <v>42</v>
      </c>
      <c r="J25">
        <f t="shared" si="4"/>
        <v>7</v>
      </c>
      <c r="L25" t="str">
        <f>B25</f>
        <v>New York City FC</v>
      </c>
      <c r="M25" t="s">
        <v>33</v>
      </c>
      <c r="N25" t="str">
        <f>B26</f>
        <v>FC Cincinnati</v>
      </c>
      <c r="P25" t="str">
        <f>B26</f>
        <v>FC Cincinnati</v>
      </c>
      <c r="Q25" t="s">
        <v>33</v>
      </c>
      <c r="R25" t="str">
        <f>B25</f>
        <v>New York City FC</v>
      </c>
      <c r="T25" t="s">
        <v>100</v>
      </c>
      <c r="U25" t="s">
        <v>46</v>
      </c>
      <c r="V25" t="s">
        <v>97</v>
      </c>
    </row>
    <row r="26" spans="1:27" x14ac:dyDescent="0.3">
      <c r="A26" s="3" t="s">
        <v>15</v>
      </c>
      <c r="B26" t="s">
        <v>97</v>
      </c>
      <c r="C26" s="6">
        <v>48</v>
      </c>
      <c r="D26">
        <v>34</v>
      </c>
      <c r="E26">
        <v>14</v>
      </c>
      <c r="F26">
        <v>6</v>
      </c>
      <c r="G26">
        <f>D26-E26-F26</f>
        <v>14</v>
      </c>
      <c r="H26">
        <v>43</v>
      </c>
      <c r="I26">
        <v>47</v>
      </c>
      <c r="J26">
        <f t="shared" si="4"/>
        <v>-4</v>
      </c>
      <c r="L26" t="str">
        <f>B23</f>
        <v>Atlanta United</v>
      </c>
      <c r="M26" t="s">
        <v>33</v>
      </c>
      <c r="N26" t="str">
        <f>B28</f>
        <v>New York Red Bulls</v>
      </c>
      <c r="P26" t="str">
        <f>B28</f>
        <v>New York Red Bulls</v>
      </c>
      <c r="Q26" t="s">
        <v>46</v>
      </c>
      <c r="R26" t="str">
        <f>B23</f>
        <v>Atlanta United</v>
      </c>
    </row>
    <row r="27" spans="1:27" x14ac:dyDescent="0.3">
      <c r="A27" s="3" t="s">
        <v>16</v>
      </c>
      <c r="B27" t="s">
        <v>41</v>
      </c>
      <c r="C27" s="6">
        <v>47</v>
      </c>
      <c r="D27">
        <v>34</v>
      </c>
      <c r="E27">
        <v>15</v>
      </c>
      <c r="F27">
        <v>2</v>
      </c>
      <c r="G27">
        <f t="shared" ref="G27:G36" si="5">D27-E27-F27</f>
        <v>17</v>
      </c>
      <c r="H27">
        <v>51</v>
      </c>
      <c r="I27">
        <v>44</v>
      </c>
      <c r="J27">
        <f t="shared" si="4"/>
        <v>7</v>
      </c>
      <c r="L27" t="str">
        <f>B24</f>
        <v>Orlando City</v>
      </c>
      <c r="M27" t="s">
        <v>114</v>
      </c>
      <c r="N27" t="str">
        <f>B27</f>
        <v>Toronto FC</v>
      </c>
      <c r="P27" t="str">
        <f>B27</f>
        <v>Toronto FC</v>
      </c>
      <c r="Q27" t="s">
        <v>67</v>
      </c>
      <c r="R27" t="str">
        <f>B24</f>
        <v>Orlando City</v>
      </c>
      <c r="T27" t="s">
        <v>101</v>
      </c>
      <c r="U27" t="s">
        <v>33</v>
      </c>
      <c r="V27" t="s">
        <v>41</v>
      </c>
    </row>
    <row r="28" spans="1:27" x14ac:dyDescent="0.3">
      <c r="A28" s="3" t="s">
        <v>17</v>
      </c>
      <c r="B28" t="s">
        <v>102</v>
      </c>
      <c r="C28" s="6">
        <v>47</v>
      </c>
      <c r="D28">
        <v>34</v>
      </c>
      <c r="E28">
        <v>13</v>
      </c>
      <c r="F28">
        <v>8</v>
      </c>
      <c r="G28">
        <f t="shared" si="5"/>
        <v>13</v>
      </c>
      <c r="H28">
        <v>53</v>
      </c>
      <c r="I28">
        <v>49</v>
      </c>
      <c r="J28">
        <f t="shared" si="4"/>
        <v>4</v>
      </c>
    </row>
    <row r="29" spans="1:27" x14ac:dyDescent="0.3">
      <c r="A29" s="1" t="s">
        <v>18</v>
      </c>
      <c r="B29" t="s">
        <v>99</v>
      </c>
      <c r="C29" s="6">
        <v>47</v>
      </c>
      <c r="D29">
        <v>34</v>
      </c>
      <c r="E29">
        <v>13</v>
      </c>
      <c r="F29">
        <v>8</v>
      </c>
      <c r="G29">
        <f t="shared" si="5"/>
        <v>13</v>
      </c>
      <c r="H29">
        <v>49</v>
      </c>
      <c r="I29">
        <v>47</v>
      </c>
      <c r="J29">
        <f t="shared" si="4"/>
        <v>2</v>
      </c>
      <c r="L29" t="s">
        <v>30</v>
      </c>
    </row>
    <row r="30" spans="1:27" x14ac:dyDescent="0.3">
      <c r="A30" s="1" t="s">
        <v>75</v>
      </c>
      <c r="B30" t="s">
        <v>36</v>
      </c>
      <c r="C30" s="6">
        <v>46</v>
      </c>
      <c r="D30">
        <v>34</v>
      </c>
      <c r="E30">
        <v>12</v>
      </c>
      <c r="F30">
        <v>10</v>
      </c>
      <c r="G30">
        <f t="shared" si="5"/>
        <v>12</v>
      </c>
      <c r="H30">
        <v>54</v>
      </c>
      <c r="I30">
        <v>41</v>
      </c>
      <c r="J30">
        <f t="shared" si="4"/>
        <v>13</v>
      </c>
      <c r="L30" t="s">
        <v>96</v>
      </c>
      <c r="M30" t="s">
        <v>64</v>
      </c>
      <c r="N30" t="s">
        <v>97</v>
      </c>
    </row>
    <row r="31" spans="1:27" x14ac:dyDescent="0.3">
      <c r="A31" t="s">
        <v>76</v>
      </c>
      <c r="B31" t="s">
        <v>103</v>
      </c>
      <c r="C31" s="6">
        <v>46</v>
      </c>
      <c r="D31">
        <v>34</v>
      </c>
      <c r="E31">
        <v>13</v>
      </c>
      <c r="F31">
        <v>7</v>
      </c>
      <c r="G31">
        <f t="shared" si="5"/>
        <v>14</v>
      </c>
      <c r="H31">
        <v>47</v>
      </c>
      <c r="I31">
        <v>45</v>
      </c>
      <c r="J31">
        <f t="shared" si="4"/>
        <v>2</v>
      </c>
      <c r="L31" t="s">
        <v>98</v>
      </c>
      <c r="M31" t="s">
        <v>64</v>
      </c>
      <c r="N31" t="s">
        <v>101</v>
      </c>
    </row>
    <row r="32" spans="1:27" x14ac:dyDescent="0.3">
      <c r="A32" t="s">
        <v>77</v>
      </c>
      <c r="B32" t="s">
        <v>107</v>
      </c>
      <c r="C32" s="6">
        <v>43</v>
      </c>
      <c r="D32">
        <v>34</v>
      </c>
      <c r="E32">
        <v>12</v>
      </c>
      <c r="F32">
        <v>7</v>
      </c>
      <c r="G32">
        <f t="shared" si="5"/>
        <v>15</v>
      </c>
      <c r="H32">
        <v>46</v>
      </c>
      <c r="I32">
        <v>53</v>
      </c>
      <c r="J32">
        <f t="shared" si="4"/>
        <v>-7</v>
      </c>
    </row>
    <row r="33" spans="1:14" x14ac:dyDescent="0.3">
      <c r="A33" t="s">
        <v>78</v>
      </c>
      <c r="B33" t="s">
        <v>105</v>
      </c>
      <c r="C33" s="6">
        <v>42</v>
      </c>
      <c r="D33">
        <v>34</v>
      </c>
      <c r="E33">
        <v>12</v>
      </c>
      <c r="F33">
        <v>6</v>
      </c>
      <c r="G33">
        <f t="shared" si="5"/>
        <v>16</v>
      </c>
      <c r="H33">
        <v>38</v>
      </c>
      <c r="I33">
        <v>52</v>
      </c>
      <c r="J33">
        <f t="shared" si="4"/>
        <v>-14</v>
      </c>
      <c r="L33" t="s">
        <v>32</v>
      </c>
    </row>
    <row r="34" spans="1:14" x14ac:dyDescent="0.3">
      <c r="A34" t="s">
        <v>79</v>
      </c>
      <c r="B34" t="s">
        <v>108</v>
      </c>
      <c r="C34" s="6">
        <v>40</v>
      </c>
      <c r="D34">
        <v>34</v>
      </c>
      <c r="E34">
        <v>10</v>
      </c>
      <c r="F34">
        <v>10</v>
      </c>
      <c r="G34">
        <f t="shared" si="5"/>
        <v>14</v>
      </c>
      <c r="H34">
        <v>42</v>
      </c>
      <c r="I34">
        <v>50</v>
      </c>
      <c r="J34">
        <f t="shared" si="4"/>
        <v>-8</v>
      </c>
      <c r="L34" t="s">
        <v>101</v>
      </c>
      <c r="M34" t="s">
        <v>29</v>
      </c>
      <c r="N34" t="s">
        <v>97</v>
      </c>
    </row>
    <row r="35" spans="1:14" x14ac:dyDescent="0.3">
      <c r="A35" t="s">
        <v>80</v>
      </c>
      <c r="B35" t="s">
        <v>106</v>
      </c>
      <c r="C35" s="6">
        <v>40</v>
      </c>
      <c r="D35">
        <v>34</v>
      </c>
      <c r="E35">
        <v>10</v>
      </c>
      <c r="F35">
        <v>10</v>
      </c>
      <c r="G35">
        <f t="shared" si="5"/>
        <v>14</v>
      </c>
      <c r="H35">
        <v>45</v>
      </c>
      <c r="I35">
        <v>59</v>
      </c>
      <c r="J35">
        <f t="shared" si="4"/>
        <v>-14</v>
      </c>
    </row>
    <row r="36" spans="1:14" x14ac:dyDescent="0.3">
      <c r="A36" t="s">
        <v>81</v>
      </c>
      <c r="B36" t="s">
        <v>104</v>
      </c>
      <c r="C36" s="6">
        <v>39</v>
      </c>
      <c r="D36">
        <v>34</v>
      </c>
      <c r="E36">
        <v>11</v>
      </c>
      <c r="F36">
        <v>6</v>
      </c>
      <c r="G36">
        <f t="shared" si="5"/>
        <v>17</v>
      </c>
      <c r="H36">
        <v>31</v>
      </c>
      <c r="I36">
        <v>41</v>
      </c>
      <c r="J36">
        <f t="shared" si="4"/>
        <v>-10</v>
      </c>
    </row>
    <row r="38" spans="1:14" x14ac:dyDescent="0.3">
      <c r="A38" t="s">
        <v>32</v>
      </c>
    </row>
    <row r="39" spans="1:14" x14ac:dyDescent="0.3">
      <c r="A39" t="s">
        <v>84</v>
      </c>
      <c r="B39" t="s">
        <v>115</v>
      </c>
      <c r="C3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12BC-B1EC-4FE8-BBB0-2E87D0CA4EDC}">
  <dimension ref="A1:Q27"/>
  <sheetViews>
    <sheetView workbookViewId="0">
      <selection activeCell="L1" sqref="L1:M13"/>
    </sheetView>
  </sheetViews>
  <sheetFormatPr defaultRowHeight="14.4" x14ac:dyDescent="0.3"/>
  <sheetData>
    <row r="1" spans="1:17" x14ac:dyDescent="0.3">
      <c r="A1" t="s">
        <v>69</v>
      </c>
      <c r="L1" t="s">
        <v>212</v>
      </c>
      <c r="O1" t="s">
        <v>158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s="8" t="s">
        <v>11</v>
      </c>
      <c r="M2" t="s">
        <v>133</v>
      </c>
      <c r="O2" t="s">
        <v>135</v>
      </c>
      <c r="P2">
        <v>7</v>
      </c>
      <c r="Q2" t="s">
        <v>160</v>
      </c>
    </row>
    <row r="3" spans="1:17" x14ac:dyDescent="0.3">
      <c r="A3" s="3" t="s">
        <v>11</v>
      </c>
      <c r="B3" t="s">
        <v>132</v>
      </c>
      <c r="C3" s="6">
        <v>37</v>
      </c>
      <c r="D3">
        <v>22</v>
      </c>
      <c r="E3">
        <v>10</v>
      </c>
      <c r="F3">
        <v>7</v>
      </c>
      <c r="G3">
        <f t="shared" ref="G3" si="0">D3-E3-F3</f>
        <v>5</v>
      </c>
      <c r="H3">
        <v>42</v>
      </c>
      <c r="I3">
        <v>25</v>
      </c>
      <c r="J3">
        <f t="shared" ref="J3:J14" si="1">H3-I3</f>
        <v>17</v>
      </c>
      <c r="L3" s="8" t="s">
        <v>12</v>
      </c>
      <c r="M3" t="s">
        <v>135</v>
      </c>
    </row>
    <row r="4" spans="1:17" x14ac:dyDescent="0.3">
      <c r="A4" s="3" t="s">
        <v>12</v>
      </c>
      <c r="B4" t="s">
        <v>133</v>
      </c>
      <c r="C4" s="6">
        <v>33</v>
      </c>
      <c r="D4">
        <v>22</v>
      </c>
      <c r="E4">
        <v>9</v>
      </c>
      <c r="F4">
        <v>6</v>
      </c>
      <c r="G4">
        <f>D4-E4-F4</f>
        <v>7</v>
      </c>
      <c r="H4">
        <v>35</v>
      </c>
      <c r="I4">
        <v>35</v>
      </c>
      <c r="J4">
        <f t="shared" si="1"/>
        <v>0</v>
      </c>
      <c r="L4" s="8" t="s">
        <v>13</v>
      </c>
      <c r="M4" t="s">
        <v>143</v>
      </c>
    </row>
    <row r="5" spans="1:17" x14ac:dyDescent="0.3">
      <c r="A5" s="3" t="s">
        <v>13</v>
      </c>
      <c r="B5" t="s">
        <v>134</v>
      </c>
      <c r="C5" s="6">
        <v>31</v>
      </c>
      <c r="D5">
        <v>22</v>
      </c>
      <c r="E5">
        <v>8</v>
      </c>
      <c r="F5">
        <v>7</v>
      </c>
      <c r="G5">
        <f t="shared" ref="G5:G14" si="2">D5-E5-F5</f>
        <v>7</v>
      </c>
      <c r="H5">
        <v>36</v>
      </c>
      <c r="I5">
        <v>32</v>
      </c>
      <c r="J5">
        <f t="shared" si="1"/>
        <v>4</v>
      </c>
      <c r="L5" s="9" t="s">
        <v>14</v>
      </c>
      <c r="M5" t="s">
        <v>139</v>
      </c>
    </row>
    <row r="6" spans="1:17" x14ac:dyDescent="0.3">
      <c r="A6" s="3" t="s">
        <v>14</v>
      </c>
      <c r="B6" t="s">
        <v>135</v>
      </c>
      <c r="C6" s="6">
        <v>31</v>
      </c>
      <c r="D6">
        <v>22</v>
      </c>
      <c r="E6">
        <v>8</v>
      </c>
      <c r="F6">
        <v>7</v>
      </c>
      <c r="G6">
        <f t="shared" si="2"/>
        <v>7</v>
      </c>
      <c r="H6">
        <v>31</v>
      </c>
      <c r="I6">
        <v>31</v>
      </c>
      <c r="J6">
        <f t="shared" si="1"/>
        <v>0</v>
      </c>
      <c r="L6" t="s">
        <v>15</v>
      </c>
      <c r="M6" t="s">
        <v>132</v>
      </c>
    </row>
    <row r="7" spans="1:17" x14ac:dyDescent="0.3">
      <c r="A7" s="3" t="s">
        <v>15</v>
      </c>
      <c r="B7" t="s">
        <v>136</v>
      </c>
      <c r="C7" s="6">
        <v>31</v>
      </c>
      <c r="D7">
        <v>22</v>
      </c>
      <c r="E7">
        <v>8</v>
      </c>
      <c r="F7">
        <v>7</v>
      </c>
      <c r="G7">
        <f t="shared" si="2"/>
        <v>7</v>
      </c>
      <c r="H7">
        <v>36</v>
      </c>
      <c r="I7">
        <v>40</v>
      </c>
      <c r="J7">
        <f t="shared" si="1"/>
        <v>-4</v>
      </c>
      <c r="L7" t="s">
        <v>16</v>
      </c>
      <c r="M7" t="s">
        <v>134</v>
      </c>
    </row>
    <row r="8" spans="1:17" x14ac:dyDescent="0.3">
      <c r="A8" s="3" t="s">
        <v>16</v>
      </c>
      <c r="B8" t="s">
        <v>137</v>
      </c>
      <c r="C8" s="6">
        <v>30</v>
      </c>
      <c r="D8">
        <v>22</v>
      </c>
      <c r="E8">
        <v>7</v>
      </c>
      <c r="F8">
        <v>9</v>
      </c>
      <c r="G8">
        <f t="shared" si="2"/>
        <v>6</v>
      </c>
      <c r="H8">
        <v>33</v>
      </c>
      <c r="I8">
        <v>32</v>
      </c>
      <c r="J8">
        <f t="shared" si="1"/>
        <v>1</v>
      </c>
      <c r="L8" t="s">
        <v>17</v>
      </c>
      <c r="M8" t="s">
        <v>138</v>
      </c>
    </row>
    <row r="9" spans="1:17" x14ac:dyDescent="0.3">
      <c r="A9" s="3" t="s">
        <v>17</v>
      </c>
      <c r="B9" t="s">
        <v>138</v>
      </c>
      <c r="C9" s="6">
        <v>29</v>
      </c>
      <c r="D9">
        <v>22</v>
      </c>
      <c r="E9">
        <v>6</v>
      </c>
      <c r="F9">
        <v>11</v>
      </c>
      <c r="G9">
        <f t="shared" si="2"/>
        <v>5</v>
      </c>
      <c r="H9">
        <v>31</v>
      </c>
      <c r="I9">
        <v>32</v>
      </c>
      <c r="J9">
        <f t="shared" si="1"/>
        <v>-1</v>
      </c>
      <c r="L9" t="s">
        <v>18</v>
      </c>
      <c r="M9" t="s">
        <v>137</v>
      </c>
    </row>
    <row r="10" spans="1:17" x14ac:dyDescent="0.3">
      <c r="A10" s="3" t="s">
        <v>18</v>
      </c>
      <c r="B10" t="s">
        <v>139</v>
      </c>
      <c r="C10" s="6">
        <v>29</v>
      </c>
      <c r="D10">
        <v>22</v>
      </c>
      <c r="E10">
        <v>7</v>
      </c>
      <c r="F10">
        <v>8</v>
      </c>
      <c r="G10">
        <f t="shared" si="2"/>
        <v>7</v>
      </c>
      <c r="H10">
        <v>27</v>
      </c>
      <c r="I10">
        <v>30</v>
      </c>
      <c r="J10">
        <f t="shared" si="1"/>
        <v>-3</v>
      </c>
      <c r="L10" t="s">
        <v>75</v>
      </c>
      <c r="M10" t="s">
        <v>136</v>
      </c>
    </row>
    <row r="11" spans="1:17" x14ac:dyDescent="0.3">
      <c r="A11" t="s">
        <v>75</v>
      </c>
      <c r="B11" t="s">
        <v>140</v>
      </c>
      <c r="C11" s="6">
        <v>27</v>
      </c>
      <c r="D11">
        <v>22</v>
      </c>
      <c r="E11">
        <v>8</v>
      </c>
      <c r="F11">
        <v>3</v>
      </c>
      <c r="G11">
        <f t="shared" si="2"/>
        <v>11</v>
      </c>
      <c r="H11">
        <v>32</v>
      </c>
      <c r="I11">
        <v>32</v>
      </c>
      <c r="J11">
        <f t="shared" si="1"/>
        <v>0</v>
      </c>
      <c r="L11" t="s">
        <v>76</v>
      </c>
      <c r="M11" t="s">
        <v>140</v>
      </c>
    </row>
    <row r="12" spans="1:17" x14ac:dyDescent="0.3">
      <c r="A12" t="s">
        <v>76</v>
      </c>
      <c r="B12" t="s">
        <v>141</v>
      </c>
      <c r="C12" s="6">
        <v>27</v>
      </c>
      <c r="D12">
        <v>22</v>
      </c>
      <c r="E12">
        <v>6</v>
      </c>
      <c r="F12">
        <v>9</v>
      </c>
      <c r="G12">
        <f t="shared" si="2"/>
        <v>7</v>
      </c>
      <c r="H12">
        <v>33</v>
      </c>
      <c r="I12">
        <v>36</v>
      </c>
      <c r="J12">
        <f t="shared" si="1"/>
        <v>-3</v>
      </c>
      <c r="L12" t="s">
        <v>77</v>
      </c>
      <c r="M12" t="s">
        <v>141</v>
      </c>
    </row>
    <row r="13" spans="1:17" x14ac:dyDescent="0.3">
      <c r="A13" t="s">
        <v>77</v>
      </c>
      <c r="B13" t="s">
        <v>142</v>
      </c>
      <c r="C13" s="6">
        <v>26</v>
      </c>
      <c r="D13">
        <v>22</v>
      </c>
      <c r="E13">
        <v>8</v>
      </c>
      <c r="F13">
        <v>2</v>
      </c>
      <c r="G13">
        <f t="shared" si="2"/>
        <v>12</v>
      </c>
      <c r="H13">
        <v>28</v>
      </c>
      <c r="I13">
        <v>31</v>
      </c>
      <c r="J13">
        <f t="shared" si="1"/>
        <v>-3</v>
      </c>
      <c r="L13" t="s">
        <v>78</v>
      </c>
      <c r="M13" t="s">
        <v>142</v>
      </c>
    </row>
    <row r="14" spans="1:17" x14ac:dyDescent="0.3">
      <c r="A14" t="s">
        <v>78</v>
      </c>
      <c r="B14" t="s">
        <v>143</v>
      </c>
      <c r="C14" s="6">
        <v>24</v>
      </c>
      <c r="D14">
        <v>22</v>
      </c>
      <c r="E14">
        <v>6</v>
      </c>
      <c r="F14">
        <v>6</v>
      </c>
      <c r="G14">
        <f t="shared" si="2"/>
        <v>10</v>
      </c>
      <c r="H14">
        <v>28</v>
      </c>
      <c r="I14">
        <v>36</v>
      </c>
      <c r="J14">
        <f t="shared" si="1"/>
        <v>-8</v>
      </c>
    </row>
    <row r="16" spans="1:17" x14ac:dyDescent="0.3">
      <c r="A16" t="s">
        <v>39</v>
      </c>
    </row>
    <row r="17" spans="1:7" x14ac:dyDescent="0.3">
      <c r="A17" t="str">
        <f>B10</f>
        <v>Aurora</v>
      </c>
      <c r="B17" t="s">
        <v>65</v>
      </c>
      <c r="C17" t="str">
        <f>B3</f>
        <v>Deportivo Achuapa</v>
      </c>
      <c r="E17" t="str">
        <f>B3</f>
        <v>Deportivo Achuapa</v>
      </c>
      <c r="F17" t="s">
        <v>144</v>
      </c>
      <c r="G17" t="str">
        <f>B10</f>
        <v>Aurora</v>
      </c>
    </row>
    <row r="18" spans="1:7" x14ac:dyDescent="0.3">
      <c r="A18" t="str">
        <f>B9</f>
        <v>Xelajú</v>
      </c>
      <c r="B18" t="s">
        <v>37</v>
      </c>
      <c r="C18" t="str">
        <f>B4</f>
        <v>Mixco</v>
      </c>
      <c r="E18" t="str">
        <f>B4</f>
        <v>Mixco</v>
      </c>
      <c r="F18" t="s">
        <v>33</v>
      </c>
      <c r="G18" t="str">
        <f>B9</f>
        <v>Xelajú</v>
      </c>
    </row>
    <row r="19" spans="1:7" x14ac:dyDescent="0.3">
      <c r="A19" t="str">
        <f>B8</f>
        <v>Cobán Imperial</v>
      </c>
      <c r="B19" t="s">
        <v>66</v>
      </c>
      <c r="C19" t="str">
        <f>B5</f>
        <v>Malacateco</v>
      </c>
      <c r="E19" t="str">
        <f>B5</f>
        <v>Malacateco</v>
      </c>
      <c r="F19" t="s">
        <v>144</v>
      </c>
      <c r="G19" t="str">
        <f>B8</f>
        <v>Cobán Imperial</v>
      </c>
    </row>
    <row r="20" spans="1:7" x14ac:dyDescent="0.3">
      <c r="A20" t="str">
        <f>B7</f>
        <v>Guastatoya</v>
      </c>
      <c r="B20" t="s">
        <v>64</v>
      </c>
      <c r="C20" t="str">
        <f>B6</f>
        <v>Antigua</v>
      </c>
      <c r="E20" t="str">
        <f>B6</f>
        <v>Antigua</v>
      </c>
      <c r="F20" t="s">
        <v>46</v>
      </c>
      <c r="G20" t="str">
        <f>B7</f>
        <v>Guastatoya</v>
      </c>
    </row>
    <row r="22" spans="1:7" x14ac:dyDescent="0.3">
      <c r="A22" t="s">
        <v>30</v>
      </c>
    </row>
    <row r="23" spans="1:7" x14ac:dyDescent="0.3">
      <c r="A23" t="s">
        <v>139</v>
      </c>
      <c r="B23" t="s">
        <v>33</v>
      </c>
      <c r="C23" t="s">
        <v>133</v>
      </c>
      <c r="E23" t="s">
        <v>133</v>
      </c>
      <c r="F23" t="s">
        <v>144</v>
      </c>
      <c r="G23" t="s">
        <v>139</v>
      </c>
    </row>
    <row r="24" spans="1:7" x14ac:dyDescent="0.3">
      <c r="A24" t="s">
        <v>134</v>
      </c>
      <c r="B24" t="s">
        <v>144</v>
      </c>
      <c r="C24" t="s">
        <v>135</v>
      </c>
      <c r="E24" t="s">
        <v>135</v>
      </c>
      <c r="F24" t="s">
        <v>67</v>
      </c>
      <c r="G24" t="s">
        <v>134</v>
      </c>
    </row>
    <row r="26" spans="1:7" x14ac:dyDescent="0.3">
      <c r="A26" t="s">
        <v>32</v>
      </c>
    </row>
    <row r="27" spans="1:7" x14ac:dyDescent="0.3">
      <c r="A27" t="s">
        <v>139</v>
      </c>
      <c r="B27" t="s">
        <v>46</v>
      </c>
      <c r="C27" t="s">
        <v>135</v>
      </c>
      <c r="E27" t="s">
        <v>135</v>
      </c>
      <c r="F27" t="s">
        <v>144</v>
      </c>
      <c r="G27" t="s">
        <v>139</v>
      </c>
    </row>
  </sheetData>
  <sortState xmlns:xlrd2="http://schemas.microsoft.com/office/spreadsheetml/2017/richdata2" ref="M2:N13">
    <sortCondition descending="1" ref="N2:N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6AA1-9A39-4DEC-B1E9-0F058E2F3706}">
  <dimension ref="A1:N28"/>
  <sheetViews>
    <sheetView workbookViewId="0">
      <selection activeCell="M2" sqref="M2"/>
    </sheetView>
  </sheetViews>
  <sheetFormatPr defaultRowHeight="14.4" x14ac:dyDescent="0.3"/>
  <sheetData>
    <row r="1" spans="1:14" x14ac:dyDescent="0.3">
      <c r="A1" t="s">
        <v>69</v>
      </c>
      <c r="L1" t="s">
        <v>158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148</v>
      </c>
      <c r="M2">
        <v>10</v>
      </c>
      <c r="N2" t="s">
        <v>161</v>
      </c>
    </row>
    <row r="3" spans="1:14" x14ac:dyDescent="0.3">
      <c r="A3" s="3" t="s">
        <v>11</v>
      </c>
      <c r="B3" t="s">
        <v>147</v>
      </c>
      <c r="C3" s="6">
        <v>37</v>
      </c>
      <c r="D3">
        <v>20</v>
      </c>
      <c r="E3">
        <v>11</v>
      </c>
      <c r="F3">
        <v>4</v>
      </c>
      <c r="G3">
        <f t="shared" ref="G3" si="0">D3-E3-F3</f>
        <v>5</v>
      </c>
      <c r="H3">
        <v>31</v>
      </c>
      <c r="I3">
        <v>26</v>
      </c>
      <c r="J3">
        <f t="shared" ref="J3:J13" si="1">H3-I3</f>
        <v>5</v>
      </c>
    </row>
    <row r="4" spans="1:14" x14ac:dyDescent="0.3">
      <c r="A4" s="3" t="s">
        <v>12</v>
      </c>
      <c r="B4" t="s">
        <v>148</v>
      </c>
      <c r="C4" s="6">
        <v>34</v>
      </c>
      <c r="D4">
        <v>20</v>
      </c>
      <c r="E4">
        <v>10</v>
      </c>
      <c r="F4">
        <v>4</v>
      </c>
      <c r="G4">
        <f>D4-E4-F4</f>
        <v>6</v>
      </c>
      <c r="H4">
        <v>35</v>
      </c>
      <c r="I4">
        <v>33</v>
      </c>
      <c r="J4">
        <f t="shared" si="1"/>
        <v>2</v>
      </c>
    </row>
    <row r="5" spans="1:14" x14ac:dyDescent="0.3">
      <c r="A5" s="3" t="s">
        <v>13</v>
      </c>
      <c r="B5" t="s">
        <v>149</v>
      </c>
      <c r="C5" s="6">
        <v>31</v>
      </c>
      <c r="D5">
        <v>20</v>
      </c>
      <c r="E5">
        <v>8</v>
      </c>
      <c r="F5">
        <v>7</v>
      </c>
      <c r="G5">
        <f t="shared" ref="G5:G13" si="2">D5-E5-F5</f>
        <v>5</v>
      </c>
      <c r="H5">
        <v>39</v>
      </c>
      <c r="I5">
        <v>34</v>
      </c>
      <c r="J5">
        <f t="shared" si="1"/>
        <v>5</v>
      </c>
    </row>
    <row r="6" spans="1:14" x14ac:dyDescent="0.3">
      <c r="A6" s="3" t="s">
        <v>14</v>
      </c>
      <c r="B6" t="s">
        <v>150</v>
      </c>
      <c r="C6" s="6">
        <v>31</v>
      </c>
      <c r="D6">
        <v>20</v>
      </c>
      <c r="E6">
        <v>9</v>
      </c>
      <c r="F6">
        <v>4</v>
      </c>
      <c r="G6">
        <f t="shared" si="2"/>
        <v>7</v>
      </c>
      <c r="H6">
        <v>30</v>
      </c>
      <c r="I6">
        <v>27</v>
      </c>
      <c r="J6">
        <f t="shared" si="1"/>
        <v>3</v>
      </c>
    </row>
    <row r="7" spans="1:14" x14ac:dyDescent="0.3">
      <c r="A7" s="3" t="s">
        <v>15</v>
      </c>
      <c r="B7" t="s">
        <v>151</v>
      </c>
      <c r="C7" s="6">
        <v>30</v>
      </c>
      <c r="D7">
        <v>20</v>
      </c>
      <c r="E7">
        <v>9</v>
      </c>
      <c r="F7">
        <v>3</v>
      </c>
      <c r="G7">
        <f t="shared" si="2"/>
        <v>8</v>
      </c>
      <c r="H7">
        <v>32</v>
      </c>
      <c r="I7">
        <v>33</v>
      </c>
      <c r="J7">
        <f t="shared" si="1"/>
        <v>-1</v>
      </c>
    </row>
    <row r="8" spans="1:14" x14ac:dyDescent="0.3">
      <c r="A8" s="3" t="s">
        <v>16</v>
      </c>
      <c r="B8" t="s">
        <v>152</v>
      </c>
      <c r="C8" s="6">
        <v>28</v>
      </c>
      <c r="D8">
        <v>20</v>
      </c>
      <c r="E8">
        <v>8</v>
      </c>
      <c r="F8">
        <v>4</v>
      </c>
      <c r="G8">
        <f t="shared" si="2"/>
        <v>8</v>
      </c>
      <c r="H8">
        <v>35</v>
      </c>
      <c r="I8">
        <v>33</v>
      </c>
      <c r="J8">
        <f t="shared" si="1"/>
        <v>2</v>
      </c>
    </row>
    <row r="9" spans="1:14" x14ac:dyDescent="0.3">
      <c r="A9" t="s">
        <v>17</v>
      </c>
      <c r="B9" t="s">
        <v>153</v>
      </c>
      <c r="C9" s="6">
        <v>26</v>
      </c>
      <c r="D9">
        <v>20</v>
      </c>
      <c r="E9">
        <v>7</v>
      </c>
      <c r="F9">
        <v>5</v>
      </c>
      <c r="G9">
        <f t="shared" si="2"/>
        <v>8</v>
      </c>
      <c r="H9">
        <v>32</v>
      </c>
      <c r="I9">
        <v>31</v>
      </c>
      <c r="J9">
        <f t="shared" si="1"/>
        <v>1</v>
      </c>
    </row>
    <row r="10" spans="1:14" x14ac:dyDescent="0.3">
      <c r="A10" t="s">
        <v>18</v>
      </c>
      <c r="B10" t="s">
        <v>154</v>
      </c>
      <c r="C10" s="6">
        <v>24</v>
      </c>
      <c r="D10">
        <v>20</v>
      </c>
      <c r="E10">
        <v>6</v>
      </c>
      <c r="F10">
        <v>6</v>
      </c>
      <c r="G10">
        <f t="shared" si="2"/>
        <v>8</v>
      </c>
      <c r="H10">
        <v>34</v>
      </c>
      <c r="I10">
        <v>32</v>
      </c>
      <c r="J10">
        <f t="shared" si="1"/>
        <v>2</v>
      </c>
    </row>
    <row r="11" spans="1:14" x14ac:dyDescent="0.3">
      <c r="A11" t="s">
        <v>75</v>
      </c>
      <c r="B11" t="s">
        <v>155</v>
      </c>
      <c r="C11" s="6">
        <v>24</v>
      </c>
      <c r="D11">
        <v>20</v>
      </c>
      <c r="E11">
        <v>7</v>
      </c>
      <c r="F11">
        <v>3</v>
      </c>
      <c r="G11">
        <f t="shared" si="2"/>
        <v>10</v>
      </c>
      <c r="H11">
        <v>25</v>
      </c>
      <c r="I11">
        <v>29</v>
      </c>
      <c r="J11">
        <f t="shared" si="1"/>
        <v>-4</v>
      </c>
    </row>
    <row r="12" spans="1:14" x14ac:dyDescent="0.3">
      <c r="A12" t="s">
        <v>76</v>
      </c>
      <c r="B12" t="s">
        <v>156</v>
      </c>
      <c r="C12" s="6">
        <v>23</v>
      </c>
      <c r="D12">
        <v>20</v>
      </c>
      <c r="E12">
        <v>7</v>
      </c>
      <c r="F12">
        <v>2</v>
      </c>
      <c r="G12">
        <f t="shared" si="2"/>
        <v>11</v>
      </c>
      <c r="H12">
        <v>29</v>
      </c>
      <c r="I12">
        <v>33</v>
      </c>
      <c r="J12">
        <f t="shared" si="1"/>
        <v>-4</v>
      </c>
    </row>
    <row r="13" spans="1:14" x14ac:dyDescent="0.3">
      <c r="A13" t="s">
        <v>77</v>
      </c>
      <c r="B13" t="s">
        <v>157</v>
      </c>
      <c r="C13" s="6">
        <v>20</v>
      </c>
      <c r="D13">
        <v>20</v>
      </c>
      <c r="E13">
        <v>6</v>
      </c>
      <c r="F13">
        <v>2</v>
      </c>
      <c r="G13">
        <f t="shared" si="2"/>
        <v>12</v>
      </c>
      <c r="H13">
        <v>25</v>
      </c>
      <c r="I13">
        <v>36</v>
      </c>
      <c r="J13">
        <f t="shared" si="1"/>
        <v>-11</v>
      </c>
    </row>
    <row r="15" spans="1:14" x14ac:dyDescent="0.3">
      <c r="A15" t="s">
        <v>145</v>
      </c>
    </row>
    <row r="16" spans="1:14" x14ac:dyDescent="0.3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</row>
    <row r="17" spans="1:10" x14ac:dyDescent="0.3">
      <c r="A17" s="3" t="s">
        <v>11</v>
      </c>
      <c r="B17" t="s">
        <v>147</v>
      </c>
      <c r="C17" s="6">
        <v>7</v>
      </c>
      <c r="D17">
        <v>4</v>
      </c>
      <c r="E17">
        <v>2</v>
      </c>
      <c r="F17">
        <v>1</v>
      </c>
      <c r="G17">
        <f t="shared" ref="G17" si="3">D17-E17-F17</f>
        <v>1</v>
      </c>
      <c r="H17">
        <v>4</v>
      </c>
      <c r="I17">
        <v>3</v>
      </c>
      <c r="J17">
        <f t="shared" ref="J17:J19" si="4">H17-I17</f>
        <v>1</v>
      </c>
    </row>
    <row r="18" spans="1:10" x14ac:dyDescent="0.3">
      <c r="A18" t="s">
        <v>12</v>
      </c>
      <c r="B18" t="s">
        <v>149</v>
      </c>
      <c r="C18" s="6">
        <v>6</v>
      </c>
      <c r="D18">
        <v>4</v>
      </c>
      <c r="E18">
        <v>1</v>
      </c>
      <c r="F18">
        <v>3</v>
      </c>
      <c r="G18">
        <f>D18-E18-F18</f>
        <v>0</v>
      </c>
      <c r="H18">
        <v>6</v>
      </c>
      <c r="I18">
        <v>5</v>
      </c>
      <c r="J18">
        <f t="shared" si="4"/>
        <v>1</v>
      </c>
    </row>
    <row r="19" spans="1:10" x14ac:dyDescent="0.3">
      <c r="A19" t="s">
        <v>13</v>
      </c>
      <c r="B19" t="s">
        <v>151</v>
      </c>
      <c r="C19" s="6">
        <v>2</v>
      </c>
      <c r="D19">
        <v>4</v>
      </c>
      <c r="E19">
        <v>0</v>
      </c>
      <c r="F19">
        <v>2</v>
      </c>
      <c r="G19">
        <f t="shared" ref="G19" si="5">D19-E19-F19</f>
        <v>2</v>
      </c>
      <c r="H19">
        <v>5</v>
      </c>
      <c r="I19">
        <v>7</v>
      </c>
      <c r="J19">
        <f t="shared" si="4"/>
        <v>-2</v>
      </c>
    </row>
    <row r="21" spans="1:10" x14ac:dyDescent="0.3">
      <c r="A21" t="s">
        <v>146</v>
      </c>
    </row>
    <row r="22" spans="1:10" x14ac:dyDescent="0.3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</row>
    <row r="23" spans="1:10" x14ac:dyDescent="0.3">
      <c r="A23" s="3" t="s">
        <v>11</v>
      </c>
      <c r="B23" t="s">
        <v>148</v>
      </c>
      <c r="C23" s="6">
        <v>9</v>
      </c>
      <c r="D23">
        <v>4</v>
      </c>
      <c r="E23">
        <v>3</v>
      </c>
      <c r="F23">
        <v>0</v>
      </c>
      <c r="G23">
        <f t="shared" ref="G23" si="6">D23-E23-F23</f>
        <v>1</v>
      </c>
      <c r="H23">
        <v>7</v>
      </c>
      <c r="I23">
        <v>2</v>
      </c>
      <c r="J23">
        <f t="shared" ref="J23:J25" si="7">H23-I23</f>
        <v>5</v>
      </c>
    </row>
    <row r="24" spans="1:10" x14ac:dyDescent="0.3">
      <c r="A24" t="s">
        <v>12</v>
      </c>
      <c r="B24" t="s">
        <v>150</v>
      </c>
      <c r="C24" s="6">
        <v>6</v>
      </c>
      <c r="D24">
        <v>4</v>
      </c>
      <c r="E24">
        <v>2</v>
      </c>
      <c r="F24">
        <v>0</v>
      </c>
      <c r="G24">
        <f>D24-E24-F24</f>
        <v>2</v>
      </c>
      <c r="H24">
        <v>3</v>
      </c>
      <c r="I24">
        <v>4</v>
      </c>
      <c r="J24">
        <f t="shared" si="7"/>
        <v>-1</v>
      </c>
    </row>
    <row r="25" spans="1:10" x14ac:dyDescent="0.3">
      <c r="A25" t="s">
        <v>13</v>
      </c>
      <c r="B25" t="s">
        <v>152</v>
      </c>
      <c r="C25" s="6">
        <v>3</v>
      </c>
      <c r="D25">
        <v>4</v>
      </c>
      <c r="E25">
        <v>1</v>
      </c>
      <c r="F25">
        <v>0</v>
      </c>
      <c r="G25">
        <f t="shared" ref="G25" si="8">D25-E25-F25</f>
        <v>3</v>
      </c>
      <c r="H25">
        <v>2</v>
      </c>
      <c r="I25">
        <v>6</v>
      </c>
      <c r="J25">
        <f t="shared" si="7"/>
        <v>-4</v>
      </c>
    </row>
    <row r="27" spans="1:10" x14ac:dyDescent="0.3">
      <c r="A27" t="s">
        <v>32</v>
      </c>
    </row>
    <row r="28" spans="1:10" x14ac:dyDescent="0.3">
      <c r="A28" t="s">
        <v>148</v>
      </c>
      <c r="B28" t="s">
        <v>65</v>
      </c>
      <c r="C28" t="s">
        <v>147</v>
      </c>
      <c r="E28" t="s">
        <v>147</v>
      </c>
      <c r="F28" t="s">
        <v>159</v>
      </c>
      <c r="G28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F10D-0CB4-49B6-ADFA-7309E6EFB8D4}">
  <dimension ref="A1:M30"/>
  <sheetViews>
    <sheetView workbookViewId="0">
      <selection activeCell="B13" sqref="B13"/>
    </sheetView>
  </sheetViews>
  <sheetFormatPr defaultRowHeight="14.4" x14ac:dyDescent="0.3"/>
  <sheetData>
    <row r="1" spans="1:13" x14ac:dyDescent="0.3">
      <c r="A1" t="s">
        <v>162</v>
      </c>
      <c r="L1" t="s">
        <v>158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164</v>
      </c>
      <c r="M2">
        <v>5</v>
      </c>
    </row>
    <row r="3" spans="1:13" x14ac:dyDescent="0.3">
      <c r="A3" s="3" t="s">
        <v>11</v>
      </c>
      <c r="B3" t="s">
        <v>165</v>
      </c>
      <c r="C3" s="6">
        <v>67</v>
      </c>
      <c r="D3">
        <v>39</v>
      </c>
      <c r="E3">
        <v>21</v>
      </c>
      <c r="F3">
        <v>4</v>
      </c>
      <c r="G3">
        <f t="shared" ref="G3:G16" si="0">D3-E3-F3</f>
        <v>14</v>
      </c>
      <c r="H3">
        <v>60</v>
      </c>
      <c r="I3">
        <v>45</v>
      </c>
      <c r="J3">
        <f t="shared" ref="J3:J16" si="1">H3-I3</f>
        <v>15</v>
      </c>
    </row>
    <row r="4" spans="1:13" x14ac:dyDescent="0.3">
      <c r="A4" s="3" t="s">
        <v>12</v>
      </c>
      <c r="B4" t="s">
        <v>175</v>
      </c>
      <c r="C4" s="6">
        <v>61</v>
      </c>
      <c r="D4">
        <v>39</v>
      </c>
      <c r="E4">
        <v>18</v>
      </c>
      <c r="F4">
        <v>7</v>
      </c>
      <c r="G4">
        <f t="shared" si="0"/>
        <v>14</v>
      </c>
      <c r="H4">
        <v>61</v>
      </c>
      <c r="I4">
        <v>51</v>
      </c>
      <c r="J4">
        <f t="shared" si="1"/>
        <v>10</v>
      </c>
    </row>
    <row r="5" spans="1:13" x14ac:dyDescent="0.3">
      <c r="A5" s="1" t="s">
        <v>13</v>
      </c>
      <c r="B5" t="s">
        <v>169</v>
      </c>
      <c r="C5" s="6">
        <v>61</v>
      </c>
      <c r="D5">
        <v>39</v>
      </c>
      <c r="E5">
        <v>18</v>
      </c>
      <c r="F5">
        <v>7</v>
      </c>
      <c r="G5">
        <f t="shared" si="0"/>
        <v>14</v>
      </c>
      <c r="H5">
        <v>51</v>
      </c>
      <c r="I5">
        <v>51</v>
      </c>
      <c r="J5">
        <f t="shared" si="1"/>
        <v>0</v>
      </c>
    </row>
    <row r="6" spans="1:13" x14ac:dyDescent="0.3">
      <c r="A6" s="1" t="s">
        <v>14</v>
      </c>
      <c r="B6" t="s">
        <v>164</v>
      </c>
      <c r="C6" s="6">
        <v>61</v>
      </c>
      <c r="D6">
        <v>39</v>
      </c>
      <c r="E6">
        <v>18</v>
      </c>
      <c r="F6">
        <v>7</v>
      </c>
      <c r="G6">
        <f t="shared" si="0"/>
        <v>14</v>
      </c>
      <c r="H6">
        <v>64</v>
      </c>
      <c r="I6">
        <v>66</v>
      </c>
      <c r="J6">
        <f t="shared" si="1"/>
        <v>-2</v>
      </c>
    </row>
    <row r="7" spans="1:13" x14ac:dyDescent="0.3">
      <c r="A7" s="1" t="s">
        <v>15</v>
      </c>
      <c r="B7" t="s">
        <v>163</v>
      </c>
      <c r="C7" s="6">
        <v>57</v>
      </c>
      <c r="D7">
        <v>39</v>
      </c>
      <c r="E7">
        <v>15</v>
      </c>
      <c r="F7">
        <v>12</v>
      </c>
      <c r="G7">
        <f t="shared" si="0"/>
        <v>12</v>
      </c>
      <c r="H7">
        <v>62</v>
      </c>
      <c r="I7">
        <v>51</v>
      </c>
      <c r="J7">
        <f t="shared" si="1"/>
        <v>11</v>
      </c>
    </row>
    <row r="8" spans="1:13" x14ac:dyDescent="0.3">
      <c r="A8" s="1" t="s">
        <v>16</v>
      </c>
      <c r="B8" t="s">
        <v>174</v>
      </c>
      <c r="C8" s="6">
        <v>54</v>
      </c>
      <c r="D8">
        <v>39</v>
      </c>
      <c r="E8">
        <v>15</v>
      </c>
      <c r="F8">
        <v>9</v>
      </c>
      <c r="G8">
        <f t="shared" si="0"/>
        <v>15</v>
      </c>
      <c r="H8">
        <v>62</v>
      </c>
      <c r="I8">
        <v>58</v>
      </c>
      <c r="J8">
        <f t="shared" si="1"/>
        <v>4</v>
      </c>
    </row>
    <row r="9" spans="1:13" x14ac:dyDescent="0.3">
      <c r="A9" t="s">
        <v>17</v>
      </c>
      <c r="B9" t="s">
        <v>167</v>
      </c>
      <c r="C9" s="6">
        <v>54</v>
      </c>
      <c r="D9">
        <v>39</v>
      </c>
      <c r="E9">
        <v>16</v>
      </c>
      <c r="F9">
        <v>6</v>
      </c>
      <c r="G9">
        <f t="shared" si="0"/>
        <v>17</v>
      </c>
      <c r="H9">
        <v>58</v>
      </c>
      <c r="I9">
        <v>56</v>
      </c>
      <c r="J9">
        <f t="shared" si="1"/>
        <v>2</v>
      </c>
    </row>
    <row r="10" spans="1:13" x14ac:dyDescent="0.3">
      <c r="A10" t="s">
        <v>18</v>
      </c>
      <c r="B10" t="s">
        <v>176</v>
      </c>
      <c r="C10" s="6">
        <v>53</v>
      </c>
      <c r="D10">
        <v>39</v>
      </c>
      <c r="E10">
        <v>16</v>
      </c>
      <c r="F10">
        <v>5</v>
      </c>
      <c r="G10">
        <f t="shared" si="0"/>
        <v>18</v>
      </c>
      <c r="H10">
        <v>48</v>
      </c>
      <c r="I10">
        <v>70</v>
      </c>
      <c r="J10">
        <f t="shared" si="1"/>
        <v>-22</v>
      </c>
    </row>
    <row r="11" spans="1:13" x14ac:dyDescent="0.3">
      <c r="A11" t="s">
        <v>75</v>
      </c>
      <c r="B11" t="s">
        <v>173</v>
      </c>
      <c r="C11" s="6">
        <v>52</v>
      </c>
      <c r="D11">
        <v>39</v>
      </c>
      <c r="E11">
        <v>15</v>
      </c>
      <c r="F11">
        <v>7</v>
      </c>
      <c r="G11">
        <f t="shared" si="0"/>
        <v>17</v>
      </c>
      <c r="H11">
        <v>48</v>
      </c>
      <c r="I11">
        <v>52</v>
      </c>
      <c r="J11">
        <f t="shared" si="1"/>
        <v>-4</v>
      </c>
    </row>
    <row r="12" spans="1:13" x14ac:dyDescent="0.3">
      <c r="A12" t="s">
        <v>76</v>
      </c>
      <c r="B12" t="s">
        <v>166</v>
      </c>
      <c r="C12" s="6">
        <v>51</v>
      </c>
      <c r="D12">
        <v>39</v>
      </c>
      <c r="E12">
        <v>13</v>
      </c>
      <c r="F12">
        <v>12</v>
      </c>
      <c r="G12">
        <f t="shared" si="0"/>
        <v>14</v>
      </c>
      <c r="H12">
        <v>57</v>
      </c>
      <c r="I12">
        <v>52</v>
      </c>
      <c r="J12">
        <f t="shared" si="1"/>
        <v>5</v>
      </c>
    </row>
    <row r="13" spans="1:13" x14ac:dyDescent="0.3">
      <c r="A13" t="s">
        <v>77</v>
      </c>
      <c r="B13" t="s">
        <v>168</v>
      </c>
      <c r="C13" s="6">
        <v>49</v>
      </c>
      <c r="D13">
        <v>39</v>
      </c>
      <c r="E13">
        <v>13</v>
      </c>
      <c r="F13">
        <v>10</v>
      </c>
      <c r="G13">
        <f t="shared" si="0"/>
        <v>16</v>
      </c>
      <c r="H13">
        <v>54</v>
      </c>
      <c r="I13">
        <v>56</v>
      </c>
      <c r="J13">
        <f t="shared" si="1"/>
        <v>-2</v>
      </c>
    </row>
    <row r="14" spans="1:13" x14ac:dyDescent="0.3">
      <c r="A14" t="s">
        <v>78</v>
      </c>
      <c r="B14" t="s">
        <v>172</v>
      </c>
      <c r="C14" s="6">
        <v>49</v>
      </c>
      <c r="D14">
        <v>39</v>
      </c>
      <c r="E14">
        <v>15</v>
      </c>
      <c r="F14">
        <v>4</v>
      </c>
      <c r="G14">
        <f t="shared" si="0"/>
        <v>20</v>
      </c>
      <c r="H14">
        <v>61</v>
      </c>
      <c r="I14">
        <v>67</v>
      </c>
      <c r="J14">
        <f t="shared" si="1"/>
        <v>-6</v>
      </c>
    </row>
    <row r="15" spans="1:13" x14ac:dyDescent="0.3">
      <c r="A15" t="s">
        <v>79</v>
      </c>
      <c r="B15" t="s">
        <v>171</v>
      </c>
      <c r="C15" s="6">
        <v>48</v>
      </c>
      <c r="D15">
        <v>39</v>
      </c>
      <c r="E15">
        <v>13</v>
      </c>
      <c r="F15">
        <v>9</v>
      </c>
      <c r="G15">
        <f t="shared" si="0"/>
        <v>17</v>
      </c>
      <c r="H15">
        <v>37</v>
      </c>
      <c r="I15">
        <v>45</v>
      </c>
      <c r="J15">
        <f t="shared" si="1"/>
        <v>-8</v>
      </c>
    </row>
    <row r="16" spans="1:13" x14ac:dyDescent="0.3">
      <c r="A16" t="s">
        <v>80</v>
      </c>
      <c r="B16" t="s">
        <v>170</v>
      </c>
      <c r="C16" s="6">
        <v>45</v>
      </c>
      <c r="D16">
        <v>39</v>
      </c>
      <c r="E16">
        <v>10</v>
      </c>
      <c r="F16">
        <v>15</v>
      </c>
      <c r="G16">
        <f t="shared" si="0"/>
        <v>14</v>
      </c>
      <c r="H16">
        <v>60</v>
      </c>
      <c r="I16">
        <v>63</v>
      </c>
      <c r="J16">
        <f t="shared" si="1"/>
        <v>-3</v>
      </c>
    </row>
    <row r="18" spans="1:7" x14ac:dyDescent="0.3">
      <c r="A18" t="s">
        <v>35</v>
      </c>
    </row>
    <row r="19" spans="1:7" x14ac:dyDescent="0.3">
      <c r="A19" t="str">
        <f>B8</f>
        <v>Molynes United</v>
      </c>
      <c r="B19" t="s">
        <v>66</v>
      </c>
      <c r="C19" t="str">
        <f>B5</f>
        <v>Tivoli Gardens</v>
      </c>
      <c r="E19" t="str">
        <f>B5</f>
        <v>Tivoli Gardens</v>
      </c>
      <c r="F19" t="s">
        <v>46</v>
      </c>
      <c r="G19" t="str">
        <f>B8</f>
        <v>Molynes United</v>
      </c>
    </row>
    <row r="20" spans="1:7" x14ac:dyDescent="0.3">
      <c r="A20" t="str">
        <f>B7</f>
        <v>Racing United</v>
      </c>
      <c r="B20" t="s">
        <v>37</v>
      </c>
      <c r="C20" t="str">
        <f>B6</f>
        <v>Montego Bay United</v>
      </c>
      <c r="E20" t="str">
        <f>B6</f>
        <v>Montego Bay United</v>
      </c>
      <c r="F20" t="s">
        <v>29</v>
      </c>
      <c r="G20" t="str">
        <f>B7</f>
        <v>Racing United</v>
      </c>
    </row>
    <row r="22" spans="1:7" x14ac:dyDescent="0.3">
      <c r="A22" t="s">
        <v>30</v>
      </c>
    </row>
    <row r="23" spans="1:7" x14ac:dyDescent="0.3">
      <c r="A23" t="s">
        <v>174</v>
      </c>
      <c r="B23" t="s">
        <v>67</v>
      </c>
      <c r="C23" t="str">
        <f>B3</f>
        <v>Portmore United</v>
      </c>
      <c r="E23" t="str">
        <f>B3</f>
        <v>Portmore United</v>
      </c>
      <c r="F23" t="s">
        <v>144</v>
      </c>
      <c r="G23" t="s">
        <v>174</v>
      </c>
    </row>
    <row r="24" spans="1:7" x14ac:dyDescent="0.3">
      <c r="A24" t="s">
        <v>164</v>
      </c>
      <c r="B24" t="s">
        <v>33</v>
      </c>
      <c r="C24" t="str">
        <f>B4</f>
        <v>Chapelton Maroons</v>
      </c>
      <c r="E24" t="str">
        <f>B4</f>
        <v>Chapelton Maroons</v>
      </c>
      <c r="F24" t="s">
        <v>27</v>
      </c>
      <c r="G24" t="s">
        <v>164</v>
      </c>
    </row>
    <row r="26" spans="1:7" x14ac:dyDescent="0.3">
      <c r="A26" t="s">
        <v>177</v>
      </c>
    </row>
    <row r="27" spans="1:7" x14ac:dyDescent="0.3">
      <c r="A27" t="s">
        <v>165</v>
      </c>
      <c r="B27" t="s">
        <v>65</v>
      </c>
      <c r="C27" t="s">
        <v>175</v>
      </c>
    </row>
    <row r="29" spans="1:7" x14ac:dyDescent="0.3">
      <c r="A29" t="s">
        <v>32</v>
      </c>
    </row>
    <row r="30" spans="1:7" x14ac:dyDescent="0.3">
      <c r="A30" t="s">
        <v>164</v>
      </c>
      <c r="B30" t="s">
        <v>33</v>
      </c>
      <c r="C30" t="s">
        <v>174</v>
      </c>
    </row>
  </sheetData>
  <sortState xmlns:xlrd2="http://schemas.microsoft.com/office/spreadsheetml/2017/richdata2" ref="B3:J16">
    <sortCondition descending="1" ref="C3:C16"/>
    <sortCondition descending="1" ref="J3:J16"/>
    <sortCondition descending="1" ref="H3:H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E950-3959-4534-8CBA-A36D201BFA7A}">
  <dimension ref="A1:N33"/>
  <sheetViews>
    <sheetView workbookViewId="0">
      <selection sqref="A1:J32"/>
    </sheetView>
  </sheetViews>
  <sheetFormatPr defaultRowHeight="14.4" x14ac:dyDescent="0.3"/>
  <sheetData>
    <row r="1" spans="1:14" x14ac:dyDescent="0.3">
      <c r="A1" t="s">
        <v>69</v>
      </c>
      <c r="L1" t="s">
        <v>158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186</v>
      </c>
      <c r="M2">
        <v>6</v>
      </c>
      <c r="N2" t="s">
        <v>200</v>
      </c>
    </row>
    <row r="3" spans="1:14" x14ac:dyDescent="0.3">
      <c r="A3" s="3" t="s">
        <v>11</v>
      </c>
      <c r="B3" t="s">
        <v>192</v>
      </c>
      <c r="C3" s="6">
        <f t="shared" ref="C3:C20" si="0">E3*3+F3</f>
        <v>28</v>
      </c>
      <c r="D3">
        <v>17</v>
      </c>
      <c r="E3">
        <v>8</v>
      </c>
      <c r="F3">
        <v>4</v>
      </c>
      <c r="G3">
        <f t="shared" ref="G3:G20" si="1">D3-E3-F3</f>
        <v>5</v>
      </c>
      <c r="H3">
        <v>28</v>
      </c>
      <c r="I3">
        <v>18</v>
      </c>
      <c r="J3">
        <f t="shared" ref="J3:J20" si="2">H3-I3</f>
        <v>10</v>
      </c>
    </row>
    <row r="4" spans="1:14" x14ac:dyDescent="0.3">
      <c r="A4" s="3" t="s">
        <v>12</v>
      </c>
      <c r="B4" t="s">
        <v>195</v>
      </c>
      <c r="C4" s="6">
        <f t="shared" si="0"/>
        <v>28</v>
      </c>
      <c r="D4">
        <v>17</v>
      </c>
      <c r="E4">
        <v>7</v>
      </c>
      <c r="F4">
        <v>7</v>
      </c>
      <c r="G4">
        <f t="shared" si="1"/>
        <v>3</v>
      </c>
      <c r="H4">
        <v>19</v>
      </c>
      <c r="I4">
        <v>14</v>
      </c>
      <c r="J4">
        <f t="shared" si="2"/>
        <v>5</v>
      </c>
    </row>
    <row r="5" spans="1:14" x14ac:dyDescent="0.3">
      <c r="A5" s="3" t="s">
        <v>13</v>
      </c>
      <c r="B5" t="s">
        <v>184</v>
      </c>
      <c r="C5" s="6">
        <f t="shared" si="0"/>
        <v>27</v>
      </c>
      <c r="D5">
        <v>17</v>
      </c>
      <c r="E5">
        <v>8</v>
      </c>
      <c r="F5">
        <v>3</v>
      </c>
      <c r="G5">
        <f t="shared" si="1"/>
        <v>6</v>
      </c>
      <c r="H5">
        <v>15</v>
      </c>
      <c r="I5">
        <v>16</v>
      </c>
      <c r="J5">
        <f t="shared" si="2"/>
        <v>-1</v>
      </c>
    </row>
    <row r="6" spans="1:14" x14ac:dyDescent="0.3">
      <c r="A6" s="3" t="s">
        <v>14</v>
      </c>
      <c r="B6" t="s">
        <v>190</v>
      </c>
      <c r="C6" s="6">
        <f t="shared" si="0"/>
        <v>26</v>
      </c>
      <c r="D6">
        <v>17</v>
      </c>
      <c r="E6">
        <v>7</v>
      </c>
      <c r="F6">
        <v>5</v>
      </c>
      <c r="G6">
        <f t="shared" si="1"/>
        <v>5</v>
      </c>
      <c r="H6">
        <v>18</v>
      </c>
      <c r="I6">
        <v>19</v>
      </c>
      <c r="J6">
        <f t="shared" si="2"/>
        <v>-1</v>
      </c>
    </row>
    <row r="7" spans="1:14" x14ac:dyDescent="0.3">
      <c r="A7" s="3" t="s">
        <v>15</v>
      </c>
      <c r="B7" t="s">
        <v>186</v>
      </c>
      <c r="C7" s="6">
        <f t="shared" si="0"/>
        <v>25</v>
      </c>
      <c r="D7">
        <v>17</v>
      </c>
      <c r="E7">
        <v>6</v>
      </c>
      <c r="F7">
        <v>7</v>
      </c>
      <c r="G7">
        <f t="shared" si="1"/>
        <v>4</v>
      </c>
      <c r="H7">
        <v>21</v>
      </c>
      <c r="I7">
        <v>14</v>
      </c>
      <c r="J7">
        <f t="shared" si="2"/>
        <v>7</v>
      </c>
    </row>
    <row r="8" spans="1:14" x14ac:dyDescent="0.3">
      <c r="A8" s="3" t="s">
        <v>16</v>
      </c>
      <c r="B8" t="s">
        <v>197</v>
      </c>
      <c r="C8" s="6">
        <f t="shared" si="0"/>
        <v>25</v>
      </c>
      <c r="D8">
        <v>17</v>
      </c>
      <c r="E8">
        <v>6</v>
      </c>
      <c r="F8">
        <v>7</v>
      </c>
      <c r="G8">
        <f t="shared" si="1"/>
        <v>4</v>
      </c>
      <c r="H8">
        <v>18</v>
      </c>
      <c r="I8">
        <v>15</v>
      </c>
      <c r="J8">
        <f t="shared" si="2"/>
        <v>3</v>
      </c>
    </row>
    <row r="9" spans="1:14" x14ac:dyDescent="0.3">
      <c r="A9" s="3" t="s">
        <v>17</v>
      </c>
      <c r="B9" t="s">
        <v>193</v>
      </c>
      <c r="C9" s="6">
        <f t="shared" si="0"/>
        <v>24</v>
      </c>
      <c r="D9">
        <v>17</v>
      </c>
      <c r="E9">
        <v>7</v>
      </c>
      <c r="F9">
        <v>3</v>
      </c>
      <c r="G9">
        <f t="shared" si="1"/>
        <v>7</v>
      </c>
      <c r="H9">
        <v>14</v>
      </c>
      <c r="I9">
        <v>16</v>
      </c>
      <c r="J9">
        <f t="shared" si="2"/>
        <v>-2</v>
      </c>
    </row>
    <row r="10" spans="1:14" x14ac:dyDescent="0.3">
      <c r="A10" s="3" t="s">
        <v>18</v>
      </c>
      <c r="B10" t="s">
        <v>185</v>
      </c>
      <c r="C10" s="6">
        <f t="shared" si="0"/>
        <v>23</v>
      </c>
      <c r="D10">
        <v>17</v>
      </c>
      <c r="E10">
        <v>6</v>
      </c>
      <c r="F10">
        <v>5</v>
      </c>
      <c r="G10">
        <f t="shared" si="1"/>
        <v>6</v>
      </c>
      <c r="H10">
        <v>19</v>
      </c>
      <c r="I10">
        <v>16</v>
      </c>
      <c r="J10">
        <f t="shared" si="2"/>
        <v>3</v>
      </c>
    </row>
    <row r="11" spans="1:14" x14ac:dyDescent="0.3">
      <c r="A11" t="s">
        <v>75</v>
      </c>
      <c r="B11" t="s">
        <v>191</v>
      </c>
      <c r="C11" s="6">
        <f t="shared" si="0"/>
        <v>23</v>
      </c>
      <c r="D11">
        <v>17</v>
      </c>
      <c r="E11">
        <v>6</v>
      </c>
      <c r="F11">
        <v>5</v>
      </c>
      <c r="G11">
        <f t="shared" si="1"/>
        <v>6</v>
      </c>
      <c r="H11">
        <v>18</v>
      </c>
      <c r="I11">
        <v>21</v>
      </c>
      <c r="J11">
        <f t="shared" si="2"/>
        <v>-3</v>
      </c>
    </row>
    <row r="12" spans="1:14" x14ac:dyDescent="0.3">
      <c r="A12" t="s">
        <v>76</v>
      </c>
      <c r="B12" t="s">
        <v>198</v>
      </c>
      <c r="C12" s="6">
        <f t="shared" si="0"/>
        <v>22</v>
      </c>
      <c r="D12">
        <v>17</v>
      </c>
      <c r="E12">
        <v>6</v>
      </c>
      <c r="F12">
        <v>4</v>
      </c>
      <c r="G12">
        <f t="shared" si="1"/>
        <v>7</v>
      </c>
      <c r="H12">
        <v>18</v>
      </c>
      <c r="I12">
        <v>19</v>
      </c>
      <c r="J12">
        <f t="shared" si="2"/>
        <v>-1</v>
      </c>
    </row>
    <row r="13" spans="1:14" x14ac:dyDescent="0.3">
      <c r="A13" t="s">
        <v>77</v>
      </c>
      <c r="B13" t="s">
        <v>181</v>
      </c>
      <c r="C13" s="6">
        <f t="shared" si="0"/>
        <v>22</v>
      </c>
      <c r="D13">
        <v>17</v>
      </c>
      <c r="E13">
        <v>5</v>
      </c>
      <c r="F13">
        <v>7</v>
      </c>
      <c r="G13">
        <f t="shared" si="1"/>
        <v>5</v>
      </c>
      <c r="H13">
        <v>14</v>
      </c>
      <c r="I13">
        <v>15</v>
      </c>
      <c r="J13">
        <f t="shared" si="2"/>
        <v>-1</v>
      </c>
    </row>
    <row r="14" spans="1:14" x14ac:dyDescent="0.3">
      <c r="A14" t="s">
        <v>78</v>
      </c>
      <c r="B14" t="s">
        <v>182</v>
      </c>
      <c r="C14" s="6">
        <f t="shared" si="0"/>
        <v>22</v>
      </c>
      <c r="D14">
        <v>17</v>
      </c>
      <c r="E14">
        <v>6</v>
      </c>
      <c r="F14">
        <v>4</v>
      </c>
      <c r="G14">
        <f t="shared" si="1"/>
        <v>7</v>
      </c>
      <c r="H14">
        <v>16</v>
      </c>
      <c r="I14">
        <v>18</v>
      </c>
      <c r="J14">
        <f t="shared" si="2"/>
        <v>-2</v>
      </c>
    </row>
    <row r="15" spans="1:14" x14ac:dyDescent="0.3">
      <c r="A15" t="s">
        <v>79</v>
      </c>
      <c r="B15" t="s">
        <v>194</v>
      </c>
      <c r="C15" s="6">
        <f t="shared" si="0"/>
        <v>21</v>
      </c>
      <c r="D15">
        <v>17</v>
      </c>
      <c r="E15">
        <v>4</v>
      </c>
      <c r="F15">
        <v>9</v>
      </c>
      <c r="G15">
        <f t="shared" si="1"/>
        <v>4</v>
      </c>
      <c r="H15">
        <v>16</v>
      </c>
      <c r="I15">
        <v>14</v>
      </c>
      <c r="J15">
        <f t="shared" si="2"/>
        <v>2</v>
      </c>
    </row>
    <row r="16" spans="1:14" x14ac:dyDescent="0.3">
      <c r="A16" t="s">
        <v>80</v>
      </c>
      <c r="B16" t="s">
        <v>187</v>
      </c>
      <c r="C16" s="6">
        <f t="shared" si="0"/>
        <v>20</v>
      </c>
      <c r="D16">
        <v>17</v>
      </c>
      <c r="E16">
        <v>5</v>
      </c>
      <c r="F16">
        <v>5</v>
      </c>
      <c r="G16">
        <f t="shared" si="1"/>
        <v>7</v>
      </c>
      <c r="H16">
        <v>14</v>
      </c>
      <c r="I16">
        <v>16</v>
      </c>
      <c r="J16">
        <f t="shared" si="2"/>
        <v>-2</v>
      </c>
    </row>
    <row r="17" spans="1:10" x14ac:dyDescent="0.3">
      <c r="A17" t="s">
        <v>81</v>
      </c>
      <c r="B17" t="s">
        <v>189</v>
      </c>
      <c r="C17" s="6">
        <f t="shared" si="0"/>
        <v>19</v>
      </c>
      <c r="D17">
        <v>17</v>
      </c>
      <c r="E17">
        <v>4</v>
      </c>
      <c r="F17">
        <v>7</v>
      </c>
      <c r="G17">
        <f t="shared" si="1"/>
        <v>6</v>
      </c>
      <c r="H17">
        <v>17</v>
      </c>
      <c r="I17">
        <v>20</v>
      </c>
      <c r="J17">
        <f t="shared" si="2"/>
        <v>-3</v>
      </c>
    </row>
    <row r="18" spans="1:10" x14ac:dyDescent="0.3">
      <c r="A18" t="s">
        <v>178</v>
      </c>
      <c r="B18" t="s">
        <v>183</v>
      </c>
      <c r="C18" s="6">
        <f t="shared" si="0"/>
        <v>19</v>
      </c>
      <c r="D18">
        <v>17</v>
      </c>
      <c r="E18">
        <v>4</v>
      </c>
      <c r="F18">
        <v>7</v>
      </c>
      <c r="G18">
        <f t="shared" si="1"/>
        <v>6</v>
      </c>
      <c r="H18">
        <v>21</v>
      </c>
      <c r="I18">
        <v>26</v>
      </c>
      <c r="J18">
        <f t="shared" si="2"/>
        <v>-5</v>
      </c>
    </row>
    <row r="19" spans="1:10" x14ac:dyDescent="0.3">
      <c r="A19" t="s">
        <v>179</v>
      </c>
      <c r="B19" t="s">
        <v>188</v>
      </c>
      <c r="C19" s="6">
        <f t="shared" si="0"/>
        <v>18</v>
      </c>
      <c r="D19">
        <v>17</v>
      </c>
      <c r="E19">
        <v>4</v>
      </c>
      <c r="F19">
        <v>6</v>
      </c>
      <c r="G19">
        <f t="shared" si="1"/>
        <v>7</v>
      </c>
      <c r="H19">
        <v>11</v>
      </c>
      <c r="I19">
        <v>17</v>
      </c>
      <c r="J19">
        <f t="shared" si="2"/>
        <v>-6</v>
      </c>
    </row>
    <row r="20" spans="1:10" x14ac:dyDescent="0.3">
      <c r="A20" t="s">
        <v>180</v>
      </c>
      <c r="B20" t="s">
        <v>196</v>
      </c>
      <c r="C20" s="6">
        <f t="shared" si="0"/>
        <v>16</v>
      </c>
      <c r="D20">
        <v>17</v>
      </c>
      <c r="E20">
        <v>3</v>
      </c>
      <c r="F20">
        <v>7</v>
      </c>
      <c r="G20">
        <f t="shared" si="1"/>
        <v>7</v>
      </c>
      <c r="H20">
        <v>13</v>
      </c>
      <c r="I20">
        <v>18</v>
      </c>
      <c r="J20">
        <f t="shared" si="2"/>
        <v>-5</v>
      </c>
    </row>
    <row r="22" spans="1:10" x14ac:dyDescent="0.3">
      <c r="A22" t="s">
        <v>39</v>
      </c>
    </row>
    <row r="23" spans="1:10" x14ac:dyDescent="0.3">
      <c r="A23" t="str">
        <f>B10</f>
        <v>Cruz Azul</v>
      </c>
      <c r="B23" t="s">
        <v>46</v>
      </c>
      <c r="C23" t="str">
        <f>B3</f>
        <v>Tijuana</v>
      </c>
      <c r="E23" t="str">
        <f>B3</f>
        <v>Tijuana</v>
      </c>
      <c r="F23" t="s">
        <v>64</v>
      </c>
      <c r="G23" t="str">
        <f>B10</f>
        <v>Cruz Azul</v>
      </c>
    </row>
    <row r="24" spans="1:10" x14ac:dyDescent="0.3">
      <c r="A24" t="str">
        <f>B7</f>
        <v>Monterrey</v>
      </c>
      <c r="B24" t="s">
        <v>66</v>
      </c>
      <c r="C24" t="str">
        <f>B6</f>
        <v>Puebla</v>
      </c>
      <c r="E24" t="str">
        <f>B6</f>
        <v>Puebla</v>
      </c>
      <c r="F24" t="s">
        <v>109</v>
      </c>
      <c r="G24" t="str">
        <f>B7</f>
        <v>Monterrey</v>
      </c>
    </row>
    <row r="25" spans="1:10" x14ac:dyDescent="0.3">
      <c r="A25" t="str">
        <f>B9</f>
        <v>Toluca</v>
      </c>
      <c r="B25" t="s">
        <v>199</v>
      </c>
      <c r="C25" t="str">
        <f>B4</f>
        <v>Mazatlán</v>
      </c>
      <c r="E25" t="str">
        <f>B4</f>
        <v>Mazatlán</v>
      </c>
      <c r="F25" t="s">
        <v>64</v>
      </c>
      <c r="G25" t="str">
        <f>B9</f>
        <v>Toluca</v>
      </c>
    </row>
    <row r="26" spans="1:10" x14ac:dyDescent="0.3">
      <c r="A26" t="str">
        <f>B8</f>
        <v>Querétaro</v>
      </c>
      <c r="B26" t="s">
        <v>65</v>
      </c>
      <c r="C26" t="str">
        <f>B5</f>
        <v>América</v>
      </c>
      <c r="E26" t="str">
        <f>B5</f>
        <v>América</v>
      </c>
      <c r="F26" t="s">
        <v>66</v>
      </c>
      <c r="G26" t="str">
        <f>B8</f>
        <v>Querétaro</v>
      </c>
    </row>
    <row r="28" spans="1:10" x14ac:dyDescent="0.3">
      <c r="A28" t="s">
        <v>30</v>
      </c>
    </row>
    <row r="29" spans="1:10" x14ac:dyDescent="0.3">
      <c r="A29" t="s">
        <v>185</v>
      </c>
      <c r="B29" t="s">
        <v>159</v>
      </c>
      <c r="C29" t="s">
        <v>186</v>
      </c>
      <c r="E29" t="s">
        <v>186</v>
      </c>
      <c r="F29" t="s">
        <v>159</v>
      </c>
      <c r="G29" t="s">
        <v>185</v>
      </c>
    </row>
    <row r="30" spans="1:10" x14ac:dyDescent="0.3">
      <c r="A30" t="s">
        <v>197</v>
      </c>
      <c r="B30" t="s">
        <v>29</v>
      </c>
      <c r="C30" t="s">
        <v>195</v>
      </c>
      <c r="E30" t="s">
        <v>195</v>
      </c>
      <c r="F30" t="s">
        <v>46</v>
      </c>
      <c r="G30" t="s">
        <v>197</v>
      </c>
    </row>
    <row r="32" spans="1:10" x14ac:dyDescent="0.3">
      <c r="A32" t="s">
        <v>32</v>
      </c>
    </row>
    <row r="33" spans="1:7" x14ac:dyDescent="0.3">
      <c r="A33" t="s">
        <v>186</v>
      </c>
      <c r="B33" t="s">
        <v>67</v>
      </c>
      <c r="C33" t="s">
        <v>197</v>
      </c>
      <c r="E33" t="s">
        <v>197</v>
      </c>
      <c r="F33" t="s">
        <v>144</v>
      </c>
      <c r="G33" t="s">
        <v>186</v>
      </c>
    </row>
  </sheetData>
  <sortState xmlns:xlrd2="http://schemas.microsoft.com/office/spreadsheetml/2017/richdata2" ref="B3:J20">
    <sortCondition descending="1" ref="C3:C20"/>
    <sortCondition descending="1" ref="J3:J20"/>
    <sortCondition descending="1" ref="H3:H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85BF-4C11-4F73-A4E8-78350C0A2829}">
  <dimension ref="A1:N23"/>
  <sheetViews>
    <sheetView workbookViewId="0">
      <selection sqref="A1:J22"/>
    </sheetView>
  </sheetViews>
  <sheetFormatPr defaultRowHeight="14.4" x14ac:dyDescent="0.3"/>
  <sheetData>
    <row r="1" spans="1:14" x14ac:dyDescent="0.3">
      <c r="A1" t="s">
        <v>69</v>
      </c>
      <c r="L1" t="s">
        <v>158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203</v>
      </c>
      <c r="M2">
        <v>1</v>
      </c>
      <c r="N2" t="s">
        <v>131</v>
      </c>
    </row>
    <row r="3" spans="1:14" x14ac:dyDescent="0.3">
      <c r="A3" s="3" t="s">
        <v>11</v>
      </c>
      <c r="B3" t="s">
        <v>201</v>
      </c>
      <c r="C3" s="6">
        <v>32</v>
      </c>
      <c r="D3">
        <v>18</v>
      </c>
      <c r="E3">
        <v>9</v>
      </c>
      <c r="F3">
        <v>5</v>
      </c>
      <c r="G3">
        <f t="shared" ref="G3:G12" si="0">D3-E3-F3</f>
        <v>4</v>
      </c>
      <c r="H3">
        <v>33</v>
      </c>
      <c r="I3">
        <v>22</v>
      </c>
      <c r="J3">
        <f t="shared" ref="J3:J12" si="1">H3-I3</f>
        <v>11</v>
      </c>
    </row>
    <row r="4" spans="1:14" x14ac:dyDescent="0.3">
      <c r="A4" s="3" t="s">
        <v>12</v>
      </c>
      <c r="B4" t="s">
        <v>202</v>
      </c>
      <c r="C4" s="6">
        <v>31</v>
      </c>
      <c r="D4">
        <v>18</v>
      </c>
      <c r="E4">
        <v>8</v>
      </c>
      <c r="F4">
        <v>7</v>
      </c>
      <c r="G4">
        <f t="shared" si="0"/>
        <v>3</v>
      </c>
      <c r="H4">
        <v>29</v>
      </c>
      <c r="I4">
        <v>23</v>
      </c>
      <c r="J4">
        <f t="shared" si="1"/>
        <v>6</v>
      </c>
    </row>
    <row r="5" spans="1:14" x14ac:dyDescent="0.3">
      <c r="A5" s="1" t="s">
        <v>13</v>
      </c>
      <c r="B5" t="s">
        <v>203</v>
      </c>
      <c r="C5" s="6">
        <v>27</v>
      </c>
      <c r="D5">
        <v>18</v>
      </c>
      <c r="E5">
        <v>8</v>
      </c>
      <c r="F5">
        <v>3</v>
      </c>
      <c r="G5">
        <f t="shared" si="0"/>
        <v>7</v>
      </c>
      <c r="H5">
        <v>25</v>
      </c>
      <c r="I5">
        <v>25</v>
      </c>
      <c r="J5">
        <f t="shared" si="1"/>
        <v>0</v>
      </c>
    </row>
    <row r="6" spans="1:14" x14ac:dyDescent="0.3">
      <c r="A6" s="1" t="s">
        <v>14</v>
      </c>
      <c r="B6" t="s">
        <v>204</v>
      </c>
      <c r="C6" s="6">
        <v>24</v>
      </c>
      <c r="D6">
        <v>18</v>
      </c>
      <c r="E6">
        <v>6</v>
      </c>
      <c r="F6">
        <v>6</v>
      </c>
      <c r="G6">
        <f t="shared" si="0"/>
        <v>6</v>
      </c>
      <c r="H6">
        <v>32</v>
      </c>
      <c r="I6">
        <v>27</v>
      </c>
      <c r="J6">
        <f t="shared" si="1"/>
        <v>5</v>
      </c>
    </row>
    <row r="7" spans="1:14" x14ac:dyDescent="0.3">
      <c r="A7" s="1" t="s">
        <v>15</v>
      </c>
      <c r="B7" t="s">
        <v>205</v>
      </c>
      <c r="C7" s="6">
        <v>24</v>
      </c>
      <c r="D7">
        <v>18</v>
      </c>
      <c r="E7">
        <v>7</v>
      </c>
      <c r="F7">
        <v>3</v>
      </c>
      <c r="G7">
        <f t="shared" si="0"/>
        <v>8</v>
      </c>
      <c r="H7">
        <v>26</v>
      </c>
      <c r="I7">
        <v>26</v>
      </c>
      <c r="J7">
        <f t="shared" si="1"/>
        <v>0</v>
      </c>
    </row>
    <row r="8" spans="1:14" x14ac:dyDescent="0.3">
      <c r="A8" s="1" t="s">
        <v>16</v>
      </c>
      <c r="B8" t="s">
        <v>206</v>
      </c>
      <c r="C8" s="6">
        <v>24</v>
      </c>
      <c r="D8">
        <v>18</v>
      </c>
      <c r="E8">
        <v>5</v>
      </c>
      <c r="F8">
        <v>9</v>
      </c>
      <c r="G8">
        <f t="shared" si="0"/>
        <v>4</v>
      </c>
      <c r="H8">
        <v>24</v>
      </c>
      <c r="I8">
        <v>25</v>
      </c>
      <c r="J8">
        <f t="shared" si="1"/>
        <v>-1</v>
      </c>
    </row>
    <row r="9" spans="1:14" x14ac:dyDescent="0.3">
      <c r="A9" t="s">
        <v>17</v>
      </c>
      <c r="B9" t="s">
        <v>207</v>
      </c>
      <c r="C9" s="6">
        <v>24</v>
      </c>
      <c r="D9">
        <v>18</v>
      </c>
      <c r="E9">
        <v>6</v>
      </c>
      <c r="F9">
        <v>6</v>
      </c>
      <c r="G9">
        <f t="shared" si="0"/>
        <v>6</v>
      </c>
      <c r="H9">
        <v>22</v>
      </c>
      <c r="I9">
        <v>23</v>
      </c>
      <c r="J9">
        <f t="shared" si="1"/>
        <v>-1</v>
      </c>
    </row>
    <row r="10" spans="1:14" x14ac:dyDescent="0.3">
      <c r="A10" t="s">
        <v>18</v>
      </c>
      <c r="B10" t="s">
        <v>208</v>
      </c>
      <c r="C10" s="6">
        <v>22</v>
      </c>
      <c r="D10">
        <v>18</v>
      </c>
      <c r="E10">
        <v>5</v>
      </c>
      <c r="F10">
        <v>7</v>
      </c>
      <c r="G10">
        <f t="shared" si="0"/>
        <v>6</v>
      </c>
      <c r="H10">
        <v>27</v>
      </c>
      <c r="I10">
        <v>30</v>
      </c>
      <c r="J10">
        <f t="shared" si="1"/>
        <v>-3</v>
      </c>
    </row>
    <row r="11" spans="1:14" x14ac:dyDescent="0.3">
      <c r="A11" t="s">
        <v>75</v>
      </c>
      <c r="B11" t="s">
        <v>209</v>
      </c>
      <c r="C11" s="6">
        <v>19</v>
      </c>
      <c r="D11">
        <v>18</v>
      </c>
      <c r="E11">
        <v>4</v>
      </c>
      <c r="F11">
        <v>7</v>
      </c>
      <c r="G11">
        <f t="shared" si="0"/>
        <v>7</v>
      </c>
      <c r="H11">
        <v>29</v>
      </c>
      <c r="I11">
        <v>34</v>
      </c>
      <c r="J11">
        <f t="shared" si="1"/>
        <v>-5</v>
      </c>
    </row>
    <row r="12" spans="1:14" x14ac:dyDescent="0.3">
      <c r="A12" t="s">
        <v>76</v>
      </c>
      <c r="B12" t="s">
        <v>210</v>
      </c>
      <c r="C12" s="6">
        <v>13</v>
      </c>
      <c r="D12">
        <v>18</v>
      </c>
      <c r="E12">
        <v>2</v>
      </c>
      <c r="F12">
        <v>7</v>
      </c>
      <c r="G12">
        <f t="shared" si="0"/>
        <v>9</v>
      </c>
      <c r="H12">
        <v>18</v>
      </c>
      <c r="I12">
        <v>30</v>
      </c>
      <c r="J12">
        <f t="shared" si="1"/>
        <v>-12</v>
      </c>
    </row>
    <row r="14" spans="1:14" x14ac:dyDescent="0.3">
      <c r="A14" t="s">
        <v>35</v>
      </c>
    </row>
    <row r="15" spans="1:14" x14ac:dyDescent="0.3">
      <c r="A15" t="str">
        <f>B5</f>
        <v>Municipal Jalapa</v>
      </c>
      <c r="B15" t="s">
        <v>67</v>
      </c>
      <c r="C15" t="str">
        <f>B8</f>
        <v>Managua</v>
      </c>
    </row>
    <row r="16" spans="1:14" x14ac:dyDescent="0.3">
      <c r="A16" t="str">
        <f>B6</f>
        <v>Real Madriz</v>
      </c>
      <c r="B16" t="s">
        <v>46</v>
      </c>
      <c r="C16" t="str">
        <f>B7</f>
        <v>Walter Ferretti</v>
      </c>
    </row>
    <row r="18" spans="1:7" x14ac:dyDescent="0.3">
      <c r="A18" t="s">
        <v>30</v>
      </c>
    </row>
    <row r="19" spans="1:7" x14ac:dyDescent="0.3">
      <c r="A19" t="s">
        <v>205</v>
      </c>
      <c r="B19" t="s">
        <v>33</v>
      </c>
      <c r="C19" t="str">
        <f>B3</f>
        <v>Unan Managua</v>
      </c>
      <c r="E19" t="str">
        <f>B3</f>
        <v>Unan Managua</v>
      </c>
      <c r="F19" t="s">
        <v>29</v>
      </c>
      <c r="G19" t="s">
        <v>205</v>
      </c>
    </row>
    <row r="20" spans="1:7" x14ac:dyDescent="0.3">
      <c r="A20" t="s">
        <v>203</v>
      </c>
      <c r="B20" t="s">
        <v>70</v>
      </c>
      <c r="C20" t="str">
        <f>B4</f>
        <v>Diriangén</v>
      </c>
      <c r="E20" t="str">
        <f>B4</f>
        <v>Diriangén</v>
      </c>
      <c r="F20" t="s">
        <v>66</v>
      </c>
      <c r="G20" t="s">
        <v>203</v>
      </c>
    </row>
    <row r="22" spans="1:7" x14ac:dyDescent="0.3">
      <c r="A22" t="s">
        <v>32</v>
      </c>
    </row>
    <row r="23" spans="1:7" x14ac:dyDescent="0.3">
      <c r="A23" t="s">
        <v>203</v>
      </c>
      <c r="B23" t="s">
        <v>33</v>
      </c>
      <c r="C23" t="s">
        <v>201</v>
      </c>
      <c r="E23" t="s">
        <v>201</v>
      </c>
      <c r="F23" t="s">
        <v>66</v>
      </c>
      <c r="G23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24EF-4F0A-4A48-AE45-C42193F49BD9}">
  <dimension ref="A1:Y29"/>
  <sheetViews>
    <sheetView tabSelected="1" topLeftCell="F1" workbookViewId="0">
      <selection activeCell="B9" sqref="B9"/>
    </sheetView>
  </sheetViews>
  <sheetFormatPr defaultRowHeight="14.4" x14ac:dyDescent="0.3"/>
  <sheetData>
    <row r="1" spans="1:25" x14ac:dyDescent="0.3">
      <c r="A1" t="s">
        <v>49</v>
      </c>
      <c r="L1" t="s">
        <v>69</v>
      </c>
      <c r="W1" t="s">
        <v>47</v>
      </c>
    </row>
    <row r="2" spans="1:25" x14ac:dyDescent="0.3">
      <c r="A2" t="s">
        <v>50</v>
      </c>
      <c r="L2" t="s">
        <v>50</v>
      </c>
      <c r="W2" t="s">
        <v>58</v>
      </c>
      <c r="X2">
        <v>18</v>
      </c>
      <c r="Y2" t="s">
        <v>72</v>
      </c>
    </row>
    <row r="3" spans="1:2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60</v>
      </c>
      <c r="X3">
        <v>16</v>
      </c>
      <c r="Y3" t="s">
        <v>73</v>
      </c>
    </row>
    <row r="4" spans="1:25" x14ac:dyDescent="0.3">
      <c r="A4" s="3" t="s">
        <v>11</v>
      </c>
      <c r="B4" t="s">
        <v>54</v>
      </c>
      <c r="C4" s="6">
        <v>29</v>
      </c>
      <c r="D4">
        <v>16</v>
      </c>
      <c r="E4">
        <v>8</v>
      </c>
      <c r="F4">
        <v>5</v>
      </c>
      <c r="G4">
        <f t="shared" ref="G4" si="0">D4-E4-F4</f>
        <v>3</v>
      </c>
      <c r="H4">
        <v>20</v>
      </c>
      <c r="I4">
        <v>11</v>
      </c>
      <c r="J4">
        <f t="shared" ref="J4" si="1">H4-I4</f>
        <v>9</v>
      </c>
      <c r="L4" s="3" t="s">
        <v>11</v>
      </c>
      <c r="M4" t="s">
        <v>53</v>
      </c>
      <c r="N4" s="6">
        <v>29</v>
      </c>
      <c r="O4">
        <v>16</v>
      </c>
      <c r="P4">
        <v>9</v>
      </c>
      <c r="Q4">
        <v>2</v>
      </c>
      <c r="R4">
        <f t="shared" ref="R4:R9" si="2">O4-P4-Q4</f>
        <v>5</v>
      </c>
      <c r="S4">
        <v>21</v>
      </c>
      <c r="T4">
        <v>22</v>
      </c>
      <c r="U4">
        <f t="shared" ref="U4:U9" si="3">S4-T4</f>
        <v>-1</v>
      </c>
    </row>
    <row r="5" spans="1:25" x14ac:dyDescent="0.3">
      <c r="A5" s="1" t="s">
        <v>12</v>
      </c>
      <c r="B5" t="s">
        <v>52</v>
      </c>
      <c r="C5" s="6">
        <v>25</v>
      </c>
      <c r="D5">
        <v>16</v>
      </c>
      <c r="E5">
        <v>7</v>
      </c>
      <c r="F5">
        <v>4</v>
      </c>
      <c r="G5">
        <f>D5-E5-F5</f>
        <v>5</v>
      </c>
      <c r="H5">
        <v>17</v>
      </c>
      <c r="I5">
        <v>18</v>
      </c>
      <c r="J5">
        <f>H5-I5</f>
        <v>-1</v>
      </c>
      <c r="L5" s="1" t="s">
        <v>12</v>
      </c>
      <c r="M5" t="s">
        <v>57</v>
      </c>
      <c r="N5" s="6">
        <v>28</v>
      </c>
      <c r="O5">
        <v>16</v>
      </c>
      <c r="P5">
        <v>9</v>
      </c>
      <c r="Q5">
        <v>1</v>
      </c>
      <c r="R5">
        <f t="shared" si="2"/>
        <v>6</v>
      </c>
      <c r="S5">
        <v>23</v>
      </c>
      <c r="T5">
        <v>20</v>
      </c>
      <c r="U5">
        <f t="shared" si="3"/>
        <v>3</v>
      </c>
    </row>
    <row r="6" spans="1:25" x14ac:dyDescent="0.3">
      <c r="A6" s="1" t="s">
        <v>13</v>
      </c>
      <c r="B6" t="s">
        <v>55</v>
      </c>
      <c r="C6" s="6">
        <v>24</v>
      </c>
      <c r="D6">
        <v>16</v>
      </c>
      <c r="E6">
        <v>6</v>
      </c>
      <c r="F6">
        <v>6</v>
      </c>
      <c r="G6">
        <f t="shared" ref="G6:G9" si="4">D6-E6-F6</f>
        <v>4</v>
      </c>
      <c r="H6">
        <v>22</v>
      </c>
      <c r="I6">
        <v>21</v>
      </c>
      <c r="J6">
        <f t="shared" ref="J6:J9" si="5">H6-I6</f>
        <v>1</v>
      </c>
      <c r="L6" s="1" t="s">
        <v>13</v>
      </c>
      <c r="M6" t="s">
        <v>55</v>
      </c>
      <c r="N6" s="6">
        <v>26</v>
      </c>
      <c r="O6">
        <v>16</v>
      </c>
      <c r="P6">
        <v>8</v>
      </c>
      <c r="Q6">
        <v>2</v>
      </c>
      <c r="R6">
        <f t="shared" si="2"/>
        <v>6</v>
      </c>
      <c r="S6">
        <v>15</v>
      </c>
      <c r="T6">
        <v>11</v>
      </c>
      <c r="U6">
        <f t="shared" si="3"/>
        <v>4</v>
      </c>
    </row>
    <row r="7" spans="1:25" x14ac:dyDescent="0.3">
      <c r="A7" t="s">
        <v>14</v>
      </c>
      <c r="B7" t="s">
        <v>57</v>
      </c>
      <c r="C7" s="6">
        <v>21</v>
      </c>
      <c r="D7">
        <v>16</v>
      </c>
      <c r="E7">
        <v>6</v>
      </c>
      <c r="F7">
        <v>3</v>
      </c>
      <c r="G7">
        <f t="shared" si="4"/>
        <v>7</v>
      </c>
      <c r="H7">
        <v>12</v>
      </c>
      <c r="I7">
        <v>12</v>
      </c>
      <c r="J7">
        <f t="shared" si="5"/>
        <v>0</v>
      </c>
      <c r="L7" t="s">
        <v>14</v>
      </c>
      <c r="M7" t="s">
        <v>52</v>
      </c>
      <c r="N7" s="6">
        <v>22</v>
      </c>
      <c r="O7">
        <v>16</v>
      </c>
      <c r="P7">
        <v>7</v>
      </c>
      <c r="Q7">
        <v>1</v>
      </c>
      <c r="R7">
        <f t="shared" si="2"/>
        <v>8</v>
      </c>
      <c r="S7">
        <v>23</v>
      </c>
      <c r="T7">
        <v>18</v>
      </c>
      <c r="U7">
        <f t="shared" si="3"/>
        <v>5</v>
      </c>
    </row>
    <row r="8" spans="1:25" x14ac:dyDescent="0.3">
      <c r="A8" t="s">
        <v>15</v>
      </c>
      <c r="B8" t="s">
        <v>53</v>
      </c>
      <c r="C8" s="6">
        <v>21</v>
      </c>
      <c r="D8">
        <v>16</v>
      </c>
      <c r="E8">
        <v>5</v>
      </c>
      <c r="F8">
        <v>6</v>
      </c>
      <c r="G8">
        <f t="shared" si="4"/>
        <v>5</v>
      </c>
      <c r="H8">
        <v>15</v>
      </c>
      <c r="I8">
        <v>19</v>
      </c>
      <c r="J8">
        <f t="shared" si="5"/>
        <v>-4</v>
      </c>
      <c r="L8" t="s">
        <v>15</v>
      </c>
      <c r="M8" t="s">
        <v>56</v>
      </c>
      <c r="N8" s="6">
        <v>19</v>
      </c>
      <c r="O8">
        <v>16</v>
      </c>
      <c r="P8">
        <v>5</v>
      </c>
      <c r="Q8">
        <v>4</v>
      </c>
      <c r="R8">
        <f t="shared" si="2"/>
        <v>7</v>
      </c>
      <c r="S8">
        <v>18</v>
      </c>
      <c r="T8">
        <v>25</v>
      </c>
      <c r="U8">
        <f t="shared" si="3"/>
        <v>-7</v>
      </c>
    </row>
    <row r="9" spans="1:25" x14ac:dyDescent="0.3">
      <c r="A9" t="s">
        <v>16</v>
      </c>
      <c r="B9" t="s">
        <v>56</v>
      </c>
      <c r="C9" s="6">
        <v>17</v>
      </c>
      <c r="D9">
        <v>16</v>
      </c>
      <c r="E9">
        <v>4</v>
      </c>
      <c r="F9">
        <v>5</v>
      </c>
      <c r="G9">
        <f t="shared" si="4"/>
        <v>7</v>
      </c>
      <c r="H9">
        <v>15</v>
      </c>
      <c r="I9">
        <v>19</v>
      </c>
      <c r="J9">
        <f t="shared" si="5"/>
        <v>-4</v>
      </c>
      <c r="L9" t="s">
        <v>16</v>
      </c>
      <c r="M9" t="s">
        <v>54</v>
      </c>
      <c r="N9" s="6">
        <v>10</v>
      </c>
      <c r="O9">
        <v>16</v>
      </c>
      <c r="P9">
        <v>2</v>
      </c>
      <c r="Q9">
        <v>4</v>
      </c>
      <c r="R9">
        <f t="shared" si="2"/>
        <v>10</v>
      </c>
      <c r="S9">
        <v>16</v>
      </c>
      <c r="T9">
        <v>28</v>
      </c>
      <c r="U9">
        <f t="shared" si="3"/>
        <v>-12</v>
      </c>
    </row>
    <row r="11" spans="1:25" x14ac:dyDescent="0.3">
      <c r="A11" t="s">
        <v>51</v>
      </c>
      <c r="L11" t="s">
        <v>51</v>
      </c>
    </row>
    <row r="12" spans="1:25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L12" t="s">
        <v>1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</row>
    <row r="13" spans="1:25" x14ac:dyDescent="0.3">
      <c r="A13" s="3" t="s">
        <v>11</v>
      </c>
      <c r="B13" t="s">
        <v>58</v>
      </c>
      <c r="C13" s="6">
        <v>25</v>
      </c>
      <c r="D13">
        <v>16</v>
      </c>
      <c r="E13">
        <v>7</v>
      </c>
      <c r="F13">
        <v>4</v>
      </c>
      <c r="G13">
        <f>D13-E13-F13</f>
        <v>5</v>
      </c>
      <c r="H13">
        <v>26</v>
      </c>
      <c r="I13">
        <v>26</v>
      </c>
      <c r="J13">
        <f>H13-I13</f>
        <v>0</v>
      </c>
      <c r="L13" s="3" t="s">
        <v>11</v>
      </c>
      <c r="M13" t="s">
        <v>60</v>
      </c>
      <c r="N13" s="6">
        <v>27</v>
      </c>
      <c r="O13">
        <v>16</v>
      </c>
      <c r="P13">
        <v>8</v>
      </c>
      <c r="Q13">
        <v>3</v>
      </c>
      <c r="R13">
        <f t="shared" ref="R13:R17" si="6">O13-P13-Q13</f>
        <v>5</v>
      </c>
      <c r="S13">
        <v>25</v>
      </c>
      <c r="T13">
        <v>22</v>
      </c>
      <c r="U13">
        <f t="shared" ref="U13:U17" si="7">S13-T13</f>
        <v>3</v>
      </c>
    </row>
    <row r="14" spans="1:25" x14ac:dyDescent="0.3">
      <c r="A14" s="1" t="s">
        <v>12</v>
      </c>
      <c r="B14" t="s">
        <v>60</v>
      </c>
      <c r="C14" s="6">
        <v>23</v>
      </c>
      <c r="D14">
        <v>16</v>
      </c>
      <c r="E14">
        <v>6</v>
      </c>
      <c r="F14">
        <v>5</v>
      </c>
      <c r="G14">
        <f t="shared" ref="G14:G18" si="8">D14-E14-F14</f>
        <v>5</v>
      </c>
      <c r="H14">
        <v>18</v>
      </c>
      <c r="I14">
        <v>15</v>
      </c>
      <c r="J14">
        <f t="shared" ref="J14:J18" si="9">H14-I14</f>
        <v>3</v>
      </c>
      <c r="L14" s="1" t="s">
        <v>12</v>
      </c>
      <c r="M14" t="s">
        <v>59</v>
      </c>
      <c r="N14" s="6">
        <v>26</v>
      </c>
      <c r="O14">
        <v>16</v>
      </c>
      <c r="P14">
        <v>7</v>
      </c>
      <c r="Q14">
        <v>5</v>
      </c>
      <c r="R14">
        <f t="shared" si="6"/>
        <v>4</v>
      </c>
      <c r="S14">
        <v>26</v>
      </c>
      <c r="T14">
        <v>15</v>
      </c>
      <c r="U14">
        <f t="shared" si="7"/>
        <v>11</v>
      </c>
    </row>
    <row r="15" spans="1:25" x14ac:dyDescent="0.3">
      <c r="A15" s="1" t="s">
        <v>13</v>
      </c>
      <c r="B15" t="s">
        <v>62</v>
      </c>
      <c r="C15" s="6">
        <v>21</v>
      </c>
      <c r="D15">
        <v>16</v>
      </c>
      <c r="E15">
        <v>5</v>
      </c>
      <c r="F15">
        <v>6</v>
      </c>
      <c r="G15">
        <f t="shared" si="8"/>
        <v>5</v>
      </c>
      <c r="H15">
        <v>20</v>
      </c>
      <c r="I15">
        <v>21</v>
      </c>
      <c r="J15">
        <f t="shared" si="9"/>
        <v>-1</v>
      </c>
      <c r="L15" s="1" t="s">
        <v>13</v>
      </c>
      <c r="M15" t="s">
        <v>63</v>
      </c>
      <c r="N15" s="6">
        <v>23</v>
      </c>
      <c r="O15">
        <v>16</v>
      </c>
      <c r="P15">
        <v>7</v>
      </c>
      <c r="Q15">
        <v>2</v>
      </c>
      <c r="R15">
        <f t="shared" si="6"/>
        <v>7</v>
      </c>
      <c r="S15">
        <v>21</v>
      </c>
      <c r="T15">
        <v>24</v>
      </c>
      <c r="U15">
        <f t="shared" si="7"/>
        <v>-3</v>
      </c>
    </row>
    <row r="16" spans="1:25" x14ac:dyDescent="0.3">
      <c r="A16" t="s">
        <v>14</v>
      </c>
      <c r="B16" t="s">
        <v>63</v>
      </c>
      <c r="C16" s="6">
        <v>20</v>
      </c>
      <c r="D16">
        <v>16</v>
      </c>
      <c r="E16">
        <v>5</v>
      </c>
      <c r="F16">
        <v>5</v>
      </c>
      <c r="G16">
        <f t="shared" si="8"/>
        <v>6</v>
      </c>
      <c r="H16">
        <v>18</v>
      </c>
      <c r="I16">
        <v>13</v>
      </c>
      <c r="J16">
        <f t="shared" si="9"/>
        <v>5</v>
      </c>
      <c r="L16" t="s">
        <v>14</v>
      </c>
      <c r="M16" t="s">
        <v>61</v>
      </c>
      <c r="N16" s="6">
        <v>22</v>
      </c>
      <c r="O16">
        <v>16</v>
      </c>
      <c r="P16">
        <v>6</v>
      </c>
      <c r="Q16">
        <v>4</v>
      </c>
      <c r="R16">
        <f t="shared" si="6"/>
        <v>6</v>
      </c>
      <c r="S16">
        <v>25</v>
      </c>
      <c r="T16">
        <v>22</v>
      </c>
      <c r="U16">
        <f t="shared" si="7"/>
        <v>3</v>
      </c>
    </row>
    <row r="17" spans="1:21" x14ac:dyDescent="0.3">
      <c r="A17" t="s">
        <v>15</v>
      </c>
      <c r="B17" t="s">
        <v>59</v>
      </c>
      <c r="C17" s="6">
        <v>19</v>
      </c>
      <c r="D17">
        <v>16</v>
      </c>
      <c r="E17">
        <v>6</v>
      </c>
      <c r="F17">
        <v>1</v>
      </c>
      <c r="G17">
        <f t="shared" si="8"/>
        <v>9</v>
      </c>
      <c r="H17">
        <v>13</v>
      </c>
      <c r="I17">
        <v>17</v>
      </c>
      <c r="J17">
        <f t="shared" si="9"/>
        <v>-4</v>
      </c>
      <c r="L17" t="s">
        <v>15</v>
      </c>
      <c r="M17" t="s">
        <v>62</v>
      </c>
      <c r="N17" s="6">
        <v>22</v>
      </c>
      <c r="O17">
        <v>16</v>
      </c>
      <c r="P17">
        <v>6</v>
      </c>
      <c r="Q17">
        <v>4</v>
      </c>
      <c r="R17">
        <f t="shared" si="6"/>
        <v>6</v>
      </c>
      <c r="S17">
        <v>21</v>
      </c>
      <c r="T17">
        <v>19</v>
      </c>
      <c r="U17">
        <f t="shared" si="7"/>
        <v>2</v>
      </c>
    </row>
    <row r="18" spans="1:21" x14ac:dyDescent="0.3">
      <c r="A18" t="s">
        <v>16</v>
      </c>
      <c r="B18" t="s">
        <v>61</v>
      </c>
      <c r="C18" s="6">
        <v>17</v>
      </c>
      <c r="D18">
        <v>16</v>
      </c>
      <c r="E18">
        <v>4</v>
      </c>
      <c r="F18">
        <v>5</v>
      </c>
      <c r="G18">
        <f t="shared" si="8"/>
        <v>7</v>
      </c>
      <c r="H18">
        <v>12</v>
      </c>
      <c r="I18">
        <v>16</v>
      </c>
      <c r="J18">
        <f t="shared" si="9"/>
        <v>-4</v>
      </c>
      <c r="L18" t="s">
        <v>16</v>
      </c>
      <c r="M18" t="s">
        <v>58</v>
      </c>
      <c r="N18" s="6">
        <v>13</v>
      </c>
      <c r="O18">
        <v>16</v>
      </c>
      <c r="P18">
        <v>4</v>
      </c>
      <c r="Q18">
        <v>3</v>
      </c>
      <c r="R18">
        <f t="shared" ref="R18" si="10">O18-P18-Q18</f>
        <v>9</v>
      </c>
      <c r="S18">
        <v>13</v>
      </c>
      <c r="T18">
        <v>19</v>
      </c>
      <c r="U18">
        <f t="shared" ref="U18" si="11">S18-T18</f>
        <v>-6</v>
      </c>
    </row>
    <row r="20" spans="1:21" x14ac:dyDescent="0.3">
      <c r="A20" t="s">
        <v>28</v>
      </c>
      <c r="L20" t="s">
        <v>28</v>
      </c>
    </row>
    <row r="21" spans="1:21" x14ac:dyDescent="0.3">
      <c r="A21" t="s">
        <v>52</v>
      </c>
      <c r="B21" t="s">
        <v>68</v>
      </c>
      <c r="C21" t="s">
        <v>62</v>
      </c>
      <c r="L21" t="s">
        <v>57</v>
      </c>
      <c r="M21" t="s">
        <v>65</v>
      </c>
      <c r="N21" t="s">
        <v>63</v>
      </c>
    </row>
    <row r="22" spans="1:21" x14ac:dyDescent="0.3">
      <c r="A22" t="s">
        <v>60</v>
      </c>
      <c r="B22" t="s">
        <v>29</v>
      </c>
      <c r="C22" t="s">
        <v>55</v>
      </c>
      <c r="L22" t="s">
        <v>59</v>
      </c>
      <c r="M22" t="s">
        <v>33</v>
      </c>
      <c r="N22" t="s">
        <v>55</v>
      </c>
    </row>
    <row r="24" spans="1:21" x14ac:dyDescent="0.3">
      <c r="A24" t="s">
        <v>30</v>
      </c>
      <c r="L24" t="s">
        <v>30</v>
      </c>
    </row>
    <row r="25" spans="1:21" x14ac:dyDescent="0.3">
      <c r="A25" t="s">
        <v>52</v>
      </c>
      <c r="B25" t="s">
        <v>66</v>
      </c>
      <c r="C25" t="s">
        <v>58</v>
      </c>
      <c r="E25" t="s">
        <v>58</v>
      </c>
      <c r="F25" t="s">
        <v>31</v>
      </c>
      <c r="G25" t="s">
        <v>52</v>
      </c>
      <c r="L25" t="s">
        <v>57</v>
      </c>
      <c r="M25" t="s">
        <v>46</v>
      </c>
      <c r="N25" t="s">
        <v>60</v>
      </c>
      <c r="P25" t="s">
        <v>60</v>
      </c>
      <c r="Q25" t="s">
        <v>33</v>
      </c>
      <c r="R25" t="s">
        <v>57</v>
      </c>
    </row>
    <row r="26" spans="1:21" x14ac:dyDescent="0.3">
      <c r="A26" t="s">
        <v>60</v>
      </c>
      <c r="B26" t="s">
        <v>66</v>
      </c>
      <c r="C26" t="s">
        <v>54</v>
      </c>
      <c r="E26" t="s">
        <v>54</v>
      </c>
      <c r="F26" t="s">
        <v>33</v>
      </c>
      <c r="G26" t="s">
        <v>60</v>
      </c>
      <c r="L26" t="s">
        <v>59</v>
      </c>
      <c r="M26" t="s">
        <v>38</v>
      </c>
      <c r="N26" t="s">
        <v>53</v>
      </c>
      <c r="P26" t="s">
        <v>53</v>
      </c>
      <c r="Q26" t="s">
        <v>66</v>
      </c>
      <c r="R26" t="s">
        <v>59</v>
      </c>
    </row>
    <row r="28" spans="1:21" x14ac:dyDescent="0.3">
      <c r="A28" t="s">
        <v>32</v>
      </c>
      <c r="L28" t="s">
        <v>32</v>
      </c>
    </row>
    <row r="29" spans="1:21" x14ac:dyDescent="0.3">
      <c r="A29" t="s">
        <v>54</v>
      </c>
      <c r="B29" t="s">
        <v>46</v>
      </c>
      <c r="C29" t="s">
        <v>58</v>
      </c>
      <c r="L29" t="s">
        <v>60</v>
      </c>
      <c r="M29" t="s">
        <v>71</v>
      </c>
      <c r="N2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Canadá</vt:lpstr>
      <vt:lpstr>Costa Rica</vt:lpstr>
      <vt:lpstr>Estados Unidos</vt:lpstr>
      <vt:lpstr>Guatemala</vt:lpstr>
      <vt:lpstr>Honduras</vt:lpstr>
      <vt:lpstr>Jamaica</vt:lpstr>
      <vt:lpstr>México</vt:lpstr>
      <vt:lpstr>Nicarágua</vt:lpstr>
      <vt:lpstr>Panamá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2025-11-23T02:29:22Z</dcterms:created>
  <dcterms:modified xsi:type="dcterms:W3CDTF">2026-07-26T05:09:17Z</dcterms:modified>
</cp:coreProperties>
</file>